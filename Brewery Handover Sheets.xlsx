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Instructions" sheetId="1" r:id="rId5"/>
    <sheet state="visible" name="1. Products" sheetId="2" r:id="rId6"/>
    <sheet state="visible" name="2. Raw Materials" sheetId="3" r:id="rId7"/>
    <sheet state="visible" name="3. Staff" sheetId="4" r:id="rId8"/>
    <sheet state="visible" name="4. Customers" sheetId="5" r:id="rId9"/>
    <sheet state="visible" name="5. Equipment" sheetId="6" r:id="rId10"/>
    <sheet state="visible" name="6. Yeast Strains" sheetId="7" r:id="rId11"/>
    <sheet state="visible" name="7. Packaging Materials" sheetId="8" r:id="rId12"/>
    <sheet state="visible" name="8. Recipes" sheetId="9" r:id="rId13"/>
    <sheet state="visible" name="9. Recipe Fermentables" sheetId="10" r:id="rId14"/>
    <sheet state="visible" name="10. Recipe Hops" sheetId="11" r:id="rId15"/>
    <sheet state="visible" name="11. Recipe Yeast" sheetId="12" r:id="rId16"/>
    <sheet state="visible" name="12. Recipe Mash Steps" sheetId="13" r:id="rId17"/>
    <sheet state="visible" name="13. Recipe Other Ingredients" sheetId="14" r:id="rId18"/>
    <sheet state="visible" name="14. Production Batches" sheetId="15" r:id="rId19"/>
    <sheet state="visible" name="15. Sales Orders" sheetId="16" r:id="rId20"/>
    <sheet state="visible" name="16. Order Items" sheetId="17" r:id="rId21"/>
    <sheet state="visible" name="17. Financial Transactions" sheetId="18" r:id="rId22"/>
    <sheet state="visible" name="18. Quality Records" sheetId="19" r:id="rId23"/>
    <sheet state="visible" name="19. Yeast Inventory" sheetId="20" r:id="rId24"/>
    <sheet state="visible" name="20. Staff Schedule" sheetId="21" r:id="rId25"/>
    <sheet state="visible" name="21. Training Records" sheetId="22" r:id="rId26"/>
    <sheet state="visible" name="22. Maintenance Checklist" sheetId="23" r:id="rId27"/>
    <sheet state="visible" name="23. Asset List" sheetId="24" r:id="rId28"/>
  </sheets>
  <definedNames/>
  <calcPr/>
</workbook>
</file>

<file path=xl/sharedStrings.xml><?xml version="1.0" encoding="utf-8"?>
<sst xmlns="http://schemas.openxmlformats.org/spreadsheetml/2006/main" count="41562" uniqueCount="5812">
  <si>
    <t>BREWERY MANAGER - DATA ENTRY INSTRUCTIONS</t>
  </si>
  <si>
    <t>IMPORT ORDER (MUST follow this sequence):</t>
  </si>
  <si>
    <t>PHASE 1 - Master Data (fill first, can fill simultaneously):</t>
  </si>
  <si>
    <t xml:space="preserve">  Sheet 1: Products - All beer products</t>
  </si>
  <si>
    <t xml:space="preserve">  Sheet 2: Raw Materials - Malts, hops, adjuncts, chemicals, packaging</t>
  </si>
  <si>
    <t xml:space="preserve">  Sheet 3: Staff - All employees</t>
  </si>
  <si>
    <t xml:space="preserve">  Sheet 4: Customers - Bars, restaurants, distributors, hotels</t>
  </si>
  <si>
    <t xml:space="preserve">  Sheet 5: Equipment - Fermenters, tanks, brewhouse equipment</t>
  </si>
  <si>
    <t xml:space="preserve">  Sheet 6: Yeast Strains - Yeast catalog</t>
  </si>
  <si>
    <t xml:space="preserve">  Sheet 7: Packaging Materials - Cans, bottles, kegs, carriers</t>
  </si>
  <si>
    <t>PHASE 2 - Recipes (requires Phase 1):</t>
  </si>
  <si>
    <t xml:space="preserve">  Sheet 8: Recipes - Main recipe info (must reference Products)</t>
  </si>
  <si>
    <t xml:space="preserve">  Sheet 9: Recipe Fermentables - Grain bill per recipe</t>
  </si>
  <si>
    <t xml:space="preserve">  Sheet 10: Recipe Hops - Hop additions per recipe</t>
  </si>
  <si>
    <t xml:space="preserve">  Sheet 11: Recipe Yeast - Yeast per recipe</t>
  </si>
  <si>
    <t xml:space="preserve">  Sheet 12: Recipe Mash Steps - Mash schedule</t>
  </si>
  <si>
    <t xml:space="preserve">  Sheet 13: Recipe Other Ingredients - Coffee, fruit, spices, etc.</t>
  </si>
  <si>
    <t>PHASE 3 - Operations (requires Phase 1 + 2):</t>
  </si>
  <si>
    <t xml:space="preserve">  Sheet 14: Production Batches - Brew batches</t>
  </si>
  <si>
    <t xml:space="preserve">  Sheet 15: Sales Orders - Customer orders</t>
  </si>
  <si>
    <t xml:space="preserve">  Sheet 16: Order Items - Line items per order</t>
  </si>
  <si>
    <t xml:space="preserve">  Sheet 17: Financial Transactions - Income and expenses</t>
  </si>
  <si>
    <t>PHASE 4 - Supporting (requires Phase 1 + 3):</t>
  </si>
  <si>
    <t xml:space="preserve">  Sheet 18: Quality Records - QC checks per batch</t>
  </si>
  <si>
    <t xml:space="preserve">  Sheet 19: Yeast Inventory - Current yeast stock</t>
  </si>
  <si>
    <t xml:space="preserve">  Sheet 20: Staff Schedule - Work schedules</t>
  </si>
  <si>
    <t xml:space="preserve">  Sheet 21: Training Records - Training history</t>
  </si>
  <si>
    <t>PHASE 5 - Maintenance &amp; Assets (requires Phase 1):</t>
  </si>
  <si>
    <t xml:space="preserve">  Sheet 22: Maintenance Checklist - Preventive &amp; corrective maintenance tasks</t>
  </si>
  <si>
    <t xml:space="preserve">  Sheet 23: Asset List - All brewery assets with value, condition, warranty</t>
  </si>
  <si>
    <t>IMPORTANT RULES:</t>
  </si>
  <si>
    <t xml:space="preserve">  - Delete EXAMPLE rows (highlighted in yellow) before importing</t>
  </si>
  <si>
    <t xml:space="preserve">  - NAME FIELDS MUST MATCH EXACTLY between sheets</t>
  </si>
  <si>
    <t xml:space="preserve">  - Dates must be in YYYY-MM-DD format</t>
  </si>
  <si>
    <t xml:space="preserve">  - Amounts in VND without commas or dots (e.g. 45000 not 45,000)</t>
  </si>
  <si>
    <t xml:space="preserve">  - Required fields are marked with REQUIRED in red text</t>
  </si>
  <si>
    <t>AFTER FILLING ALL SHEETS:</t>
  </si>
  <si>
    <t xml:space="preserve">  Contact your system administrator to import the data into Brewery Manager</t>
  </si>
  <si>
    <t xml:space="preserve">  All beer products offered by the brewery</t>
  </si>
  <si>
    <t>name</t>
  </si>
  <si>
    <t>style</t>
  </si>
  <si>
    <t>abv</t>
  </si>
  <si>
    <t>ibu</t>
  </si>
  <si>
    <t>description</t>
  </si>
  <si>
    <t>B2B price_per_unit (VND)</t>
  </si>
  <si>
    <t>D2C price_per_unit (VND)</t>
  </si>
  <si>
    <t>is_active (1/0)</t>
  </si>
  <si>
    <t>Keg 19.5L</t>
  </si>
  <si>
    <t>Case 24 Cans</t>
  </si>
  <si>
    <t>REQUIRED</t>
  </si>
  <si>
    <t>Text</t>
  </si>
  <si>
    <t>VND (no commas)</t>
  </si>
  <si>
    <t>John Lemon Hard Lemonade</t>
  </si>
  <si>
    <t>Hard Soda</t>
  </si>
  <si>
    <t>Awaken your senses with Fuzzy’s Hard Lemonade! Enjoy the bright aroma of fresh lemons perfectly paired with the lively, tingling sensation of effervescent bubbles.
Unleash your taste buds with the vibrant energy of this bold lemonade - each sip bursting with excitement, freshness, and an irresistible zest for life.</t>
  </si>
  <si>
    <t>Fuzzy Logic Celestial Blonde</t>
  </si>
  <si>
    <t>Blonde</t>
  </si>
  <si>
    <t>Delicate, crisp body culminating in a satisfyingly dry, refreshing finish. A perfect harmony between maltiness and bitterness for an effortlessly drinkable brew.
Crafted with precision, it bursts with lively hints of citrus and tropical fruits, thanks to the top-notch new-world hops that were generously added through dry hopping.</t>
  </si>
  <si>
    <t>Fuzzy Logic Craft Lager</t>
  </si>
  <si>
    <t>Craft Lager</t>
  </si>
  <si>
    <t>Begin your craft beer journey with a harmonious blend of continental pilsner malt and the aromatic character of Pacific hops.
Light on the palate, it delivers a gentle yet refined malt profile with a calm, well-balanced finish.
Brewed with care using a meticulous cold-fermentation process, this craft beer results in an exceptionally easy-drinking experience, defined by its clean, crisp, and refreshing character.</t>
  </si>
  <si>
    <t xml:space="preserve">Fuzzy Logic Pale Ale </t>
  </si>
  <si>
    <t>Pale Ale</t>
  </si>
  <si>
    <t>Experience soft, inviting fruit aromas layered with warm caramel notes derived from imported malts. This ale features a moderate alcohol level, offering a smooth, malty richness that is both flavorful and easy to enjoy.
The highlight? A gently dry finish accented by a clean, refined bitterness—elegant and satisfying, leaving you eager for another sip.</t>
  </si>
  <si>
    <t>Fuzzy Logic Thunderslap IPA</t>
  </si>
  <si>
    <t>IPA</t>
  </si>
  <si>
    <t>Get ready for a captivating West Coast IPA, carefully brewed with signature American hops that раскрыveal vibrant tropical notes of papaya and pine. Complemented by German malts, it delivers a perfectly balanced foundation for this harmonious fusion of flavors.
With a moderate alcohol level, this beer finishes with an elegant, slightly dry aftertaste—leaving you craving just one more sip.</t>
  </si>
  <si>
    <t>Fuzzy Logic Hop Baby DIPA</t>
  </si>
  <si>
    <t>DIPA</t>
  </si>
  <si>
    <t>The brewer’s choice! This beer is brewed using the “craziest” recipethe brewer has experimented with and perfected over years of homebrewing.
It’s a bold, fruity beer with a smooth and easy-drinking profile — aDouble IPA crafted with seven different hop varieties. It carriesearthy pine, citrus, and tropical hop aromas, delivering a balancedblend of moderate sweetness and bitterness.
Considered a sibling to Thunderslap IPA, it shares a similar style butoffers a richer malt and hop character.</t>
  </si>
  <si>
    <t>10 Dogs Imperial Red</t>
  </si>
  <si>
    <t>Red Ale</t>
  </si>
  <si>
    <t>Immerse yourself in the captivating aroma of intense maltiness,complemented by a subtle fruit essence and abundant pale malted
barley.
Discover delicate notes of caramel and toffee. Experience a bold,boozy, and flavor-packed taste with medium sweetness, embracing the richness of malt and a gentle touch of fruity intrigue.</t>
  </si>
  <si>
    <t>10 Dogs Juicy Lucy</t>
  </si>
  <si>
    <t>Hazy IPA</t>
  </si>
  <si>
    <t>Juicy Lucy IPA is a tantalizingly bold and flavorful craft beer that truly stands out in the world of IPAs.
The name itself is a nod to its character — “juicy” reflects its lush,fruit-forward profile bursting with vibrant hop aromas, while “Lucy”adds a playful, cheeky charm that makes every sip as fun as it is refreshing.</t>
  </si>
  <si>
    <t>Biere Blanchè</t>
  </si>
  <si>
    <t>Witbier</t>
  </si>
  <si>
    <t>A smooth French-style wheat beer, delicately infused with sweet orange peel and a subtle touch of coriander spice, creating a refreshing and well-balanced profile. Blanche delivers a cool, clean, and crisp sensation with every sip.
Its soft, gentle flavors and easy-drinking character make it an effortless choice for any occasion.</t>
  </si>
  <si>
    <t>Clone Water Teddy Hopper</t>
  </si>
  <si>
    <t>Clone Water Saazy Caby</t>
  </si>
  <si>
    <t>Pilsner</t>
  </si>
  <si>
    <t>Tet BIA</t>
  </si>
  <si>
    <t xml:space="preserve">Belgian </t>
  </si>
  <si>
    <t xml:space="preserve">
This brew captures the rich nuttiness of roasted grains, harmonized with the delicate sweetness of candied fruits. 
Interwoven within is the warm, subtle spice characteristic of Belgian yeast. It all concludes with a crisp, dry finish and a spirited effervescence that brings you the excitement.</t>
  </si>
  <si>
    <t>Imperial Vanilla Bourbon Porter</t>
  </si>
  <si>
    <t>Porter</t>
  </si>
  <si>
    <t>Whisky Porter is a dark beer with a strong taste, rich aftertaste, and smooth, creamy foam. Made with roasted malt, this beer has a deep black color and a thick, bold texture. It is not just a drink, but a special taste experience for those who enjoy something strong and refined. It’s a perfect choice for get-togethers or relaxing moments at the end of the day</t>
  </si>
  <si>
    <t xml:space="preserve">  All raw materials inventory (malts, hops, adjuncts, chemicals, packaging)</t>
  </si>
  <si>
    <t>category</t>
  </si>
  <si>
    <t>unit</t>
  </si>
  <si>
    <t>quantity</t>
  </si>
  <si>
    <t>min_quantity</t>
  </si>
  <si>
    <t>cost_per_unit (VND)</t>
  </si>
  <si>
    <t>supplier</t>
  </si>
  <si>
    <t>origin</t>
  </si>
  <si>
    <t>expiry_date (YYYY-MM-DD)</t>
  </si>
  <si>
    <t>storage_location</t>
  </si>
  <si>
    <t>notes</t>
  </si>
  <si>
    <t>Options: malt, hops, adjunct, fruit, water_treatment</t>
  </si>
  <si>
    <t>Options: kg, g, L, pcs, oz</t>
  </si>
  <si>
    <t>Number</t>
  </si>
  <si>
    <t>YYYY-MM-DD</t>
  </si>
  <si>
    <t>Chateau Pilsner</t>
  </si>
  <si>
    <t>Malt</t>
  </si>
  <si>
    <t>kg</t>
  </si>
  <si>
    <t>HMG</t>
  </si>
  <si>
    <t>Belgium</t>
  </si>
  <si>
    <t>Grain Room</t>
  </si>
  <si>
    <t xml:space="preserve">BBM Pale </t>
  </si>
  <si>
    <t>Australia</t>
  </si>
  <si>
    <t>BBM Pale Ale</t>
  </si>
  <si>
    <t>Soufflet Pale Ale</t>
  </si>
  <si>
    <t>France</t>
  </si>
  <si>
    <t>BBM Wheat</t>
  </si>
  <si>
    <t>Chateau Wheat Blanc</t>
  </si>
  <si>
    <t>Soufflet Vienna</t>
  </si>
  <si>
    <t>BBM Munich</t>
  </si>
  <si>
    <t>Chateau Munich Light</t>
  </si>
  <si>
    <t>Chateau Melano</t>
  </si>
  <si>
    <t>Chateau Cara Blond</t>
  </si>
  <si>
    <t>Chateau Cara Clair</t>
  </si>
  <si>
    <t>Chateau Cara Ruby</t>
  </si>
  <si>
    <t>Chateau Cara Arome</t>
  </si>
  <si>
    <t>Chateau Cara Gold</t>
  </si>
  <si>
    <t>Weyermann Carafa Special III</t>
  </si>
  <si>
    <t>Thaitan</t>
  </si>
  <si>
    <t>Germany</t>
  </si>
  <si>
    <t>Flaked Oat</t>
  </si>
  <si>
    <t>Crips Flaked Barley</t>
  </si>
  <si>
    <t>UK</t>
  </si>
  <si>
    <t>Weyermann Special W</t>
  </si>
  <si>
    <t>Weyermann Rye</t>
  </si>
  <si>
    <t>Centennial</t>
  </si>
  <si>
    <t>hops</t>
  </si>
  <si>
    <t>US</t>
  </si>
  <si>
    <t>Cold Room</t>
  </si>
  <si>
    <t>Citra</t>
  </si>
  <si>
    <t>Mosaic</t>
  </si>
  <si>
    <t>Amarillo</t>
  </si>
  <si>
    <t xml:space="preserve">Sabro </t>
  </si>
  <si>
    <t>Galaxy</t>
  </si>
  <si>
    <t>Simcoe</t>
  </si>
  <si>
    <t>Willamette</t>
  </si>
  <si>
    <t>Columbus</t>
  </si>
  <si>
    <t>Mittelfruh</t>
  </si>
  <si>
    <t>Cascade</t>
  </si>
  <si>
    <t>Nelson Sauvin</t>
  </si>
  <si>
    <t>New Zealand</t>
  </si>
  <si>
    <t>Talus</t>
  </si>
  <si>
    <t>Cashmere</t>
  </si>
  <si>
    <t>Herkules</t>
  </si>
  <si>
    <t>Saaz</t>
  </si>
  <si>
    <t>Czech</t>
  </si>
  <si>
    <t>Chinook</t>
  </si>
  <si>
    <t>Compact CG</t>
  </si>
  <si>
    <t>adjunct</t>
  </si>
  <si>
    <t>Hophaze</t>
  </si>
  <si>
    <t>L</t>
  </si>
  <si>
    <t>Orange Peel</t>
  </si>
  <si>
    <t>MẢUDHAR IMPEX</t>
  </si>
  <si>
    <t>India</t>
  </si>
  <si>
    <t>Corriander</t>
  </si>
  <si>
    <t>Local</t>
  </si>
  <si>
    <t>Vietnam</t>
  </si>
  <si>
    <t>Ethanol 96%</t>
  </si>
  <si>
    <t>Vcargo</t>
  </si>
  <si>
    <t>Sugar</t>
  </si>
  <si>
    <t>Truong Hung</t>
  </si>
  <si>
    <t>Thailand</t>
  </si>
  <si>
    <t>Lime Juice</t>
  </si>
  <si>
    <t>Vy Anh</t>
  </si>
  <si>
    <t>Maltodextrin</t>
  </si>
  <si>
    <t>Lihua</t>
  </si>
  <si>
    <t>China</t>
  </si>
  <si>
    <t>Dextrose</t>
  </si>
  <si>
    <t>Liohua</t>
  </si>
  <si>
    <t>Isona K</t>
  </si>
  <si>
    <t>PBW Cleaner</t>
  </si>
  <si>
    <t>cleaning</t>
  </si>
  <si>
    <t>Dry Storage</t>
  </si>
  <si>
    <t>Spectrum ( Caustic Soda )</t>
  </si>
  <si>
    <t>NCL</t>
  </si>
  <si>
    <t>Sani SF 15</t>
  </si>
  <si>
    <t>CaCl2</t>
  </si>
  <si>
    <t>water_treatment</t>
  </si>
  <si>
    <t>CaSO4</t>
  </si>
  <si>
    <t>330ml Can</t>
  </si>
  <si>
    <t>packaging</t>
  </si>
  <si>
    <t>pcs</t>
  </si>
  <si>
    <t>Zhuhai JRX</t>
  </si>
  <si>
    <t>Keg 20L</t>
  </si>
  <si>
    <t>Shinhan Industrial Trade</t>
  </si>
  <si>
    <t>Korea</t>
  </si>
  <si>
    <t>Keg Collar</t>
  </si>
  <si>
    <t>VN COLOR</t>
  </si>
  <si>
    <t>Boxes</t>
  </si>
  <si>
    <t>BOXES VIETNAM</t>
  </si>
  <si>
    <t>HIEP PHUOC LABELS</t>
  </si>
  <si>
    <t>Fuzzy Logic Pale Ale Label</t>
  </si>
  <si>
    <t>Fuzzy Logic Thunderslap IPA Label</t>
  </si>
  <si>
    <t>Fuzzy Logic Hop Baby DIPA Label</t>
  </si>
  <si>
    <t>10 Dogs Imperial Red Label</t>
  </si>
  <si>
    <t>10 Dogs Juicy Lucy Label</t>
  </si>
  <si>
    <t>Biere Blanchè Label</t>
  </si>
  <si>
    <t>Clone Water Teddy Hopper Label</t>
  </si>
  <si>
    <t>Clone Water Saazy Caby Label</t>
  </si>
  <si>
    <t>Tet BIA Label</t>
  </si>
  <si>
    <t>Imperial Vanilla Bourbon Porter Label</t>
  </si>
  <si>
    <t>Biere Blanchè Coaster</t>
  </si>
  <si>
    <t>THEGIOIDELOTLY</t>
  </si>
  <si>
    <t>Fuzzy Coaster</t>
  </si>
  <si>
    <t>330ml Fuzzy Glass</t>
  </si>
  <si>
    <t>BAVINH</t>
  </si>
  <si>
    <t>330ml Biere Blanchè Glass</t>
  </si>
  <si>
    <t>500ml Fuzzy Glass</t>
  </si>
  <si>
    <t>John Lemon Hard Lemonade collar sticker</t>
  </si>
  <si>
    <t>Fuzzy Logic Celestial Blonde collar sticker</t>
  </si>
  <si>
    <t>Fuzzy Logic Craft Lager collar sticker</t>
  </si>
  <si>
    <t>Fuzzy Logic Pale Ale collar sticker</t>
  </si>
  <si>
    <t>Fuzzy Logic Thunderslap IPA collar sticker</t>
  </si>
  <si>
    <t>Fuzzy Logic Hop Baby DIPA collar sticker</t>
  </si>
  <si>
    <t>10 Dogs collar sticker</t>
  </si>
  <si>
    <t>Biere Blanchè collar sticker</t>
  </si>
  <si>
    <t xml:space="preserve">  All brewery employees</t>
  </si>
  <si>
    <t>position</t>
  </si>
  <si>
    <t>department</t>
  </si>
  <si>
    <t>phone</t>
  </si>
  <si>
    <t>email</t>
  </si>
  <si>
    <t>hire_date (YYYY-MM-DD)</t>
  </si>
  <si>
    <t>salary (VND/month)</t>
  </si>
  <si>
    <t>Basic salary</t>
  </si>
  <si>
    <t>TOTAL SHUI</t>
  </si>
  <si>
    <t>Net Income</t>
  </si>
  <si>
    <t>Total labor cost</t>
  </si>
  <si>
    <t>Base salary</t>
  </si>
  <si>
    <t>Fuel allowance</t>
  </si>
  <si>
    <t>Mobile allowance</t>
  </si>
  <si>
    <t>Gross Income</t>
  </si>
  <si>
    <t>Employee</t>
  </si>
  <si>
    <t>Employer</t>
  </si>
  <si>
    <t>Options: Production, Sales, Quality, Finance, Warehouse</t>
  </si>
  <si>
    <t>PIT</t>
  </si>
  <si>
    <t>Huỳnh Minh Tiến Christophe</t>
  </si>
  <si>
    <t>Head Brewer</t>
  </si>
  <si>
    <t>Production</t>
  </si>
  <si>
    <t>0388898252'</t>
  </si>
  <si>
    <t>tien@madalchemists.com</t>
  </si>
  <si>
    <t>Cao Thị Kim Chi</t>
  </si>
  <si>
    <t>Head Accountant</t>
  </si>
  <si>
    <t>Finance</t>
  </si>
  <si>
    <t>0905690329'</t>
  </si>
  <si>
    <t>caochi@madalchemists.com</t>
  </si>
  <si>
    <t>Nguyễn Đức Hậu</t>
  </si>
  <si>
    <t>Sale</t>
  </si>
  <si>
    <t>Sales</t>
  </si>
  <si>
    <t>0899998009'</t>
  </si>
  <si>
    <t>hau@madalchemists.com</t>
  </si>
  <si>
    <t>Nguyễn Quốc Hùng</t>
  </si>
  <si>
    <t>Packaging Manager</t>
  </si>
  <si>
    <t>0902929513'</t>
  </si>
  <si>
    <t>Lê Hán Thanh</t>
  </si>
  <si>
    <t>Delivery/Sale Supporter</t>
  </si>
  <si>
    <t>0927997887'</t>
  </si>
  <si>
    <t>lahanthanh@gmail.com</t>
  </si>
  <si>
    <t>Biện Minh Khôi</t>
  </si>
  <si>
    <t>Brewery Assistant</t>
  </si>
  <si>
    <t>0375112660'</t>
  </si>
  <si>
    <t>bienminhkhoi@gmail.com</t>
  </si>
  <si>
    <t>Nguyễn Hữu Hiền</t>
  </si>
  <si>
    <t>090624750'</t>
  </si>
  <si>
    <t>Resignation</t>
  </si>
  <si>
    <t>Position</t>
  </si>
  <si>
    <t>Department</t>
  </si>
  <si>
    <t>Off Date</t>
  </si>
  <si>
    <t>Notes</t>
  </si>
  <si>
    <t>Võ Thị Yến Ngọc</t>
  </si>
  <si>
    <t>Company Adminstration</t>
  </si>
  <si>
    <t xml:space="preserve">Phan Thành Danh </t>
  </si>
  <si>
    <t>Sale Director</t>
  </si>
  <si>
    <t>Lê Minh Hiếu</t>
  </si>
  <si>
    <t>Sale - Northern</t>
  </si>
  <si>
    <t>Switch to Northern Distributor</t>
  </si>
  <si>
    <t xml:space="preserve">  All customer accounts (bars, restaurants, distributors, hotels, etc.)</t>
  </si>
  <si>
    <t>no</t>
  </si>
  <si>
    <t>type</t>
  </si>
  <si>
    <t>contact_person</t>
  </si>
  <si>
    <t>address</t>
  </si>
  <si>
    <t>city
/province</t>
  </si>
  <si>
    <t>ward</t>
  </si>
  <si>
    <t>tax_id</t>
  </si>
  <si>
    <t>credit_limit (VND)</t>
  </si>
  <si>
    <t>payment_terms</t>
  </si>
  <si>
    <t>Options: retail, bar, restaurant, distributor, hotel</t>
  </si>
  <si>
    <t>Options: COD, NET 15, NET 30, NET 45, NET 60</t>
  </si>
  <si>
    <t>King Grill Bình Dương</t>
  </si>
  <si>
    <t>restaurant</t>
  </si>
  <si>
    <t>Nhà hàng King’s Grill</t>
  </si>
  <si>
    <t>0907010424</t>
  </si>
  <si>
    <t>34 Đường Hoàng Văn Thụ, Chánh Nghĩa, Thủ Dầu Một, Hồ Chí Minh</t>
  </si>
  <si>
    <t>Hồ Chí Minh</t>
  </si>
  <si>
    <t>Thủ Dầu Một</t>
  </si>
  <si>
    <t>30 Days credit terms</t>
  </si>
  <si>
    <t>The Social Quy Nhon</t>
  </si>
  <si>
    <t>bar</t>
  </si>
  <si>
    <t>Nick</t>
  </si>
  <si>
    <t>0966360040</t>
  </si>
  <si>
    <t>79 Ỷ Lan, Qui Nhơn, Bình Định</t>
  </si>
  <si>
    <t>Bình Định</t>
  </si>
  <si>
    <t>Qui Nhơn</t>
  </si>
  <si>
    <t xml:space="preserve">Saysua drink &amp; chill </t>
  </si>
  <si>
    <t>Hạnh</t>
  </si>
  <si>
    <t>0909567456</t>
  </si>
  <si>
    <t>113/37/30, đường 30/4, Phú Hoà, Phú Lợi, Hồ Chí Minh</t>
  </si>
  <si>
    <t>Phú Lợi</t>
  </si>
  <si>
    <t>7 Bridges Binh Duong</t>
  </si>
  <si>
    <t>Quân</t>
  </si>
  <si>
    <t>0569599719</t>
  </si>
  <si>
    <t>Khu Thương Mại MIDORI PARK SQUARE, Lô H8, Đường Lý Thái Tổ-Võ Nguyên Giáp, Phường Bình Dương, TP.HCM</t>
  </si>
  <si>
    <t>TP.HCM</t>
  </si>
  <si>
    <t>Bình Dương</t>
  </si>
  <si>
    <t>Ai Craft Beer</t>
  </si>
  <si>
    <t>Thắng</t>
  </si>
  <si>
    <t>0946 792 996</t>
  </si>
  <si>
    <t>67 Đ. 30 Tháng 4, Quyết Thắng, Trấn Biên, Đồng Nai</t>
  </si>
  <si>
    <t>Đồng Nai</t>
  </si>
  <si>
    <t>Trấn Biên</t>
  </si>
  <si>
    <t>Nguyên Lagi BT</t>
  </si>
  <si>
    <t>retail</t>
  </si>
  <si>
    <t xml:space="preserve">Nguyên </t>
  </si>
  <si>
    <t>0942450307</t>
  </si>
  <si>
    <t>70 Ngô Quyền, La Gi, Lâm Đồng (Hoa viên Bình Trọc)</t>
  </si>
  <si>
    <t>Lâm Đồng</t>
  </si>
  <si>
    <t>La Gi</t>
  </si>
  <si>
    <t>COD</t>
  </si>
  <si>
    <t>Cargo Remote Mui Ne</t>
  </si>
  <si>
    <t xml:space="preserve">Nguyen Thi Thu Nhan </t>
  </si>
  <si>
    <t>0903093394</t>
  </si>
  <si>
    <t>201 Nguyễn Đình Chiểu, khu phố 2, Mũi Né, Lâm Đồng</t>
  </si>
  <si>
    <t>Mũi Né</t>
  </si>
  <si>
    <t>Dreibar Craftbeer &amp; Cocktail</t>
  </si>
  <si>
    <t>Nhật Thành</t>
  </si>
  <si>
    <t>0902302666</t>
  </si>
  <si>
    <t>110 Đ. Đinh Tiên Hoàng, An Hội, Ninh Kiều, Cần Thơ</t>
  </si>
  <si>
    <t>Cần Thơ</t>
  </si>
  <si>
    <t>Ninh Kiều</t>
  </si>
  <si>
    <t>Hilly Garden Đà Lạt</t>
  </si>
  <si>
    <t>hotel</t>
  </si>
  <si>
    <t xml:space="preserve">Bo </t>
  </si>
  <si>
    <t xml:space="preserve">0786582369 </t>
  </si>
  <si>
    <t>Cuối Hẻm 22 Khe Sanh, Phường 10, Xuân Hương - Đà Lạt, Lâm Đồng</t>
  </si>
  <si>
    <t>Xuân Hương - Đà Lạt</t>
  </si>
  <si>
    <t>Joy House - Homestay Đà Lạt</t>
  </si>
  <si>
    <t>Hoàng</t>
  </si>
  <si>
    <t>0817492311</t>
  </si>
  <si>
    <t>222/4 Đường Mai Anh Đào, Phường 8, Lâm Viên - Đà Lạt, Lâm Đồng</t>
  </si>
  <si>
    <t>Lâm Viên - Đà Lạt</t>
  </si>
  <si>
    <t>Hana Beer</t>
  </si>
  <si>
    <t xml:space="preserve">Chị Thoa </t>
  </si>
  <si>
    <t>0359937276</t>
  </si>
  <si>
    <t xml:space="preserve">53-55 Ba Tháng Hai, Phường 1, Xuân Hương - Đà Lạt, Lâm Đồng </t>
  </si>
  <si>
    <t>Pi Boutique Đà Lạt</t>
  </si>
  <si>
    <t>Nhiên</t>
  </si>
  <si>
    <t>0916286852</t>
  </si>
  <si>
    <t>61 Đ. Thủ Khoa Huân, Phường 1, Xuân Hương - Đà Lạt, Lâm Đồng</t>
  </si>
  <si>
    <t>Beeppub Dalat</t>
  </si>
  <si>
    <t>ATTN</t>
  </si>
  <si>
    <t>0328661594</t>
  </si>
  <si>
    <t xml:space="preserve">11A Đ. Nguyễn Chí Thanh, Phường 2, Xuân Hương - Đà Lạt, Lâm Đồng </t>
  </si>
  <si>
    <t>Xuân Hương - Đà Lạt,</t>
  </si>
  <si>
    <t>My Cay Ong Tay</t>
  </si>
  <si>
    <t>Martin</t>
  </si>
  <si>
    <t>0981332041/ 0862417339</t>
  </si>
  <si>
    <t xml:space="preserve"> 223 Langbiang, Lang Biang - Đà Lạt, Lâm Đồng</t>
  </si>
  <si>
    <t>Lang Biang - Đà Lạt</t>
  </si>
  <si>
    <t>The AirD&amp;D</t>
  </si>
  <si>
    <t>Yến Nhi</t>
  </si>
  <si>
    <t>0786200796</t>
  </si>
  <si>
    <t xml:space="preserve">50 Khe Sanh, Phường 10, Xuân Hương - Đà Lạt, Lâm Đồng </t>
  </si>
  <si>
    <t>Hạc Vi Vu - Coffee, Beer</t>
  </si>
  <si>
    <t>Vũ</t>
  </si>
  <si>
    <t>0934592468</t>
  </si>
  <si>
    <t xml:space="preserve">2 Đ. Số 1, Tân Hưng, Xuân Hương - Đà Lạt, Lâm Đồng </t>
  </si>
  <si>
    <t>Quán Kim Đà Lạt</t>
  </si>
  <si>
    <t>Kim</t>
  </si>
  <si>
    <t>0909479258</t>
  </si>
  <si>
    <t>59/20 Đường An Dương Vương, Phường 2, Xuân Hương - Đà Lạt, Lâm Đồng</t>
  </si>
  <si>
    <t xml:space="preserve">Ongbalo Đà Nẵng </t>
  </si>
  <si>
    <t>0905436229</t>
  </si>
  <si>
    <t>11 Mai Lão Bạng, Thuận Phước, Hải Châu, Đà Nẵng</t>
  </si>
  <si>
    <t>Đà Nẵng</t>
  </si>
  <si>
    <t>Hải Châu</t>
  </si>
  <si>
    <t>Bia Trịnh 2</t>
  </si>
  <si>
    <t>Trịnh Huỳnh</t>
  </si>
  <si>
    <t xml:space="preserve"> 0387775455</t>
  </si>
  <si>
    <t>141 Nguyễn Phước Lan, Hòa Xuân, Đà Nẵng</t>
  </si>
  <si>
    <t>Hòa Xuân</t>
  </si>
  <si>
    <t xml:space="preserve">Bia Trịnh </t>
  </si>
  <si>
    <t>0387775456</t>
  </si>
  <si>
    <t>03 Trịnh Công Sơn, Hải Châu, Đà Nẵng</t>
  </si>
  <si>
    <t>The Hoianian - wine bar &amp; restaurant</t>
  </si>
  <si>
    <t>Lợi</t>
  </si>
  <si>
    <t>0839912212</t>
  </si>
  <si>
    <t>88 Đ. Bạch Đằng, Phường Minh An, Hội An, Đà Nẵng</t>
  </si>
  <si>
    <t>Phường Minh An, Hội An</t>
  </si>
  <si>
    <t xml:space="preserve">BIA ÔNG KẸ </t>
  </si>
  <si>
    <t xml:space="preserve"> Bia Ông Kẹ</t>
  </si>
  <si>
    <t>0918 999 190</t>
  </si>
  <si>
    <t xml:space="preserve">479 Lê Duẩn, Cầu Xéo, Long Thành, Đồng Nai </t>
  </si>
  <si>
    <t xml:space="preserve">Đồng Nai </t>
  </si>
  <si>
    <t>Long Thành</t>
  </si>
  <si>
    <t>81 Taproom</t>
  </si>
  <si>
    <t>Asan</t>
  </si>
  <si>
    <t>0367871781</t>
  </si>
  <si>
    <t>23 Mai Thúc Lân, Bắc Mỹ Phú, Ngũ Hành Sơn, Đà Nẵng</t>
  </si>
  <si>
    <t>Ngũ Hành Sơn</t>
  </si>
  <si>
    <t>Bia Craft - Ut Ut 47XT</t>
  </si>
  <si>
    <t>Ngô Thanh Tùng (Mr.)</t>
  </si>
  <si>
    <t xml:space="preserve">0907542062
</t>
  </si>
  <si>
    <t>utut.einvoice@redwok.com.vn</t>
  </si>
  <si>
    <t xml:space="preserve">47 Xuân Thủy, Thảo Điền, An Khánh, Hồ Chí Minh </t>
  </si>
  <si>
    <t xml:space="preserve">Hồ Chí Minh </t>
  </si>
  <si>
    <t>Thảo Điền, An Khánh</t>
  </si>
  <si>
    <t>0315087050</t>
  </si>
  <si>
    <t>Bia Craft - Ut Ut VVK</t>
  </si>
  <si>
    <t>168 Võ Văn Kiệt, Bến Thành, Hồ Chí Minh</t>
  </si>
  <si>
    <t>Bến Thành</t>
  </si>
  <si>
    <t>0315087051</t>
  </si>
  <si>
    <t>Bia Craft - 300TS</t>
  </si>
  <si>
    <t>300 Trường Sa, Phường 7, Cầu Kiệu, Hồ Chí Minh</t>
  </si>
  <si>
    <t>Cầu Kiệu</t>
  </si>
  <si>
    <t>0315087043</t>
  </si>
  <si>
    <t>Bia Craft - 90XT</t>
  </si>
  <si>
    <t>90 Xuân Thủy, Thảo Điền, An Khánh, Hồ Chí Minh</t>
  </si>
  <si>
    <t>0315087044</t>
  </si>
  <si>
    <t>Bia Craft - LNC</t>
  </si>
  <si>
    <t xml:space="preserve"> 1 Lê Ngô Cát, Phường Võ Thị Sáu, Xuân Hòa, Hồ Chí Minh</t>
  </si>
  <si>
    <t>Võ Thị Sáu, Xuân Hòa</t>
  </si>
  <si>
    <t>0315087047</t>
  </si>
  <si>
    <t>Choi Oi Noodle</t>
  </si>
  <si>
    <t>Mr. Nhân</t>
  </si>
  <si>
    <t>0906633656</t>
  </si>
  <si>
    <t>15B/25 Le Thanh Ton,Bến Thành, Hồ Chí Min</t>
  </si>
  <si>
    <t>Sài Gòn</t>
  </si>
  <si>
    <t>Commune Sai Gon</t>
  </si>
  <si>
    <t xml:space="preserve">Haruka </t>
  </si>
  <si>
    <t xml:space="preserve">0778856354
</t>
  </si>
  <si>
    <t>8a/2b1 Thái Văn Lung, Sài Gòn, Hồ Chí Minh</t>
  </si>
  <si>
    <t>Gringo Tacos</t>
  </si>
  <si>
    <t xml:space="preserve">Doug Stratton
</t>
  </si>
  <si>
    <t>0949123177</t>
  </si>
  <si>
    <t>tacoguy.vn@gmail.com</t>
  </si>
  <si>
    <t>28 Mê Linh, phường Thạnh Mỹ Tây, Thành phố Hồ Chí Minh</t>
  </si>
  <si>
    <t>Thạnh Mỹ Tây</t>
  </si>
  <si>
    <t>0314788423</t>
  </si>
  <si>
    <t>Hem Chill</t>
  </si>
  <si>
    <t>Fiy</t>
  </si>
  <si>
    <t xml:space="preserve"> 8/13A Đường số 49B, Thảo Điền, An Khánh, Hồ Chí Minh</t>
  </si>
  <si>
    <t xml:space="preserve">Quán Nông Trại Khoai </t>
  </si>
  <si>
    <t>02862853757</t>
  </si>
  <si>
    <t>89 Phạm Viết Chánh, Phường Thạnh Mỹ Tây, TP HCM</t>
  </si>
  <si>
    <t>Malt D1</t>
  </si>
  <si>
    <t>Tyler</t>
  </si>
  <si>
    <t xml:space="preserve"> 0978878636</t>
  </si>
  <si>
    <t>suxuanvy@gmail.com</t>
  </si>
  <si>
    <t>46-48 Mạc Thị Bưởi, Phường Sài Gòn, HCMC</t>
  </si>
  <si>
    <t>0314598616</t>
  </si>
  <si>
    <t>Malt South</t>
  </si>
  <si>
    <t>Ms Thảo</t>
  </si>
  <si>
    <t>0918484763</t>
  </si>
  <si>
    <t>Green View, 35 Đường Nguyễn Lương Bằng, Phường Tân Mỹ, Thành phố Hồ Chí Minh</t>
  </si>
  <si>
    <t>Tân Mỹ</t>
  </si>
  <si>
    <t>SOMA (GREEN BOX)</t>
  </si>
  <si>
    <t>Christine</t>
  </si>
  <si>
    <t>0931102408</t>
  </si>
  <si>
    <t>acc.thegreenbox@gmail.com</t>
  </si>
  <si>
    <t>6 Lê Văn Miến, Thảo Điền, An Khánh, Hồ Chí Minh</t>
  </si>
  <si>
    <t>0316147048</t>
  </si>
  <si>
    <t>Tippy's Mexican</t>
  </si>
  <si>
    <t>Tippy`s D Two</t>
  </si>
  <si>
    <t>0354759810</t>
  </si>
  <si>
    <t xml:space="preserve">99 Số 45, Phường 6, Khánh Hội, Hồ Chí Minh </t>
  </si>
  <si>
    <t>Khánh Hội</t>
  </si>
  <si>
    <t>TnR</t>
  </si>
  <si>
    <t xml:space="preserve">Mr Phát </t>
  </si>
  <si>
    <t>0933857 731</t>
  </si>
  <si>
    <t xml:space="preserve">57 Đỗ Quang Đẩu, Phường Phạm Ngũ Lão, Bến Thành, Hồ Chí Minh </t>
  </si>
  <si>
    <t>Phường Phạm Ngũ Lão, Bến Thành</t>
  </si>
  <si>
    <t>Uncle Coffee &amp; Beer</t>
  </si>
  <si>
    <t>Anh Việt</t>
  </si>
  <si>
    <t>0935043696</t>
  </si>
  <si>
    <t>41 Hoa Mai, Phường 2, Cầu Kiệu, Hồ Chí Minh</t>
  </si>
  <si>
    <t>Phường 2, Cầu Kiệu</t>
  </si>
  <si>
    <t>Union Jack</t>
  </si>
  <si>
    <t>Quỳnh</t>
  </si>
  <si>
    <t>0902304025</t>
  </si>
  <si>
    <t xml:space="preserve">10 Nguyễn Bá Lân, An Khánh, Hồ Chí Minh </t>
  </si>
  <si>
    <t>Wagon Wheel</t>
  </si>
  <si>
    <t>Logan</t>
  </si>
  <si>
    <t xml:space="preserve">0366667858
</t>
  </si>
  <si>
    <t xml:space="preserve"> 200 Lê Thánh Tôn, Bến Thành, Hồ Chí Minh</t>
  </si>
  <si>
    <t>Laura Heatwole</t>
  </si>
  <si>
    <t>0707315896</t>
  </si>
  <si>
    <t>Số 3 đường Nội Khu Mỹ Thái 2A, Phú Mỹ, Quận 7, HCM</t>
  </si>
  <si>
    <t>Phú Mỹ, Tân Mỹ</t>
  </si>
  <si>
    <t>Red Bison</t>
  </si>
  <si>
    <t>56 Phó Đức Chính, Bến Thành, Hồ Chí Minh</t>
  </si>
  <si>
    <t>Quán The Hideout Bar</t>
  </si>
  <si>
    <t xml:space="preserve"> Chị Thanh/ Thịnh</t>
  </si>
  <si>
    <t>0886649767/ 0342919250</t>
  </si>
  <si>
    <t>The Sun Avenue, SAV2-0018, 28 Mai Chí Thọ, An Phú, An Khánh, HCM</t>
  </si>
  <si>
    <t>An Phú, An Khánh</t>
  </si>
  <si>
    <t>Khách lẻ</t>
  </si>
  <si>
    <t>Phú Hồ</t>
  </si>
  <si>
    <t>0902395799</t>
  </si>
  <si>
    <t xml:space="preserve">Ngân hàng ACB- 67 – 69 Võ Nguyên Giáp, Thảo Điền, An Khánh, Hồ Chí Minh </t>
  </si>
  <si>
    <t>Mr Craft</t>
  </si>
  <si>
    <t>Tú</t>
  </si>
  <si>
    <t>0938939558</t>
  </si>
  <si>
    <t>24 Cao Triều Phát, Tân Phong, Tân Hưng, Hồ Chí Minh</t>
  </si>
  <si>
    <t>Tân Phong, Tân Hưng</t>
  </si>
  <si>
    <t>0316168591</t>
  </si>
  <si>
    <t>Hoppy Daze Bar</t>
  </si>
  <si>
    <t>Hương</t>
  </si>
  <si>
    <t>0933496858</t>
  </si>
  <si>
    <t>177 Trần Hưng Đạo, Cửa Lấp, Phú Quốc, An Giang</t>
  </si>
  <si>
    <t>An Giang</t>
  </si>
  <si>
    <t>Cửa Lấp, Phú Quốc</t>
  </si>
  <si>
    <t>Jimmy's New York Pizza</t>
  </si>
  <si>
    <t>Jimmy</t>
  </si>
  <si>
    <t>0896741099</t>
  </si>
  <si>
    <t>Accounting@jimmys.com.vn</t>
  </si>
  <si>
    <t xml:space="preserve">66 Đường C, Tân Phú, Tân Mỹ, Hồ Chí Minh </t>
  </si>
  <si>
    <t xml:space="preserve"> Tân Phú, Tân Mỹ</t>
  </si>
  <si>
    <t>0316366515</t>
  </si>
  <si>
    <t>7Bridges</t>
  </si>
  <si>
    <t>15B/12 Lê Thánh Tôn, Bến Nghé, Sài Gòn, Hồ Chí Minh</t>
  </si>
  <si>
    <t>Bến Nghé, Sài Gòn</t>
  </si>
  <si>
    <t>Mailala Hostel &amp; Bar</t>
  </si>
  <si>
    <t>Joseph</t>
  </si>
  <si>
    <t xml:space="preserve">175/16 Phạm Ngũ Lão, Phường Phạm Ngũ Lão, Bến Thành, Hồ Chí Minh </t>
  </si>
  <si>
    <t xml:space="preserve"> Phạm Ngũ Lão, Bến Thành</t>
  </si>
  <si>
    <t>Mơi Craft DaLat</t>
  </si>
  <si>
    <t>Ms Vy</t>
  </si>
  <si>
    <t xml:space="preserve">0786778568 </t>
  </si>
  <si>
    <t>38 Đường Trương Công Định, Phường 1, Xuân Hương - Đà Lạt, Lâm Đồng</t>
  </si>
  <si>
    <t>Boosh Rooftop</t>
  </si>
  <si>
    <t>Minh / Steven</t>
  </si>
  <si>
    <t>0938640280</t>
  </si>
  <si>
    <t>6 Bùi Viện, Phường Phạm Ngũ Lão, Bến Thành, Hồ Chí Minh</t>
  </si>
  <si>
    <t>0317457701</t>
  </si>
  <si>
    <t>Steerman taproom</t>
  </si>
  <si>
    <t>Wayne/ Ben</t>
  </si>
  <si>
    <t>0903409590/ 0767601869</t>
  </si>
  <si>
    <t>84 Phạm Viết Chánh, Phường 19, Thạnh Mỹ Tây, Hồ Chí Minh</t>
  </si>
  <si>
    <t>Phường 19, Thạnh Mỹ Tây</t>
  </si>
  <si>
    <t>Ohara</t>
  </si>
  <si>
    <t>Hoàng Yến</t>
  </si>
  <si>
    <t>8a/a15bis Thái Văn Lung, Bến Nghé, Sài Gòn, Hồ Chí Minh</t>
  </si>
  <si>
    <t>Barb Wire Saigon</t>
  </si>
  <si>
    <t xml:space="preserve">Toni </t>
  </si>
  <si>
    <t>0913189923</t>
  </si>
  <si>
    <t>95 Hai Bà Trưng, Bến Nghé, Sài Gòn, Hồ Chí Minh</t>
  </si>
  <si>
    <t>Jackalope</t>
  </si>
  <si>
    <t>0366667858</t>
  </si>
  <si>
    <t>56 Phó Đức Chính, Phường Nguyễn Thái Bình, Bến Thành, Hồ Chí Minh</t>
  </si>
  <si>
    <t>Nguyễn Thái Bình, Bến Thành</t>
  </si>
  <si>
    <t>Bearloga</t>
  </si>
  <si>
    <t>Uliana</t>
  </si>
  <si>
    <t>0346194144/ 0707302443</t>
  </si>
  <si>
    <t>19 Trần Ngọc Diện, Thảo Điền, An Khánh, Hồ Chí Minh</t>
  </si>
  <si>
    <t>Seven Saigon</t>
  </si>
  <si>
    <t>0346194144</t>
  </si>
  <si>
    <t>38 Hưng Gia 3, Tân Phong, Tân Hưng, Hồ Chí Minh</t>
  </si>
  <si>
    <t>7 Bridges Saigon</t>
  </si>
  <si>
    <t xml:space="preserve">Kat </t>
  </si>
  <si>
    <t xml:space="preserve"> 0932993992</t>
  </si>
  <si>
    <t>procurement@7bridges.vn</t>
  </si>
  <si>
    <t>38 Đông Du, Bến Nghé, Sài Gòn, Hồ Chí Minh</t>
  </si>
  <si>
    <t>0401824491</t>
  </si>
  <si>
    <t>Nông Trại Khoai QH</t>
  </si>
  <si>
    <t>85 Quốc Hương, Thảo Điền, An Khánh, Hồ Chí Minh</t>
  </si>
  <si>
    <t>Hallo Beer &amp; Chill</t>
  </si>
  <si>
    <t>0902807617</t>
  </si>
  <si>
    <t>54/2M, Lê Thị Hà, Tân Xuân, Hóc Môn, Hồ Chí Minh</t>
  </si>
  <si>
    <t>Tân Xuân, Hóc Môn</t>
  </si>
  <si>
    <t>Homie Craft Beer &amp; Beer</t>
  </si>
  <si>
    <t xml:space="preserve">Vu </t>
  </si>
  <si>
    <t>0901949492</t>
  </si>
  <si>
    <t>501 Đ. Hai Bà Trưng, Phường Cẩm Phổ, Hội An, Đà Nẵng</t>
  </si>
  <si>
    <t>Cẩm Phổ, Hội An</t>
  </si>
  <si>
    <t>Jimmy's Pizza D1</t>
  </si>
  <si>
    <t>0896741099/ 0931334509</t>
  </si>
  <si>
    <t>50 Đặng Thị Nhu, Phường Nguyễn Thái Bình, Bến Thành, Hồ Chí Minh</t>
  </si>
  <si>
    <t>`0314788423</t>
  </si>
  <si>
    <t>Saigon Hot Wings</t>
  </si>
  <si>
    <t>Steve</t>
  </si>
  <si>
    <t>0921794753</t>
  </si>
  <si>
    <t>85/29 Phạm Viết Chánh, Phường 19, Bình Thạnh, Thành phố Hồ Chí Minh</t>
  </si>
  <si>
    <t>Midway Cafe</t>
  </si>
  <si>
    <t>Ngô Việt Cường</t>
  </si>
  <si>
    <t>0908.32.52.72</t>
  </si>
  <si>
    <t>73 Đ. Phan Đình Phùng, Phú Nhuận, Hồ Chí Minh</t>
  </si>
  <si>
    <t>Phú Nhuận</t>
  </si>
  <si>
    <t>H- Pub</t>
  </si>
  <si>
    <t>Hsn/ Vy</t>
  </si>
  <si>
    <t>0704752046 - 0932144840</t>
  </si>
  <si>
    <t>goldencastle537@gmail.com</t>
  </si>
  <si>
    <t>26 Phạm Viết Chánh, Phường 19, Quận Bình Thạnh</t>
  </si>
  <si>
    <t>0318265537</t>
  </si>
  <si>
    <t>Phatty’s Bar and Grill</t>
  </si>
  <si>
    <t>46-48 Đ. Tôn Thất Thiệp, Bến Nghé, Sài Gòn, Hồ Chí Minh</t>
  </si>
  <si>
    <t>Tacos Fuego</t>
  </si>
  <si>
    <t>Matt</t>
  </si>
  <si>
    <t>0777143900</t>
  </si>
  <si>
    <t>48 Phạm Viết Chánh, P. 19, Thạnh Mỹ Tây, Hồ Chí Minh</t>
  </si>
  <si>
    <t>Mulligans Saigon (New)</t>
  </si>
  <si>
    <t>0909302203</t>
  </si>
  <si>
    <t>91 Nguyễn Thái Bình, Phường Nguyễn Thái Bình, Bến Thành, Hồ Chí Minh</t>
  </si>
  <si>
    <t>The Pit Smoker</t>
  </si>
  <si>
    <t>Giao</t>
  </si>
  <si>
    <t>0837121045</t>
  </si>
  <si>
    <t>23/41 Phan Đăng Lưu, Phường 3, Gia Định, Hồ Chí Minh</t>
  </si>
  <si>
    <t>Phường 3, Gia Định</t>
  </si>
  <si>
    <t>RESHAPE SAIGON (5to9)</t>
  </si>
  <si>
    <t>Tâm</t>
  </si>
  <si>
    <t>0775290398/ 0935638068</t>
  </si>
  <si>
    <t xml:space="preserve">2 Đường số 48, Thảo Điền, An Khánh, Hồ Chí Minh </t>
  </si>
  <si>
    <t>Le Café des Stagiaires - Saigon</t>
  </si>
  <si>
    <t>Lynn</t>
  </si>
  <si>
    <t>8-10 Đường số 54, Thảo Điền, An Khánh, Hồ Chí Minh</t>
  </si>
  <si>
    <t>Jimmy's Pizza D2</t>
  </si>
  <si>
    <t>0896741099/ 0931 334 509</t>
  </si>
  <si>
    <t>29 Nguyễn Bá Lân, Thảo Điền, An Khánh, Hồ Chí Minh</t>
  </si>
  <si>
    <t>3B Bar Saigon</t>
  </si>
  <si>
    <t xml:space="preserve">Thảo </t>
  </si>
  <si>
    <t>0907368873</t>
  </si>
  <si>
    <t>109/8 Trần Khắc Chân, Tân Định, Hồ Chí Minh</t>
  </si>
  <si>
    <t>Tân Định</t>
  </si>
  <si>
    <t>Khói Craft &amp; Brew HCM</t>
  </si>
  <si>
    <t xml:space="preserve">Nghiệp </t>
  </si>
  <si>
    <t>0977317721</t>
  </si>
  <si>
    <t xml:space="preserve">1/2A, Lê Tấn Quốc, Phường 13, Tân Bình, Hồ Chí Minh </t>
  </si>
  <si>
    <t>Phường 13, Tân Bình</t>
  </si>
  <si>
    <t xml:space="preserve">Big Bear Concepts </t>
  </si>
  <si>
    <t>Tuấn</t>
  </si>
  <si>
    <t>0915882224</t>
  </si>
  <si>
    <t>ketoan.bigbearconcepts@gmail.com</t>
  </si>
  <si>
    <t>13 Thái Ly (Đường 41), Phường An Khánh, Thành phố Hồ Chí Minh</t>
  </si>
  <si>
    <t>Phường An Khánh</t>
  </si>
  <si>
    <t>0318750879</t>
  </si>
  <si>
    <t>The 67 Pub &amp; Restaurant</t>
  </si>
  <si>
    <t>Max / Ms Luu</t>
  </si>
  <si>
    <t>0767672267</t>
  </si>
  <si>
    <t>Tòa H Star Hill, 10 số 10, Tân Phú, Tân Mỹ, Hồ Chí Minh</t>
  </si>
  <si>
    <t>Tân Phú, Tân Mỹ,</t>
  </si>
  <si>
    <t>Lotus Hair</t>
  </si>
  <si>
    <t>other</t>
  </si>
  <si>
    <t>Quyên</t>
  </si>
  <si>
    <t>0982876709</t>
  </si>
  <si>
    <t>42/8 Nguyễn Thượng Hiền, Phường Bàn Cờ, HCM</t>
  </si>
  <si>
    <t>Bàn Cờ</t>
  </si>
  <si>
    <t xml:space="preserve"> Khuii Qui Nhơn</t>
  </si>
  <si>
    <t>Hồng Nhật</t>
  </si>
  <si>
    <t>0962269377</t>
  </si>
  <si>
    <t>90 Trần Khánh Dư, Nguyễn Văn Cừ, Quy Nhơn Nam, Gia Lai</t>
  </si>
  <si>
    <t>Gia Lai</t>
  </si>
  <si>
    <t>Quy Nhơn Nam</t>
  </si>
  <si>
    <t>Big Pig NĐK</t>
  </si>
  <si>
    <t>Nhi</t>
  </si>
  <si>
    <t>0982063543</t>
  </si>
  <si>
    <t>84 Ngô Đức Kế, Bến Nghé, Sài Gòn, Hồ Chí Minh</t>
  </si>
  <si>
    <t>Chị Hạnh</t>
  </si>
  <si>
    <t>15 Nguyễn Văn Thủ, Đa Kao, Tân Định, Hồ Chí Minh</t>
  </si>
  <si>
    <t>Đa Kao, Tân Định</t>
  </si>
  <si>
    <t>Mingles</t>
  </si>
  <si>
    <t>Tuan Nguyen</t>
  </si>
  <si>
    <t>0829807799</t>
  </si>
  <si>
    <t>102/7 Đ. Cống Quỳnh, Phường Phạm Ngũ Lão, Bến Thành, Hồ Chí Minh</t>
  </si>
  <si>
    <t>Spritz: Cocktail Lounge &amp; Italian Kitchen</t>
  </si>
  <si>
    <t>Andy/Khanh</t>
  </si>
  <si>
    <t>0901684145</t>
  </si>
  <si>
    <t xml:space="preserve">M5, 01 Midtown, Nguyễn Lương Bằng, Tân Phú, Tân Mỹ, Hồ Chí Minh </t>
  </si>
  <si>
    <t>Tân Phú, Tân Mỹ</t>
  </si>
  <si>
    <t>Công ty HMG</t>
  </si>
  <si>
    <t>0912345140</t>
  </si>
  <si>
    <t>440/6 Nơ Trang Long, Phường 13, Bình Lợi Trung, Hồ Chí Minh</t>
  </si>
  <si>
    <t>Phường 13, Bình Lợi Trung</t>
  </si>
  <si>
    <t>BCB - Burgers Cocktails &amp; Beers</t>
  </si>
  <si>
    <t>Sam</t>
  </si>
  <si>
    <t>0815416092</t>
  </si>
  <si>
    <t>23 Nội khu Hưng Phước 1, Phu My Hung, Tân Hưng, Hồ Chí Minh</t>
  </si>
  <si>
    <t>Phu My Hung, Tân Hưng</t>
  </si>
  <si>
    <t>Achikochi Restaurant</t>
  </si>
  <si>
    <t>Bao Linh</t>
  </si>
  <si>
    <t>0987827230</t>
  </si>
  <si>
    <t>15 Mê Linh, Phường 19, Phường Thạnh Mỹ Tây, Thành phố Hồ Chí Minh (Phường Thạnh Mỹ Tây mới)</t>
  </si>
  <si>
    <t>Phường 19, Phường Thạnh Mỹ Tây</t>
  </si>
  <si>
    <t>0319119754</t>
  </si>
  <si>
    <t>Swimming Chicken</t>
  </si>
  <si>
    <t>Hayden Nguyễn</t>
  </si>
  <si>
    <t>0708948240</t>
  </si>
  <si>
    <t>42/58 Hoàng Hoa Thám, Phường 7, Gia Định, Hồ Chí Minh</t>
  </si>
  <si>
    <t>Phường 7, Gia Định</t>
  </si>
  <si>
    <t>Quán BEER2 (YOBE cũ)</t>
  </si>
  <si>
    <t>0906008953</t>
  </si>
  <si>
    <t>92 Đường số 41, Tân Phong, Tân Hưng, Hồ Chí Minh</t>
  </si>
  <si>
    <t>Tân Phong, Tân Hưng,</t>
  </si>
  <si>
    <t>The Shed</t>
  </si>
  <si>
    <t>Ryan</t>
  </si>
  <si>
    <t>0782350178</t>
  </si>
  <si>
    <t>178 Pasteur, Phường Bến Nghé, Hồ Chí Minh</t>
  </si>
  <si>
    <t>Bến Nghé</t>
  </si>
  <si>
    <t>Pizza Belga HCM</t>
  </si>
  <si>
    <t>Đạt- Kevin</t>
  </si>
  <si>
    <t>0906246967/ 0379018883</t>
  </si>
  <si>
    <t>9A Phan Kế Bính, Đa Kao, Tân Định, Hồ Chí Minh</t>
  </si>
  <si>
    <t>Boosh 2</t>
  </si>
  <si>
    <t>26 Đỗ Quang Đẩu, Phường Phạm Ngũ Lão, Bến Thành, Hồ Chí Minh</t>
  </si>
  <si>
    <t>Phạm Ngũ Lão, Bến Thành</t>
  </si>
  <si>
    <t>Alibi Bar + Brunch</t>
  </si>
  <si>
    <t>Tien</t>
  </si>
  <si>
    <t>0704580559</t>
  </si>
  <si>
    <t>93c Võ Văn Tần, Phường 6, Xuân Hòa, Hồ Chí Minh</t>
  </si>
  <si>
    <t>Phường 6, Xuân Hòa,</t>
  </si>
  <si>
    <t>079201012807</t>
  </si>
  <si>
    <t>Kizuna</t>
  </si>
  <si>
    <t>Phú/ Thọ</t>
  </si>
  <si>
    <t>Canteen khu ECI2IP - Tổ chức tiệc Kizuna 2</t>
  </si>
  <si>
    <t>Tây Ninh</t>
  </si>
  <si>
    <t>Cần Giuộc</t>
  </si>
  <si>
    <t>Hà Nội - Kho Kubi</t>
  </si>
  <si>
    <t>distributor</t>
  </si>
  <si>
    <t>Anh Hiếu</t>
  </si>
  <si>
    <t>0904693698</t>
  </si>
  <si>
    <t>Số 48 Phố Hàng Vải, Phường Hoàn Kiếm, Thành phố Hà Nội</t>
  </si>
  <si>
    <t>Hà Nội</t>
  </si>
  <si>
    <t>Hoàn Kiếm</t>
  </si>
  <si>
    <t>Northern Distributor</t>
  </si>
  <si>
    <t>Mini House - Kon Tum</t>
  </si>
  <si>
    <t>Tính</t>
  </si>
  <si>
    <t>0935478799</t>
  </si>
  <si>
    <t>36 Nguyễn Trãi, Thống Nhất, Kon Tum, Quảng Ngãi</t>
  </si>
  <si>
    <t>Quảng Ngãi</t>
  </si>
  <si>
    <t>Kon Tum</t>
  </si>
  <si>
    <t>The Junkyard Nha Trang</t>
  </si>
  <si>
    <t>Ricky</t>
  </si>
  <si>
    <t>0774182690</t>
  </si>
  <si>
    <t>33 Bạch Đằng, Phước Tiến, Nha Trang, Khánh Hòa</t>
  </si>
  <si>
    <t>Khánh Hòa</t>
  </si>
  <si>
    <t>Nha Trang</t>
  </si>
  <si>
    <t>Nha Trang Distributor</t>
  </si>
  <si>
    <t>Nhà hàng Chuồn Chuồn Bistro &amp; Bar</t>
  </si>
  <si>
    <t>Như</t>
  </si>
  <si>
    <t>0393239317</t>
  </si>
  <si>
    <t>đặc khu, Thửa đất 60, Tờ bản đồ 122, Tổ 3 Đường Trần Hưng Đạo, kp7, Phú Quốc, An Giang</t>
  </si>
  <si>
    <t>Phú Quốc</t>
  </si>
  <si>
    <t xml:space="preserve">Siêu Thị King Kong Mart </t>
  </si>
  <si>
    <t>0978174033</t>
  </si>
  <si>
    <t>141A Đường Trần Hưng Đạo, Phường, Phú Quốc, An Giang</t>
  </si>
  <si>
    <t>Unique Craft Beer</t>
  </si>
  <si>
    <t>0989671324</t>
  </si>
  <si>
    <t>43 Nguyễn Hồng Châu, Ghềnh Ráng, Quy Nhơn Nam, Gia Lai</t>
  </si>
  <si>
    <t>Quy Nhơn Sports Bar</t>
  </si>
  <si>
    <t xml:space="preserve">Ms Hue </t>
  </si>
  <si>
    <t>0788620663</t>
  </si>
  <si>
    <t xml:space="preserve"> 92 An Dương Vương, Nguyễn Văn Cừ, Quy Nhơn Nam, Gia Lai </t>
  </si>
  <si>
    <t>7 Bridges Hoi An</t>
  </si>
  <si>
    <t>Thảo/ Hà</t>
  </si>
  <si>
    <t xml:space="preserve"> 0903533080/ 0799015601</t>
  </si>
  <si>
    <t>36 Trần Phú, Phường Minh An, Hội An, Đà Nẵng</t>
  </si>
  <si>
    <t>Soul Pizza &amp; Burger</t>
  </si>
  <si>
    <t>Sasha</t>
  </si>
  <si>
    <t>0703546845</t>
  </si>
  <si>
    <t>3 Hoàng Diệu, Phường 1, Vũng Tàu, Hồ Chí Minh</t>
  </si>
  <si>
    <t>Phường 1, Vũng Tàu</t>
  </si>
  <si>
    <t>Nhà hàng Riso Amaro</t>
  </si>
  <si>
    <t>Đình Văn</t>
  </si>
  <si>
    <t>0932968231</t>
  </si>
  <si>
    <t>Takai Mart, Đường Hồ Thanh Tòng, Côn Đảo, Hồ Chí Minh</t>
  </si>
  <si>
    <t>Côn Đảo</t>
  </si>
  <si>
    <t>Twisted Throttle Tavern</t>
  </si>
  <si>
    <t>Huong</t>
  </si>
  <si>
    <t>0935615018</t>
  </si>
  <si>
    <t>19 Phan Chu Trinh, Phường 2, Vũng Tàu, Hồ Chí Minh</t>
  </si>
  <si>
    <t>Phường 2, Vũng Tàu</t>
  </si>
  <si>
    <t>Flour Power</t>
  </si>
  <si>
    <t>Tram Tran</t>
  </si>
  <si>
    <t>0906608673</t>
  </si>
  <si>
    <t>68 Phan Chu Trinh, Phường 2, Vũng Tàu, Hồ Chí Minh</t>
  </si>
  <si>
    <t>Black Bird Brunch &amp; Bites</t>
  </si>
  <si>
    <t>Nhật Vy</t>
  </si>
  <si>
    <t>0382264034</t>
  </si>
  <si>
    <t xml:space="preserve"> N 4/4 Hoàng Hữu Nam, Phường 2, Vũng Tàu, Hồ Chí Minh</t>
  </si>
  <si>
    <t>Home Delivery</t>
  </si>
  <si>
    <t>Anh Trung</t>
  </si>
  <si>
    <t>0903161648</t>
  </si>
  <si>
    <t>54/15 Nguyễn Bỉnh Khiêm, phường Thắng Tam Thành phố Vũng Tàu</t>
  </si>
  <si>
    <t>Vũng Tàu</t>
  </si>
  <si>
    <t xml:space="preserve">  All brewery equipment and tanks</t>
  </si>
  <si>
    <t>equipment_type</t>
  </si>
  <si>
    <t>capacity</t>
  </si>
  <si>
    <t>capacity_unit</t>
  </si>
  <si>
    <t>status</t>
  </si>
  <si>
    <t>last_cleaned (YYYY-MM-DD)</t>
  </si>
  <si>
    <t>Options: fermenter, brewhouse, processing, packaging, cooling</t>
  </si>
  <si>
    <t>Options: L, kg, gal</t>
  </si>
  <si>
    <t>Options: available, in_use, maintenance, cleaning, out_of_service</t>
  </si>
  <si>
    <t xml:space="preserve">Glycol Chiller System </t>
  </si>
  <si>
    <t>cooling</t>
  </si>
  <si>
    <t>HP</t>
  </si>
  <si>
    <t>in_use</t>
  </si>
  <si>
    <t xml:space="preserve">Glycol Tank </t>
  </si>
  <si>
    <t>Cooling Tower</t>
  </si>
  <si>
    <t>Steam Boiler</t>
  </si>
  <si>
    <t>brewhouse</t>
  </si>
  <si>
    <t>Grain Room Compressor Unit</t>
  </si>
  <si>
    <t>storage</t>
  </si>
  <si>
    <t>m3</t>
  </si>
  <si>
    <t>Cold Room Compressor Unit</t>
  </si>
  <si>
    <t>Malt Miller</t>
  </si>
  <si>
    <t>processing</t>
  </si>
  <si>
    <t>Electronic Scale</t>
  </si>
  <si>
    <t>3 Vessels Brewing System</t>
  </si>
  <si>
    <t>Hot Liquid Tank</t>
  </si>
  <si>
    <t>Cold Liquid Tank</t>
  </si>
  <si>
    <t>Heat Exchanger</t>
  </si>
  <si>
    <t>m2</t>
  </si>
  <si>
    <t>RO Filtration System</t>
  </si>
  <si>
    <t>RO Water Tank</t>
  </si>
  <si>
    <t>Pre-filtration Water Tank</t>
  </si>
  <si>
    <t>Fermenting Vessel 1</t>
  </si>
  <si>
    <t>fermenter</t>
  </si>
  <si>
    <t>Fermenting Vessel 2</t>
  </si>
  <si>
    <t>Fermenting Vessel 3</t>
  </si>
  <si>
    <t>Fermenting Vessel 4</t>
  </si>
  <si>
    <t>Fermenting Vessel 5</t>
  </si>
  <si>
    <t>Fermenting Vessel 6</t>
  </si>
  <si>
    <t>Fermenting Vessel 7</t>
  </si>
  <si>
    <t>Fermenting Vessel 8</t>
  </si>
  <si>
    <t>Fermenting Vessel 9</t>
  </si>
  <si>
    <t>Bottle/Can Labeling Machine</t>
  </si>
  <si>
    <t>cpm</t>
  </si>
  <si>
    <t xml:space="preserve">Shrink Sleeve Labeling Machine </t>
  </si>
  <si>
    <t>available</t>
  </si>
  <si>
    <t xml:space="preserve">Heat Tunnel </t>
  </si>
  <si>
    <t>Bottle Heat Shrink Tunnel</t>
  </si>
  <si>
    <t>Beer Filtration Machine</t>
  </si>
  <si>
    <t>filtration</t>
  </si>
  <si>
    <t>Electric Steam Boiler</t>
  </si>
  <si>
    <t xml:space="preserve">Food Grade Pump </t>
  </si>
  <si>
    <t>2 Vessels Pilot Brewing System</t>
  </si>
  <si>
    <t>Pilot Fermenting Vessel 1</t>
  </si>
  <si>
    <t>Pilot Fermenting Vessel 2</t>
  </si>
  <si>
    <t>Pilot Fermenting Vessel 3</t>
  </si>
  <si>
    <t>Hydrometer</t>
  </si>
  <si>
    <t>Refractometer</t>
  </si>
  <si>
    <t>Mechanical Scale 1</t>
  </si>
  <si>
    <t>Mechanical Scale 2</t>
  </si>
  <si>
    <t>High Pressure Washer</t>
  </si>
  <si>
    <t>Big CO2 Bottles 20L</t>
  </si>
  <si>
    <t>btls</t>
  </si>
  <si>
    <t>Small CO2 Bottles 10L</t>
  </si>
  <si>
    <t>Package Pre-filter</t>
  </si>
  <si>
    <t>Zahm&amp;Nagel CO2 Tester</t>
  </si>
  <si>
    <t>Keg Cleaning Machine</t>
  </si>
  <si>
    <t>kph</t>
  </si>
  <si>
    <t>RO Booster Pump</t>
  </si>
  <si>
    <t>Food Grade Hose 1</t>
  </si>
  <si>
    <t>m</t>
  </si>
  <si>
    <t>Food Grade Hose 2</t>
  </si>
  <si>
    <t>Food Grade Hose 3</t>
  </si>
  <si>
    <t>Food Grade Hose 4</t>
  </si>
  <si>
    <t>Food Grade Hose 5</t>
  </si>
  <si>
    <t>Food Grade Hose 6</t>
  </si>
  <si>
    <t>Food Grade Hose 7</t>
  </si>
  <si>
    <t>Food Grade Hose 8</t>
  </si>
  <si>
    <t>Food Grade Hose 9</t>
  </si>
  <si>
    <t>Water Hose</t>
  </si>
  <si>
    <t>CO2 Regulator 1</t>
  </si>
  <si>
    <t>CO2 Regulator 2</t>
  </si>
  <si>
    <t>Canning Line</t>
  </si>
  <si>
    <t xml:space="preserve">  Yeast strain catalog and specifications</t>
  </si>
  <si>
    <t>lab</t>
  </si>
  <si>
    <t>product_id</t>
  </si>
  <si>
    <t>yeast_type</t>
  </si>
  <si>
    <t>form</t>
  </si>
  <si>
    <t>attenuation_min</t>
  </si>
  <si>
    <t>attenuation_max</t>
  </si>
  <si>
    <t>flocculation</t>
  </si>
  <si>
    <t>min_temp (C)</t>
  </si>
  <si>
    <t>max_temp (C)</t>
  </si>
  <si>
    <t>alcohol_tolerance (%)</t>
  </si>
  <si>
    <t>Options: ale, lager, wheat, belgian, wild</t>
  </si>
  <si>
    <t>Options: dry, liquid</t>
  </si>
  <si>
    <t>Options: low, medium, high</t>
  </si>
  <si>
    <t>US-05</t>
  </si>
  <si>
    <t>Fermentis</t>
  </si>
  <si>
    <t>NVL020</t>
  </si>
  <si>
    <t>ale</t>
  </si>
  <si>
    <t>dry</t>
  </si>
  <si>
    <t>medium</t>
  </si>
  <si>
    <t>Clean, neutral American ale yeast</t>
  </si>
  <si>
    <t>LAX</t>
  </si>
  <si>
    <t>WHC</t>
  </si>
  <si>
    <t>NVL100</t>
  </si>
  <si>
    <t>Medium Low to Medium</t>
  </si>
  <si>
    <t>LAX yeast is a clean, highly versatile and reliable yeast strain that was isolated from a famous West Coast brewery and has since become a staple in the brewing industry. It's a top-fermenting yeast renowned for its clean and neutral flavour profile, making it an excellent choice for a wide range of beer styles.</t>
  </si>
  <si>
    <t xml:space="preserve">Banana Split </t>
  </si>
  <si>
    <t>NVL092</t>
  </si>
  <si>
    <t>wheat</t>
  </si>
  <si>
    <t>Low to Medium</t>
  </si>
  <si>
    <t>Banana Split is a maestro in producing high levels of isoamyl acetate, the compound responsible for that delightful banana flavour, which is wonderfully balanced by very subtle undertones of apple, clove and plum.</t>
  </si>
  <si>
    <t xml:space="preserve">Saturated </t>
  </si>
  <si>
    <t>NVL091</t>
  </si>
  <si>
    <t>Medium to High</t>
  </si>
  <si>
    <t>Saturated yeast is an excellent choice for brewing New England IPA styles. This yeast strain produces a hazy, juicy and fruity beer with a soft mouthfeel, a hallmark of New England IPA.</t>
  </si>
  <si>
    <t>Einstein Lager</t>
  </si>
  <si>
    <t>NVL108</t>
  </si>
  <si>
    <t>lager</t>
  </si>
  <si>
    <t>low</t>
  </si>
  <si>
    <t>Einstein dry lager yeast is a master of subtlety, with low ester formation during fermentation, allowing the true character of your chosen malt and hops to take centre stage. Additionally, its medium sulphur production is well within the desirable range, ensuring that your lagers maintain a flawless balance of flavours.</t>
  </si>
  <si>
    <t>Belgian Haze</t>
  </si>
  <si>
    <t>NVL 112</t>
  </si>
  <si>
    <t>Medium to Low</t>
  </si>
  <si>
    <t>A dried wit yeast that is the perfect strain for Belgian beers it produces a nice balance of
spice and phenols along with lower acidity. Pairs well with orange, lemon zest and coriander.</t>
  </si>
  <si>
    <t xml:space="preserve">  Packaging stock inventory (cans, bottles, kegs, carriers)</t>
  </si>
  <si>
    <t>reorder_level</t>
  </si>
  <si>
    <t>Options: can, bottle, keg, carrier, box</t>
  </si>
  <si>
    <t>Options: pcs, rolls, kg</t>
  </si>
  <si>
    <t>can</t>
  </si>
  <si>
    <t>keg</t>
  </si>
  <si>
    <t>Piece</t>
  </si>
  <si>
    <t>box</t>
  </si>
  <si>
    <t xml:space="preserve">  Main recipe info - one row per recipe. References Products.</t>
  </si>
  <si>
    <t>product_name</t>
  </si>
  <si>
    <t>batch_size (L)</t>
  </si>
  <si>
    <t>batch_size_unit</t>
  </si>
  <si>
    <t>boil_time (min)</t>
  </si>
  <si>
    <t>efficiency (%)</t>
  </si>
  <si>
    <t>og</t>
  </si>
  <si>
    <t>fg</t>
  </si>
  <si>
    <t>ebc</t>
  </si>
  <si>
    <t>Options: L, gal</t>
  </si>
  <si>
    <t>HH:MM</t>
  </si>
  <si>
    <t>LM</t>
  </si>
  <si>
    <t>CB</t>
  </si>
  <si>
    <t>LG</t>
  </si>
  <si>
    <t>PA</t>
  </si>
  <si>
    <t>HB</t>
  </si>
  <si>
    <t>IRA</t>
  </si>
  <si>
    <t>JL</t>
  </si>
  <si>
    <t>Blanc</t>
  </si>
  <si>
    <t>CW1</t>
  </si>
  <si>
    <t>CW2</t>
  </si>
  <si>
    <t>Tet</t>
  </si>
  <si>
    <t>MAD</t>
  </si>
  <si>
    <t xml:space="preserve">  Grain bill per recipe. References Raw Materials (malt/adjunct).</t>
  </si>
  <si>
    <t>recipe_name</t>
  </si>
  <si>
    <t>material_name</t>
  </si>
  <si>
    <t>amount</t>
  </si>
  <si>
    <t>percentage</t>
  </si>
  <si>
    <t>potential</t>
  </si>
  <si>
    <t>color (EBC)</t>
  </si>
  <si>
    <t>Ethanol</t>
  </si>
  <si>
    <t>Water</t>
  </si>
  <si>
    <t>BBM Pale Ale Malt</t>
  </si>
  <si>
    <t>BBM Pale Malt</t>
  </si>
  <si>
    <t>Weyermann Caramunich I</t>
  </si>
  <si>
    <t>Crisp Chocomalt</t>
  </si>
  <si>
    <t>Flaked Barley</t>
  </si>
  <si>
    <t>Flaked Oats</t>
  </si>
  <si>
    <t>Chateau Rye</t>
  </si>
  <si>
    <t>Chateau Chit Barley</t>
  </si>
  <si>
    <t>Crips Chocomalt</t>
  </si>
  <si>
    <t xml:space="preserve">  Hop additions per recipe. References Raw Materials (hops).</t>
  </si>
  <si>
    <t>hop_name</t>
  </si>
  <si>
    <t>alpha_acid (%)</t>
  </si>
  <si>
    <t>use_type</t>
  </si>
  <si>
    <t>ibu_contribution</t>
  </si>
  <si>
    <t>Options: boil, dry_hop, whirlpool, first_wort, mash</t>
  </si>
  <si>
    <t>g</t>
  </si>
  <si>
    <t>boil</t>
  </si>
  <si>
    <t>whirlpool</t>
  </si>
  <si>
    <t>dry_hop</t>
  </si>
  <si>
    <t xml:space="preserve">Amarillo </t>
  </si>
  <si>
    <t>Sabro</t>
  </si>
  <si>
    <t>1st</t>
  </si>
  <si>
    <t>2nd</t>
  </si>
  <si>
    <t>3rd</t>
  </si>
  <si>
    <t>Tradition</t>
  </si>
  <si>
    <t xml:space="preserve">  Yeast per recipe. References Yeast Strains.</t>
  </si>
  <si>
    <t>yeast_name</t>
  </si>
  <si>
    <t>attenuation (%)</t>
  </si>
  <si>
    <t xml:space="preserve">  Mash schedule per recipe.</t>
  </si>
  <si>
    <t>step_number</t>
  </si>
  <si>
    <t>step_type</t>
  </si>
  <si>
    <t>temperature (C)</t>
  </si>
  <si>
    <t>duration (min)</t>
  </si>
  <si>
    <t>Options: temperature, decoction, infusion, batch_sparge, fly_sparge</t>
  </si>
  <si>
    <t>Mash in</t>
  </si>
  <si>
    <t>temperature</t>
  </si>
  <si>
    <t>Protein rest</t>
  </si>
  <si>
    <t xml:space="preserve">  Special additions per recipe (coffee, fruit, spices, etc.).</t>
  </si>
  <si>
    <t>ingredient_type</t>
  </si>
  <si>
    <t>add_time</t>
  </si>
  <si>
    <t>Options: coffee, chocolate, spice, fruit, herb</t>
  </si>
  <si>
    <t>herb</t>
  </si>
  <si>
    <t>Corriander Seed</t>
  </si>
  <si>
    <t>Vanilla</t>
  </si>
  <si>
    <t>bean</t>
  </si>
  <si>
    <t>secondary</t>
  </si>
  <si>
    <t>Whisky</t>
  </si>
  <si>
    <t>ml</t>
  </si>
  <si>
    <t>Wood Chip</t>
  </si>
  <si>
    <t xml:space="preserve">  Production batch records. References Products, Equipment, Staff.</t>
  </si>
  <si>
    <t>batch_number</t>
  </si>
  <si>
    <t>tank_name</t>
  </si>
  <si>
    <t>planned_quantity (L)</t>
  </si>
  <si>
    <t>actual_quantity (L)</t>
  </si>
  <si>
    <t>start_date (YYYY-MM-DD)</t>
  </si>
  <si>
    <t>end_date (YYYY-MM-DD)</t>
  </si>
  <si>
    <t>brewer_name</t>
  </si>
  <si>
    <t>Options: planned, brewing, fermenting, conditioning, completed</t>
  </si>
  <si>
    <t>LG--170</t>
  </si>
  <si>
    <t>FV3</t>
  </si>
  <si>
    <t>planned</t>
  </si>
  <si>
    <t>Tien, Khoi, Hien</t>
  </si>
  <si>
    <t>IPA--169</t>
  </si>
  <si>
    <t>FV2</t>
  </si>
  <si>
    <t>LG-0416-168</t>
  </si>
  <si>
    <t>FV1</t>
  </si>
  <si>
    <t>conditioning</t>
  </si>
  <si>
    <t>LM-0409-166</t>
  </si>
  <si>
    <t>FV5</t>
  </si>
  <si>
    <t>JL-0409-167</t>
  </si>
  <si>
    <t>FV7</t>
  </si>
  <si>
    <t>completed</t>
  </si>
  <si>
    <t>Blanc-0331-163</t>
  </si>
  <si>
    <t>FV6</t>
  </si>
  <si>
    <t>CW2-0331-165</t>
  </si>
  <si>
    <t>Clone Water Saazy Cabby</t>
  </si>
  <si>
    <t>FV8</t>
  </si>
  <si>
    <t>LM-0326-160</t>
  </si>
  <si>
    <t>IPA-0324-162</t>
  </si>
  <si>
    <t>FV4</t>
  </si>
  <si>
    <t>PA-0320-161</t>
  </si>
  <si>
    <t>CW1-0320-164</t>
  </si>
  <si>
    <t>FV9</t>
  </si>
  <si>
    <t>LG-0310-159</t>
  </si>
  <si>
    <t>Crazy-1014-158</t>
  </si>
  <si>
    <t>Crazy Duck Wheat</t>
  </si>
  <si>
    <t>LM-0128-157</t>
  </si>
  <si>
    <t>JL-0127-156</t>
  </si>
  <si>
    <t>Tet-0124-155</t>
  </si>
  <si>
    <t>Bia Tết 2026</t>
  </si>
  <si>
    <t>PA-0121-154</t>
  </si>
  <si>
    <t>IPA-0116-153</t>
  </si>
  <si>
    <t>LM-0114-152</t>
  </si>
  <si>
    <t>LG-0107-151</t>
  </si>
  <si>
    <t>IPA-1205-147</t>
  </si>
  <si>
    <t>PA-1127-146</t>
  </si>
  <si>
    <t>JL-1126-145</t>
  </si>
  <si>
    <t>LG-1015-143</t>
  </si>
  <si>
    <t>Crazy-1014-142</t>
  </si>
  <si>
    <t>LM-0926-141</t>
  </si>
  <si>
    <t>PA-0918-140</t>
  </si>
  <si>
    <t>LM-0917-139</t>
  </si>
  <si>
    <t>IPA-0912-138</t>
  </si>
  <si>
    <t>Mozzie-0911-137</t>
  </si>
  <si>
    <t>Mozzie IPA</t>
  </si>
  <si>
    <t>HP-0908-144</t>
  </si>
  <si>
    <t>Hoppy Pale- Seasonal</t>
  </si>
  <si>
    <t>Blanc-0728-136</t>
  </si>
  <si>
    <t>LM-0717-135</t>
  </si>
  <si>
    <t>LM-0711-134</t>
  </si>
  <si>
    <t>PA-0708-133</t>
  </si>
  <si>
    <t>Crazy-0619-132</t>
  </si>
  <si>
    <t>JL-0529-131</t>
  </si>
  <si>
    <t>LM-0527-130</t>
  </si>
  <si>
    <t>LG-0522-129</t>
  </si>
  <si>
    <t>IPA-0520-128</t>
  </si>
  <si>
    <t>Blanc-0516-127</t>
  </si>
  <si>
    <t>PA-0515-126</t>
  </si>
  <si>
    <t>ICB-0514-125</t>
  </si>
  <si>
    <t>Imperial Hue Pilsner</t>
  </si>
  <si>
    <t>LM-0423-124</t>
  </si>
  <si>
    <t>Mozzie-0416-123</t>
  </si>
  <si>
    <t>Mozzie Wheat</t>
  </si>
  <si>
    <t>Crazy-0415-122</t>
  </si>
  <si>
    <t>Crazy Duck Lager</t>
  </si>
  <si>
    <t>IPA-0410-121</t>
  </si>
  <si>
    <t>LG-0404-120</t>
  </si>
  <si>
    <t>LM-0304-119</t>
  </si>
  <si>
    <t>HB-0327-118</t>
  </si>
  <si>
    <t>Crazy-0325-117</t>
  </si>
  <si>
    <t>PA-0319-116</t>
  </si>
  <si>
    <t>CB-0317-115</t>
  </si>
  <si>
    <t>LM-0313-114</t>
  </si>
  <si>
    <t>IPA-0311-113</t>
  </si>
  <si>
    <t>MAD-0307-112</t>
  </si>
  <si>
    <t>LG-0306-111</t>
  </si>
  <si>
    <t>Crazy-0304-110</t>
  </si>
  <si>
    <t>Blanc-0228-109</t>
  </si>
  <si>
    <t>ICB-0218-108</t>
  </si>
  <si>
    <t>IRA-0217-106</t>
  </si>
  <si>
    <t>PA-0217-107</t>
  </si>
  <si>
    <t>IPA-0214-105</t>
  </si>
  <si>
    <t>LM-0121-104</t>
  </si>
  <si>
    <t>ICB-0115-103</t>
  </si>
  <si>
    <t>Imperial Hue IPA</t>
  </si>
  <si>
    <t>Crazy-0103-102</t>
  </si>
  <si>
    <t xml:space="preserve">  Customer sales orders. References Customers.</t>
  </si>
  <si>
    <t>order_number</t>
  </si>
  <si>
    <t>customer_name</t>
  </si>
  <si>
    <t>order_date (YYYY-MM-DD)</t>
  </si>
  <si>
    <t>delivery_date (YYYY-MM-DD)</t>
  </si>
  <si>
    <t>payment_status</t>
  </si>
  <si>
    <t>Options: pending, processing, shipped, delivered, cancelled</t>
  </si>
  <si>
    <t>Options: unpaid, paid, partial, refunded</t>
  </si>
  <si>
    <t>429HCM04126</t>
  </si>
  <si>
    <t>delivered</t>
  </si>
  <si>
    <t>unpaid</t>
  </si>
  <si>
    <t>429HCM07926</t>
  </si>
  <si>
    <t>429HCM30126</t>
  </si>
  <si>
    <t>Tractatus - Wine &amp; Cocktails</t>
  </si>
  <si>
    <t>429HCM10926</t>
  </si>
  <si>
    <t>428HCM01726</t>
  </si>
  <si>
    <t>428HCM11926</t>
  </si>
  <si>
    <t>428HCM06926</t>
  </si>
  <si>
    <t>428HCM28426</t>
  </si>
  <si>
    <t>427HCM03126</t>
  </si>
  <si>
    <t>427HCM14026</t>
  </si>
  <si>
    <t>427HCM28426</t>
  </si>
  <si>
    <t>427HCM05426</t>
  </si>
  <si>
    <t>424HCM10926</t>
  </si>
  <si>
    <t>424HCM05426</t>
  </si>
  <si>
    <t>424HCM01726</t>
  </si>
  <si>
    <t>423HCM04026</t>
  </si>
  <si>
    <t>423HCM04126</t>
  </si>
  <si>
    <t>423HN29226</t>
  </si>
  <si>
    <t>421HCM28426</t>
  </si>
  <si>
    <t>421HCM01726</t>
  </si>
  <si>
    <t>421HCM01926</t>
  </si>
  <si>
    <t>421HCM01626</t>
  </si>
  <si>
    <t>421HCM08826</t>
  </si>
  <si>
    <t>420HCM10926</t>
  </si>
  <si>
    <t>420DL28826</t>
  </si>
  <si>
    <t>Mee Ly - Friends &amp; Beers</t>
  </si>
  <si>
    <t>420NT22526</t>
  </si>
  <si>
    <t>420HCM06926</t>
  </si>
  <si>
    <t>420VT25126</t>
  </si>
  <si>
    <t>420HCM23826</t>
  </si>
  <si>
    <t>420HCM17226</t>
  </si>
  <si>
    <t>418HCM07726</t>
  </si>
  <si>
    <t>418HCM10926</t>
  </si>
  <si>
    <t>418HCM05126</t>
  </si>
  <si>
    <t>418HCM28426</t>
  </si>
  <si>
    <t>417HCM10926</t>
  </si>
  <si>
    <t>416HCM05626</t>
  </si>
  <si>
    <t>415DN15826</t>
  </si>
  <si>
    <t>415HCM28426</t>
  </si>
  <si>
    <t>415NT22526</t>
  </si>
  <si>
    <t>414HCM01726</t>
  </si>
  <si>
    <t>413HCM01926</t>
  </si>
  <si>
    <t>413HCM10926</t>
  </si>
  <si>
    <t>411HCM04126</t>
  </si>
  <si>
    <t>411HCM02926</t>
  </si>
  <si>
    <t>411HCM28426</t>
  </si>
  <si>
    <t>49DN08526</t>
  </si>
  <si>
    <t>410HCM01726</t>
  </si>
  <si>
    <t>410HCM30026</t>
  </si>
  <si>
    <t>Anh Khang - Kizuna</t>
  </si>
  <si>
    <t>410HCM03126</t>
  </si>
  <si>
    <t>48HCM10926</t>
  </si>
  <si>
    <t>48HCM28426</t>
  </si>
  <si>
    <t>48HCM27526</t>
  </si>
  <si>
    <t>48DL24626</t>
  </si>
  <si>
    <t>48PQ22126</t>
  </si>
  <si>
    <t>Sip Bar - Phu Quoc</t>
  </si>
  <si>
    <t>47HCM16126</t>
  </si>
  <si>
    <t>47DL15026</t>
  </si>
  <si>
    <t>46HN29226</t>
  </si>
  <si>
    <t>46HCM08826</t>
  </si>
  <si>
    <t>46HCM04126</t>
  </si>
  <si>
    <t>46HCM05426</t>
  </si>
  <si>
    <t>46HCM29826</t>
  </si>
  <si>
    <t>46HCM10926</t>
  </si>
  <si>
    <t>46HCM03126</t>
  </si>
  <si>
    <t>46HCM29926</t>
  </si>
  <si>
    <t>Cohibar</t>
  </si>
  <si>
    <t>44HCM28426</t>
  </si>
  <si>
    <t>44HCM01626</t>
  </si>
  <si>
    <t>44HCM01726</t>
  </si>
  <si>
    <t>44HCM03726</t>
  </si>
  <si>
    <t>44KT19626</t>
  </si>
  <si>
    <t>44HCM05426</t>
  </si>
  <si>
    <t>44HCM03126</t>
  </si>
  <si>
    <t>43HCM10926</t>
  </si>
  <si>
    <t>331HCM06026</t>
  </si>
  <si>
    <t>paid</t>
  </si>
  <si>
    <t>331HCM28426</t>
  </si>
  <si>
    <t>330HCM28426</t>
  </si>
  <si>
    <t>330KT19626</t>
  </si>
  <si>
    <t>330HCM10926</t>
  </si>
  <si>
    <t>46NT22526</t>
  </si>
  <si>
    <t>328HCM11926</t>
  </si>
  <si>
    <t>328HCM10926</t>
  </si>
  <si>
    <t>327HCM07626</t>
  </si>
  <si>
    <t>327HCM07726</t>
  </si>
  <si>
    <t>327HCM25826</t>
  </si>
  <si>
    <t>325HCM10926</t>
  </si>
  <si>
    <t>325HCM28426</t>
  </si>
  <si>
    <t>325HCM03126</t>
  </si>
  <si>
    <t>325HCM05426</t>
  </si>
  <si>
    <t>325HCM03426</t>
  </si>
  <si>
    <t>325HCM16126</t>
  </si>
  <si>
    <t>324HCM04126</t>
  </si>
  <si>
    <t>323HCM10926</t>
  </si>
  <si>
    <t>323HCM06026</t>
  </si>
  <si>
    <t>323HCM06926</t>
  </si>
  <si>
    <t>324HCM05126</t>
  </si>
  <si>
    <t>324HCM01926</t>
  </si>
  <si>
    <t>324HCM01726</t>
  </si>
  <si>
    <t>328HN29226</t>
  </si>
  <si>
    <t>328DN12026</t>
  </si>
  <si>
    <t>Anh Phương ĐN</t>
  </si>
  <si>
    <t>327HCM29826</t>
  </si>
  <si>
    <t>323HCM07926</t>
  </si>
  <si>
    <t>321HCM10926</t>
  </si>
  <si>
    <t>320HCM29826</t>
  </si>
  <si>
    <t>319HCM04126</t>
  </si>
  <si>
    <t>319HCM10926</t>
  </si>
  <si>
    <t>319HCM28426</t>
  </si>
  <si>
    <t>318HCM10926</t>
  </si>
  <si>
    <t>318BD29926</t>
  </si>
  <si>
    <t>318HCM03726</t>
  </si>
  <si>
    <t>318HCM02926</t>
  </si>
  <si>
    <t>319HN29226</t>
  </si>
  <si>
    <t>317HCM27226</t>
  </si>
  <si>
    <t>317HCM01726</t>
  </si>
  <si>
    <t>316HCM05426</t>
  </si>
  <si>
    <t>316HCM04026</t>
  </si>
  <si>
    <t>316HCM05326</t>
  </si>
  <si>
    <t>314HCM03126</t>
  </si>
  <si>
    <t>314HCM10926</t>
  </si>
  <si>
    <t>314HCM04126</t>
  </si>
  <si>
    <t>313HCM28426</t>
  </si>
  <si>
    <t>313HCM01726</t>
  </si>
  <si>
    <t>311DL24626</t>
  </si>
  <si>
    <t>311HCM03126</t>
  </si>
  <si>
    <t>310HCM04126</t>
  </si>
  <si>
    <t>310HCM07726</t>
  </si>
  <si>
    <t>39HCM23826</t>
  </si>
  <si>
    <t>39HCM03126</t>
  </si>
  <si>
    <t>39HCM03726</t>
  </si>
  <si>
    <t>37HCM05426</t>
  </si>
  <si>
    <t>37HCM24126</t>
  </si>
  <si>
    <t>Anh Minh Fuzzy</t>
  </si>
  <si>
    <t>37HCM10926</t>
  </si>
  <si>
    <t>37HCM29026</t>
  </si>
  <si>
    <t>37HCM03126</t>
  </si>
  <si>
    <t>37HCM07926</t>
  </si>
  <si>
    <t>36HCM28426</t>
  </si>
  <si>
    <t>36HCM16126</t>
  </si>
  <si>
    <t>36HCM29026</t>
  </si>
  <si>
    <t>35HCM29826</t>
  </si>
  <si>
    <t>38NT22526</t>
  </si>
  <si>
    <t>35HCM03126</t>
  </si>
  <si>
    <t>34HCM29026</t>
  </si>
  <si>
    <t>33HCM23826</t>
  </si>
  <si>
    <t>33HCM01926</t>
  </si>
  <si>
    <t>33HCM01726</t>
  </si>
  <si>
    <t>32HCM28426</t>
  </si>
  <si>
    <t>32HCM27426</t>
  </si>
  <si>
    <t>32HCM03526</t>
  </si>
  <si>
    <t>228HCM24726</t>
  </si>
  <si>
    <t>228HCM04126</t>
  </si>
  <si>
    <t>228HCM08026</t>
  </si>
  <si>
    <t>227HCM10926</t>
  </si>
  <si>
    <t>227HCM02926</t>
  </si>
  <si>
    <t>227HCM03126</t>
  </si>
  <si>
    <t>227HCM07726</t>
  </si>
  <si>
    <t>227HCM25826</t>
  </si>
  <si>
    <t>226HCM03726</t>
  </si>
  <si>
    <t>226HN29226</t>
  </si>
  <si>
    <t>225HCM28426</t>
  </si>
  <si>
    <t>224HCM10926</t>
  </si>
  <si>
    <t>224HCM05126</t>
  </si>
  <si>
    <t>224HCM01726</t>
  </si>
  <si>
    <t>224HCM01626</t>
  </si>
  <si>
    <t>223HCM11926</t>
  </si>
  <si>
    <t>223HCM10926</t>
  </si>
  <si>
    <t>223HCM05426</t>
  </si>
  <si>
    <t>223HCM08826</t>
  </si>
  <si>
    <t>223HCM04126</t>
  </si>
  <si>
    <t>223HCM06026</t>
  </si>
  <si>
    <t>220HCM10926</t>
  </si>
  <si>
    <t>213HCM10926</t>
  </si>
  <si>
    <t>212HCM23426</t>
  </si>
  <si>
    <t>Anh Thanh Fuzzy</t>
  </si>
  <si>
    <t>212HCM29726</t>
  </si>
  <si>
    <t>Nhân viên</t>
  </si>
  <si>
    <t>212HCM23326</t>
  </si>
  <si>
    <t>Khôi Fuzzy</t>
  </si>
  <si>
    <t>212HCM23126</t>
  </si>
  <si>
    <t>Chú Hùng Fuzzy</t>
  </si>
  <si>
    <t>211HCM22726</t>
  </si>
  <si>
    <t>Anh Tiến Fuzzy</t>
  </si>
  <si>
    <t>212HCM22726</t>
  </si>
  <si>
    <t>212HCM08826</t>
  </si>
  <si>
    <t>212HCM07626</t>
  </si>
  <si>
    <t>212HCM10926</t>
  </si>
  <si>
    <t>212HCM03726</t>
  </si>
  <si>
    <t>212HCM05426</t>
  </si>
  <si>
    <t>211HCM07626</t>
  </si>
  <si>
    <t>211HCM07726</t>
  </si>
  <si>
    <t>211CT18426</t>
  </si>
  <si>
    <t>212HCM07226</t>
  </si>
  <si>
    <t>Patrick</t>
  </si>
  <si>
    <t>210HCM24126</t>
  </si>
  <si>
    <t>210KT19626</t>
  </si>
  <si>
    <t>210HCM23826</t>
  </si>
  <si>
    <t>210HCM04126</t>
  </si>
  <si>
    <t>210HCM04026</t>
  </si>
  <si>
    <t>210HCM06926</t>
  </si>
  <si>
    <t>210HCM10926</t>
  </si>
  <si>
    <t>210HCM01726</t>
  </si>
  <si>
    <t>210HCM29626</t>
  </si>
  <si>
    <t>Đại lý Thuế Eketoan</t>
  </si>
  <si>
    <t>29HCM07626</t>
  </si>
  <si>
    <t>29HCM26826</t>
  </si>
  <si>
    <t>29PQ28526</t>
  </si>
  <si>
    <t>Craft Beer Phú Quốc</t>
  </si>
  <si>
    <t>29HCM12626</t>
  </si>
  <si>
    <t>Hậu sale</t>
  </si>
  <si>
    <t>29HCM28426</t>
  </si>
  <si>
    <t>29VT25126</t>
  </si>
  <si>
    <t>29HCM17126</t>
  </si>
  <si>
    <t>29HCM07926</t>
  </si>
  <si>
    <t>27HCM10926</t>
  </si>
  <si>
    <t>27HCM25826</t>
  </si>
  <si>
    <t>27HCM01626</t>
  </si>
  <si>
    <t>27HCM04126</t>
  </si>
  <si>
    <t>26HCM05426</t>
  </si>
  <si>
    <t>26HCM07626</t>
  </si>
  <si>
    <t>26HCM08826</t>
  </si>
  <si>
    <t>26HCM10926</t>
  </si>
  <si>
    <t>26HCM01726</t>
  </si>
  <si>
    <t>26HCM01926</t>
  </si>
  <si>
    <t>26HCM20326</t>
  </si>
  <si>
    <t>Chị Cao Chi</t>
  </si>
  <si>
    <t>26HCM05126</t>
  </si>
  <si>
    <t>213HCM07626</t>
  </si>
  <si>
    <t>25HCM07626</t>
  </si>
  <si>
    <t>25PQ28526</t>
  </si>
  <si>
    <t>25VT25126</t>
  </si>
  <si>
    <t>25DL24626</t>
  </si>
  <si>
    <t>25DL24326</t>
  </si>
  <si>
    <t>25KT19626</t>
  </si>
  <si>
    <t>25HCM08826</t>
  </si>
  <si>
    <t>25HCM12626</t>
  </si>
  <si>
    <t>25VL29526</t>
  </si>
  <si>
    <t xml:space="preserve">Công ty CP Bia Saigon Vĩnh Long </t>
  </si>
  <si>
    <t>25HCM29426</t>
  </si>
  <si>
    <t>Kristiann - Sale</t>
  </si>
  <si>
    <t>25HCM28426</t>
  </si>
  <si>
    <t>29NT22526</t>
  </si>
  <si>
    <t>24HCM07626</t>
  </si>
  <si>
    <t>24PQ28526</t>
  </si>
  <si>
    <t>24HCM16126</t>
  </si>
  <si>
    <t>24HCM03126</t>
  </si>
  <si>
    <t>24HCM14026</t>
  </si>
  <si>
    <t>24HCM03426</t>
  </si>
  <si>
    <t>24HCM25626</t>
  </si>
  <si>
    <t>23HCM29026</t>
  </si>
  <si>
    <t>23HCM28426</t>
  </si>
  <si>
    <t>23HCM01926</t>
  </si>
  <si>
    <t>23HCM01726</t>
  </si>
  <si>
    <t>22QN10326</t>
  </si>
  <si>
    <t>22HCM27226</t>
  </si>
  <si>
    <t>22HCM07626</t>
  </si>
  <si>
    <t>22HCM29326</t>
  </si>
  <si>
    <t>Lost &amp; Found</t>
  </si>
  <si>
    <t>22HCM03726</t>
  </si>
  <si>
    <t>27DN12026</t>
  </si>
  <si>
    <t>27HN29226</t>
  </si>
  <si>
    <t>23HN29226</t>
  </si>
  <si>
    <t>26HCM07226</t>
  </si>
  <si>
    <t>131HCM24726</t>
  </si>
  <si>
    <t>131HCM10926</t>
  </si>
  <si>
    <t>130HCM05126</t>
  </si>
  <si>
    <t>130HCM03126</t>
  </si>
  <si>
    <t>130PQ28526</t>
  </si>
  <si>
    <t>129HCM04126</t>
  </si>
  <si>
    <t>129HCM10926</t>
  </si>
  <si>
    <t>127HCM10926</t>
  </si>
  <si>
    <t>127HCM28426</t>
  </si>
  <si>
    <t>127HCM01726</t>
  </si>
  <si>
    <t>126HCM05426</t>
  </si>
  <si>
    <t>126HCM04126</t>
  </si>
  <si>
    <t>124HCM24126</t>
  </si>
  <si>
    <t>124HCM06926</t>
  </si>
  <si>
    <t>123HCM10926</t>
  </si>
  <si>
    <t>122HCM05426</t>
  </si>
  <si>
    <t>122HCM07226</t>
  </si>
  <si>
    <t>122HCM02926</t>
  </si>
  <si>
    <t>122HCM07926</t>
  </si>
  <si>
    <t>120HCM07226</t>
  </si>
  <si>
    <t>120HCM06926</t>
  </si>
  <si>
    <t>120HCM05426</t>
  </si>
  <si>
    <t>120HCM08826</t>
  </si>
  <si>
    <t>120HCM10926</t>
  </si>
  <si>
    <t>120HCM03126</t>
  </si>
  <si>
    <t>120HCM01726</t>
  </si>
  <si>
    <t>122HCM05626</t>
  </si>
  <si>
    <t>119HCM27526</t>
  </si>
  <si>
    <t>119HCM28426</t>
  </si>
  <si>
    <t>119HCM03726</t>
  </si>
  <si>
    <t>117HCM03126</t>
  </si>
  <si>
    <t>117HCM04126</t>
  </si>
  <si>
    <t>117HN29226</t>
  </si>
  <si>
    <t>120NT22526</t>
  </si>
  <si>
    <t>116PQ28526</t>
  </si>
  <si>
    <t>116HCM10926</t>
  </si>
  <si>
    <t>116HCM17226</t>
  </si>
  <si>
    <t>116HCM01626</t>
  </si>
  <si>
    <t>116KT19626</t>
  </si>
  <si>
    <t>115HCM05426</t>
  </si>
  <si>
    <t>115HCM23826</t>
  </si>
  <si>
    <t>115HCM10926</t>
  </si>
  <si>
    <t>115HCM24726</t>
  </si>
  <si>
    <t>114HCM07626</t>
  </si>
  <si>
    <t>114HCM29026</t>
  </si>
  <si>
    <t>113HCM24126</t>
  </si>
  <si>
    <t>113HCM17126</t>
  </si>
  <si>
    <t>113HCM01726</t>
  </si>
  <si>
    <t>112HCM11926</t>
  </si>
  <si>
    <t>112HCM10926</t>
  </si>
  <si>
    <t>112HCM06026</t>
  </si>
  <si>
    <t>112DL24626</t>
  </si>
  <si>
    <t>112VT28826</t>
  </si>
  <si>
    <t>112VT25126</t>
  </si>
  <si>
    <t>110HCM04126</t>
  </si>
  <si>
    <t>110HCM10926</t>
  </si>
  <si>
    <t>110HCM03126</t>
  </si>
  <si>
    <t>110HCM07726</t>
  </si>
  <si>
    <t>19BT27326</t>
  </si>
  <si>
    <t>19HCM28426</t>
  </si>
  <si>
    <t>18HCM10926</t>
  </si>
  <si>
    <t>18HCM05426</t>
  </si>
  <si>
    <t>18HCM04126</t>
  </si>
  <si>
    <t>17HCM28426</t>
  </si>
  <si>
    <t>110HCM28926</t>
  </si>
  <si>
    <t xml:space="preserve">EVENT  </t>
  </si>
  <si>
    <t>16HCM08826</t>
  </si>
  <si>
    <t>16HCM01626</t>
  </si>
  <si>
    <t>16HCM01726</t>
  </si>
  <si>
    <t>15HCM03126</t>
  </si>
  <si>
    <t>15HCM24726</t>
  </si>
  <si>
    <t>15HCM27126</t>
  </si>
  <si>
    <t>15HCM17126</t>
  </si>
  <si>
    <t>13HCM03526</t>
  </si>
  <si>
    <t>13PQ28526</t>
  </si>
  <si>
    <t>13HCM04126</t>
  </si>
  <si>
    <t>13HCM10926</t>
  </si>
  <si>
    <t>12HCM12326</t>
  </si>
  <si>
    <t>12HCM28426</t>
  </si>
  <si>
    <t>12HCM07926</t>
  </si>
  <si>
    <t>1231HCM07625</t>
  </si>
  <si>
    <t>1231HCM05425</t>
  </si>
  <si>
    <t>1231HCM23925</t>
  </si>
  <si>
    <t>1231HCM10925</t>
  </si>
  <si>
    <t>1231HCM04025</t>
  </si>
  <si>
    <t>1231HCM03125</t>
  </si>
  <si>
    <t>1230HCM05425</t>
  </si>
  <si>
    <t>1230VT25125</t>
  </si>
  <si>
    <t>1230PQ28525</t>
  </si>
  <si>
    <t>1230HCM10925</t>
  </si>
  <si>
    <t>1229HCM07625</t>
  </si>
  <si>
    <t>1229HCM12625</t>
  </si>
  <si>
    <t>1229HCM02925</t>
  </si>
  <si>
    <t>1229DL14725</t>
  </si>
  <si>
    <t>1229HCM07725</t>
  </si>
  <si>
    <t>1229HCM14025</t>
  </si>
  <si>
    <t>1227HCM07625</t>
  </si>
  <si>
    <t>1227HCM23825</t>
  </si>
  <si>
    <t>1227HCM28425</t>
  </si>
  <si>
    <t>1227HCM10925</t>
  </si>
  <si>
    <t>1227HCM03725</t>
  </si>
  <si>
    <t>1226HCM10925</t>
  </si>
  <si>
    <t>1230DN12025</t>
  </si>
  <si>
    <t>1226PQ28525</t>
  </si>
  <si>
    <t>1226HCM01725</t>
  </si>
  <si>
    <t>1227HCM08625</t>
  </si>
  <si>
    <t>1225HCM06925</t>
  </si>
  <si>
    <t>1229NT22525</t>
  </si>
  <si>
    <t>1225HCM11125</t>
  </si>
  <si>
    <t>1225HCM06025</t>
  </si>
  <si>
    <t>1224VT25125</t>
  </si>
  <si>
    <t>1224HCM05425</t>
  </si>
  <si>
    <t>1224HCM04125</t>
  </si>
  <si>
    <t>1224BH18525</t>
  </si>
  <si>
    <t>1223HCM24125</t>
  </si>
  <si>
    <t>1223HCM10925</t>
  </si>
  <si>
    <t>1223HCM27425</t>
  </si>
  <si>
    <t>1223HCM04125</t>
  </si>
  <si>
    <t>1223HCM03125</t>
  </si>
  <si>
    <t>1223HCM06925</t>
  </si>
  <si>
    <t>1223HCM01925</t>
  </si>
  <si>
    <t>1223HCM01725</t>
  </si>
  <si>
    <t>1223HCM08625</t>
  </si>
  <si>
    <t>1222VT28825</t>
  </si>
  <si>
    <t>1222PQ28525</t>
  </si>
  <si>
    <t>1222KG21625</t>
  </si>
  <si>
    <t>Kiki Coconut Beach Resort</t>
  </si>
  <si>
    <t>1222NT22525</t>
  </si>
  <si>
    <t>1222HCM08825</t>
  </si>
  <si>
    <t>1220HCM28425</t>
  </si>
  <si>
    <t>1220HCM10925</t>
  </si>
  <si>
    <t>1220VT28825</t>
  </si>
  <si>
    <t>1219HCM09725</t>
  </si>
  <si>
    <t>Sample</t>
  </si>
  <si>
    <t>1219HCM17125</t>
  </si>
  <si>
    <t>1219DL28725</t>
  </si>
  <si>
    <t xml:space="preserve">La Da Lat </t>
  </si>
  <si>
    <t>1219HCM01925</t>
  </si>
  <si>
    <t>1219HCM05425</t>
  </si>
  <si>
    <t>1219HCM01725</t>
  </si>
  <si>
    <t>1218HCM03125</t>
  </si>
  <si>
    <t>1217HCM23825</t>
  </si>
  <si>
    <t>1216HCM02925</t>
  </si>
  <si>
    <t>1216HCM01725</t>
  </si>
  <si>
    <t>1215HCM23925</t>
  </si>
  <si>
    <t>1215HCM10925</t>
  </si>
  <si>
    <t>1215HCM11625</t>
  </si>
  <si>
    <t>1215HCM08025</t>
  </si>
  <si>
    <t>1215HCM12325</t>
  </si>
  <si>
    <t>1215HCM03725</t>
  </si>
  <si>
    <t>1213HCM07625</t>
  </si>
  <si>
    <t>1213HCM28425</t>
  </si>
  <si>
    <t>1213HCM03425</t>
  </si>
  <si>
    <t>1212PQ28525</t>
  </si>
  <si>
    <t>1212HCM03125</t>
  </si>
  <si>
    <t>1212NT22525</t>
  </si>
  <si>
    <t>1211HCM10925</t>
  </si>
  <si>
    <t>1211HCM04125</t>
  </si>
  <si>
    <t>1210HCM28425</t>
  </si>
  <si>
    <t>129HCM03125</t>
  </si>
  <si>
    <t>129HCM10925</t>
  </si>
  <si>
    <t>129HCM01625</t>
  </si>
  <si>
    <t>128HCM03125</t>
  </si>
  <si>
    <t>128HCM11925</t>
  </si>
  <si>
    <t>128HCM08625</t>
  </si>
  <si>
    <t>128HCM04125</t>
  </si>
  <si>
    <t>128CT18425</t>
  </si>
  <si>
    <t>126HCM04125</t>
  </si>
  <si>
    <t>126HCM10925</t>
  </si>
  <si>
    <t>126HCM03225</t>
  </si>
  <si>
    <t>Coolabah Saigon</t>
  </si>
  <si>
    <t>125DL24625</t>
  </si>
  <si>
    <t>125HCM25825</t>
  </si>
  <si>
    <t>125HCM01725</t>
  </si>
  <si>
    <t>124HCM07625</t>
  </si>
  <si>
    <t>123HCM05425</t>
  </si>
  <si>
    <t>123HCM17225</t>
  </si>
  <si>
    <t>123HCM10925</t>
  </si>
  <si>
    <t>123HCM01925</t>
  </si>
  <si>
    <t>126BD28325</t>
  </si>
  <si>
    <t>Event Lễ Hội Bia Bình Dương</t>
  </si>
  <si>
    <t>122HCM27125</t>
  </si>
  <si>
    <t>122HCM12325</t>
  </si>
  <si>
    <t>121HCM10925</t>
  </si>
  <si>
    <t>121KG17625</t>
  </si>
  <si>
    <t>Quán SAAY</t>
  </si>
  <si>
    <t>121HCM07625</t>
  </si>
  <si>
    <t>1129HCM17125</t>
  </si>
  <si>
    <t>1129HCM24125</t>
  </si>
  <si>
    <t>1129KG17625</t>
  </si>
  <si>
    <t>1129HCM03125</t>
  </si>
  <si>
    <t>1129HCM10925</t>
  </si>
  <si>
    <t>1128HCM01725</t>
  </si>
  <si>
    <t>1127HCM23925</t>
  </si>
  <si>
    <t>1125KT19625</t>
  </si>
  <si>
    <t>1125HCM01925</t>
  </si>
  <si>
    <t>1124HCM10925</t>
  </si>
  <si>
    <t>1124KG21625</t>
  </si>
  <si>
    <t>1124HCM06025</t>
  </si>
  <si>
    <t>1124HCM06925</t>
  </si>
  <si>
    <t>1124HCM03125</t>
  </si>
  <si>
    <t>1122HCM07625</t>
  </si>
  <si>
    <t>1122PQ22125</t>
  </si>
  <si>
    <t>1122HCM07725</t>
  </si>
  <si>
    <t>1122HCM08625</t>
  </si>
  <si>
    <t>1121HCM02925</t>
  </si>
  <si>
    <t>1121HCM05325</t>
  </si>
  <si>
    <t>1120HCM10925</t>
  </si>
  <si>
    <t>1120HCM22825</t>
  </si>
  <si>
    <t>Choi Oi THĐ</t>
  </si>
  <si>
    <t>1118HCM01625</t>
  </si>
  <si>
    <t>1117HCM03125</t>
  </si>
  <si>
    <t>1117DL24625</t>
  </si>
  <si>
    <t>1117HCM07625</t>
  </si>
  <si>
    <t>1117VT28225</t>
  </si>
  <si>
    <t>1117HCM10925</t>
  </si>
  <si>
    <t>1117HCM04125</t>
  </si>
  <si>
    <t>1114HCM22725</t>
  </si>
  <si>
    <t>1114KT19625</t>
  </si>
  <si>
    <t>1114HCM10925</t>
  </si>
  <si>
    <t>1114HCM04025</t>
  </si>
  <si>
    <t>1114HCM01725</t>
  </si>
  <si>
    <t>1113HCM28125</t>
  </si>
  <si>
    <t>1113HCM21825</t>
  </si>
  <si>
    <t>1112HCM07625</t>
  </si>
  <si>
    <t>1112HCM10925</t>
  </si>
  <si>
    <t>1110NT22525</t>
  </si>
  <si>
    <t>1110HCM10925</t>
  </si>
  <si>
    <t>1110HCM23925</t>
  </si>
  <si>
    <t>1110HCM05425</t>
  </si>
  <si>
    <t>1110HCM11925</t>
  </si>
  <si>
    <t>1110HCM16125</t>
  </si>
  <si>
    <t>1110HCM07725</t>
  </si>
  <si>
    <t>1110HCM08825</t>
  </si>
  <si>
    <t>118HCM23825</t>
  </si>
  <si>
    <t>118HCM10925</t>
  </si>
  <si>
    <t>118HCM03725</t>
  </si>
  <si>
    <t>118HCM04125</t>
  </si>
  <si>
    <t>118HCM03125</t>
  </si>
  <si>
    <t>118HCM08625</t>
  </si>
  <si>
    <t>117HCM10925</t>
  </si>
  <si>
    <t>117HCM05425</t>
  </si>
  <si>
    <t>117HCM05625</t>
  </si>
  <si>
    <t>115HCM04125</t>
  </si>
  <si>
    <t>114HCM10925</t>
  </si>
  <si>
    <t>114HCM01625</t>
  </si>
  <si>
    <t>113HCM27925</t>
  </si>
  <si>
    <t>PCCC Tỉnh Tây Ninh</t>
  </si>
  <si>
    <t>113HCM07725</t>
  </si>
  <si>
    <t>113HCM27125</t>
  </si>
  <si>
    <t>113HCM06925</t>
  </si>
  <si>
    <t>111HCM03125</t>
  </si>
  <si>
    <t>1031HCM01725</t>
  </si>
  <si>
    <t>1031HCM05425</t>
  </si>
  <si>
    <t>1031HCM10925</t>
  </si>
  <si>
    <t>1031DL15025</t>
  </si>
  <si>
    <t>1030HCM06925</t>
  </si>
  <si>
    <t>1030HCM05125</t>
  </si>
  <si>
    <t>1029HCM03525</t>
  </si>
  <si>
    <t>1028VT25125</t>
  </si>
  <si>
    <t>1028HCM10925</t>
  </si>
  <si>
    <t>1028HCM17225</t>
  </si>
  <si>
    <t>1027HCM04125</t>
  </si>
  <si>
    <t>1027HCM17125</t>
  </si>
  <si>
    <t>1027HCM07725</t>
  </si>
  <si>
    <t>1025HCM05425</t>
  </si>
  <si>
    <t>1025HCM10925</t>
  </si>
  <si>
    <t>1024DL24325</t>
  </si>
  <si>
    <t>1024HCM10925</t>
  </si>
  <si>
    <t>1023HCM27725</t>
  </si>
  <si>
    <t>Leon - BEER Thread</t>
  </si>
  <si>
    <t>1023HCM23825</t>
  </si>
  <si>
    <t>1022HCM03425</t>
  </si>
  <si>
    <t>1021HCM27125</t>
  </si>
  <si>
    <t>1021HCM01725</t>
  </si>
  <si>
    <t>1021HCM01925</t>
  </si>
  <si>
    <t>1020HCM23925</t>
  </si>
  <si>
    <t>1020HCM27625</t>
  </si>
  <si>
    <t>1018HCM10925</t>
  </si>
  <si>
    <t>1018HCM08625</t>
  </si>
  <si>
    <t>1017HCM05425</t>
  </si>
  <si>
    <t>1017HCM03125</t>
  </si>
  <si>
    <t>1017HCM04125</t>
  </si>
  <si>
    <t>1016HCM06925</t>
  </si>
  <si>
    <t>1015HCM27525</t>
  </si>
  <si>
    <t>1015HCM07725</t>
  </si>
  <si>
    <t>1015HCM03125</t>
  </si>
  <si>
    <t>1015HCM01725</t>
  </si>
  <si>
    <t>1014HCM01925</t>
  </si>
  <si>
    <t>1014HCM01725</t>
  </si>
  <si>
    <t>1014HCM26825</t>
  </si>
  <si>
    <t>1013HCM11925</t>
  </si>
  <si>
    <t>1013HCM10925</t>
  </si>
  <si>
    <t>1011HCM05425</t>
  </si>
  <si>
    <t>1011HCM27425</t>
  </si>
  <si>
    <t>1010HCM10925</t>
  </si>
  <si>
    <t>1010BT27325</t>
  </si>
  <si>
    <t>108HCM03125</t>
  </si>
  <si>
    <t>108HCM05425</t>
  </si>
  <si>
    <t>108HCM04125</t>
  </si>
  <si>
    <t>107HCM27225</t>
  </si>
  <si>
    <t>107HCM23825</t>
  </si>
  <si>
    <t>107HCM01625</t>
  </si>
  <si>
    <t>106HCM14925</t>
  </si>
  <si>
    <t>Cambo Mozzie</t>
  </si>
  <si>
    <t>106HCM08025</t>
  </si>
  <si>
    <t>104VT25125</t>
  </si>
  <si>
    <t>103HCM05125</t>
  </si>
  <si>
    <t>103HCM10925</t>
  </si>
  <si>
    <t>103HCM12625</t>
  </si>
  <si>
    <t>103HCM02925</t>
  </si>
  <si>
    <t>103HCM01725</t>
  </si>
  <si>
    <t>103HCM03125</t>
  </si>
  <si>
    <t>103DL24625</t>
  </si>
  <si>
    <t>103KT19625</t>
  </si>
  <si>
    <t>102HCM27125</t>
  </si>
  <si>
    <t>103HCM08825</t>
  </si>
  <si>
    <t>102HCM04025</t>
  </si>
  <si>
    <t>101HCM04125</t>
  </si>
  <si>
    <t>101HCM03125</t>
  </si>
  <si>
    <t>101NT22525</t>
  </si>
  <si>
    <t>930HCM08625</t>
  </si>
  <si>
    <t>929HCM26925</t>
  </si>
  <si>
    <t>Next Level</t>
  </si>
  <si>
    <t>929HCM05425</t>
  </si>
  <si>
    <t>929KT19625</t>
  </si>
  <si>
    <t>929HCM27025</t>
  </si>
  <si>
    <t>Cambo - Mr Daniel</t>
  </si>
  <si>
    <t>929HCM10925</t>
  </si>
  <si>
    <t>927HCM23925</t>
  </si>
  <si>
    <t>927HCM10925</t>
  </si>
  <si>
    <t>927HCM26925</t>
  </si>
  <si>
    <t>926HCM04125</t>
  </si>
  <si>
    <t>926HCM07725</t>
  </si>
  <si>
    <t>925HCM10925</t>
  </si>
  <si>
    <t>925HCM02925</t>
  </si>
  <si>
    <t>925HCM03125</t>
  </si>
  <si>
    <t>925BH18525</t>
  </si>
  <si>
    <t>923HCM23825</t>
  </si>
  <si>
    <t>923HCM10925</t>
  </si>
  <si>
    <t>923HCM03725</t>
  </si>
  <si>
    <t>922HCM03125</t>
  </si>
  <si>
    <t>920HCM04125</t>
  </si>
  <si>
    <t>919HCM05425</t>
  </si>
  <si>
    <t>919HCM01725</t>
  </si>
  <si>
    <t>918HCM12325</t>
  </si>
  <si>
    <t>918BH18525</t>
  </si>
  <si>
    <t>916HCM10925</t>
  </si>
  <si>
    <t>916HCM04125</t>
  </si>
  <si>
    <t>916HCM01925</t>
  </si>
  <si>
    <t>916HCM01625</t>
  </si>
  <si>
    <t>915HCM10925</t>
  </si>
  <si>
    <t>915HCM05425</t>
  </si>
  <si>
    <t>913VT25925</t>
  </si>
  <si>
    <t>913HCM07725</t>
  </si>
  <si>
    <t>912HCM12625</t>
  </si>
  <si>
    <t>912HCM10925</t>
  </si>
  <si>
    <t>912HCM17125</t>
  </si>
  <si>
    <t>912DL24625</t>
  </si>
  <si>
    <t>911HCM25625</t>
  </si>
  <si>
    <t>911HCM23825</t>
  </si>
  <si>
    <t>911HCM02925</t>
  </si>
  <si>
    <t>911HCM03125</t>
  </si>
  <si>
    <t>911HCM11625</t>
  </si>
  <si>
    <t>910HCM24225</t>
  </si>
  <si>
    <t>910HCM23925</t>
  </si>
  <si>
    <t>99HCM01725</t>
  </si>
  <si>
    <t>99HCM10925</t>
  </si>
  <si>
    <t>99HCM17225</t>
  </si>
  <si>
    <t>911DN12025</t>
  </si>
  <si>
    <t>96HCM05425</t>
  </si>
  <si>
    <t>96HCM10925</t>
  </si>
  <si>
    <t>96HCM08625</t>
  </si>
  <si>
    <t>95HCM01925</t>
  </si>
  <si>
    <t>95HCM01625</t>
  </si>
  <si>
    <t>94QN10325</t>
  </si>
  <si>
    <t>94HCM09925</t>
  </si>
  <si>
    <t>Loft SGN</t>
  </si>
  <si>
    <t>94HCM03125</t>
  </si>
  <si>
    <t>94HCM06025</t>
  </si>
  <si>
    <t>94HCM05625</t>
  </si>
  <si>
    <t>93HCM05425</t>
  </si>
  <si>
    <t>93HCM04125</t>
  </si>
  <si>
    <t>93HCM06925</t>
  </si>
  <si>
    <t>93HCM01925</t>
  </si>
  <si>
    <t>829HCM05425</t>
  </si>
  <si>
    <t>829HCM10925</t>
  </si>
  <si>
    <t>829HCM01525</t>
  </si>
  <si>
    <t>829HCM01725</t>
  </si>
  <si>
    <t>829HCM08825</t>
  </si>
  <si>
    <t>828HCM22725</t>
  </si>
  <si>
    <t>828BH18525</t>
  </si>
  <si>
    <t>828DL24625</t>
  </si>
  <si>
    <t>827HCM04125</t>
  </si>
  <si>
    <t>827PQ22225</t>
  </si>
  <si>
    <t>826KT19625</t>
  </si>
  <si>
    <t>826HCM26825</t>
  </si>
  <si>
    <t>826HCM04125</t>
  </si>
  <si>
    <t>826HCM03125</t>
  </si>
  <si>
    <t>826HCM01725</t>
  </si>
  <si>
    <t>825HCM26725</t>
  </si>
  <si>
    <t>828NT22525</t>
  </si>
  <si>
    <t>825HCM10925</t>
  </si>
  <si>
    <t>823HCM10925</t>
  </si>
  <si>
    <t>823VT25125</t>
  </si>
  <si>
    <t>823HCM08825</t>
  </si>
  <si>
    <t>823HCM07725</t>
  </si>
  <si>
    <t>822HCM05425</t>
  </si>
  <si>
    <t>822HCM01725</t>
  </si>
  <si>
    <t>822HCM02325</t>
  </si>
  <si>
    <t>Big Daddy</t>
  </si>
  <si>
    <t>821HCM22025</t>
  </si>
  <si>
    <t>821HCM25825</t>
  </si>
  <si>
    <t>820HCM23925</t>
  </si>
  <si>
    <t>820HCM10925</t>
  </si>
  <si>
    <t>820HCM23825</t>
  </si>
  <si>
    <t>820BD26325</t>
  </si>
  <si>
    <t>819HCM11925</t>
  </si>
  <si>
    <t>819HCM01925</t>
  </si>
  <si>
    <t>818HCM10925</t>
  </si>
  <si>
    <t>816HCM05425</t>
  </si>
  <si>
    <t>816HCM10925</t>
  </si>
  <si>
    <t>816HCM04125</t>
  </si>
  <si>
    <t>815HCM26625</t>
  </si>
  <si>
    <t>GUS</t>
  </si>
  <si>
    <t>815HCM07725</t>
  </si>
  <si>
    <t>815HCM01725</t>
  </si>
  <si>
    <t>814HCM10925</t>
  </si>
  <si>
    <t>814HCM25625</t>
  </si>
  <si>
    <t>814HCM04125</t>
  </si>
  <si>
    <t>814HCM04025</t>
  </si>
  <si>
    <t>813HCM26525</t>
  </si>
  <si>
    <t>813HCM03425</t>
  </si>
  <si>
    <t>812HCM23825</t>
  </si>
  <si>
    <t>812HCM01625</t>
  </si>
  <si>
    <t>812HCM01725</t>
  </si>
  <si>
    <t>812HCM08625</t>
  </si>
  <si>
    <t>811VT18025</t>
  </si>
  <si>
    <t>811HCM26425</t>
  </si>
  <si>
    <t>22Land Skybar</t>
  </si>
  <si>
    <t>811HCM10925</t>
  </si>
  <si>
    <t>811HCM02925</t>
  </si>
  <si>
    <t>811HCM03125</t>
  </si>
  <si>
    <t>89HCM06925</t>
  </si>
  <si>
    <t>89HCM03525</t>
  </si>
  <si>
    <t>89HCM07725</t>
  </si>
  <si>
    <t>89DN12025</t>
  </si>
  <si>
    <t>88HCM01525</t>
  </si>
  <si>
    <t>88HCM05425</t>
  </si>
  <si>
    <t>88HCM10925</t>
  </si>
  <si>
    <t>88HCM03725</t>
  </si>
  <si>
    <t>88HCM01925</t>
  </si>
  <si>
    <t>88HCM01725</t>
  </si>
  <si>
    <t>87HCM05125</t>
  </si>
  <si>
    <t>87HCM10925</t>
  </si>
  <si>
    <t>86BD26325</t>
  </si>
  <si>
    <t>85HCM03125</t>
  </si>
  <si>
    <t>84HCM10925</t>
  </si>
  <si>
    <t>84HCM26225</t>
  </si>
  <si>
    <t>85NT22525</t>
  </si>
  <si>
    <t>84HCM05325</t>
  </si>
  <si>
    <t>82HCM05425</t>
  </si>
  <si>
    <t>82HCM10925</t>
  </si>
  <si>
    <t>81HCM25225</t>
  </si>
  <si>
    <t>MARS QUẬN 2</t>
  </si>
  <si>
    <t>81HCM17125</t>
  </si>
  <si>
    <t>81HCM23825</t>
  </si>
  <si>
    <t>81HCM04125</t>
  </si>
  <si>
    <t>81HCM03125</t>
  </si>
  <si>
    <t>81HCM01925</t>
  </si>
  <si>
    <t>81HCM01725</t>
  </si>
  <si>
    <t>730HCM02325</t>
  </si>
  <si>
    <t>729VL25325</t>
  </si>
  <si>
    <t xml:space="preserve"> Mekong Eyes Cruise </t>
  </si>
  <si>
    <t>729HCM10925</t>
  </si>
  <si>
    <t>728HCM23925</t>
  </si>
  <si>
    <t>728HCM22825</t>
  </si>
  <si>
    <t>728HCM04125</t>
  </si>
  <si>
    <t>728HCM05425</t>
  </si>
  <si>
    <t>726HCM26125</t>
  </si>
  <si>
    <t>Saigon Hot Wings TS</t>
  </si>
  <si>
    <t>726HCM23825</t>
  </si>
  <si>
    <t>725HCM08825</t>
  </si>
  <si>
    <t>725HCM04125</t>
  </si>
  <si>
    <t>725HCM10925</t>
  </si>
  <si>
    <t>725DL26025</t>
  </si>
  <si>
    <t>DuSam THT</t>
  </si>
  <si>
    <t>724HCM05125</t>
  </si>
  <si>
    <t>724KT19625</t>
  </si>
  <si>
    <t>724VT25925</t>
  </si>
  <si>
    <t>724HCM04025</t>
  </si>
  <si>
    <t>723HCM24725</t>
  </si>
  <si>
    <t>722HCM01725</t>
  </si>
  <si>
    <t>722HCM08625</t>
  </si>
  <si>
    <t>721HCM05425</t>
  </si>
  <si>
    <t>721HCM10925</t>
  </si>
  <si>
    <t>721HCM03125</t>
  </si>
  <si>
    <t>721HCM25525</t>
  </si>
  <si>
    <t>718HCM12625</t>
  </si>
  <si>
    <t>718HCM12325</t>
  </si>
  <si>
    <t>718HCM09925</t>
  </si>
  <si>
    <t>718HCM01625</t>
  </si>
  <si>
    <t>717HCM07725</t>
  </si>
  <si>
    <t>717HCM08825</t>
  </si>
  <si>
    <t>716HCM03125</t>
  </si>
  <si>
    <t>716HCM07725</t>
  </si>
  <si>
    <t>716HCM07625</t>
  </si>
  <si>
    <t>715HCM2582025</t>
  </si>
  <si>
    <t>715HCM0692025</t>
  </si>
  <si>
    <t>715HCM0172025</t>
  </si>
  <si>
    <t>714HCM1092025</t>
  </si>
  <si>
    <t>714BD2352025</t>
  </si>
  <si>
    <t>714HCM0762025</t>
  </si>
  <si>
    <t>714HCM1192025</t>
  </si>
  <si>
    <t>712HCM1092025</t>
  </si>
  <si>
    <t>712HCM2392025</t>
  </si>
  <si>
    <t>712HCM0412025</t>
  </si>
  <si>
    <t>712HCM0512025</t>
  </si>
  <si>
    <t>712HCM0152025</t>
  </si>
  <si>
    <t>712HCM0542025</t>
  </si>
  <si>
    <t>711DL2432025</t>
  </si>
  <si>
    <t>711HCM0602025</t>
  </si>
  <si>
    <t>711HCM1722025</t>
  </si>
  <si>
    <t>79HCM0142025</t>
  </si>
  <si>
    <t>79HCM0312025</t>
  </si>
  <si>
    <t>78HCM0862025</t>
  </si>
  <si>
    <t>77HCM0372025</t>
  </si>
  <si>
    <t>Quán Nông Trại Khoai</t>
  </si>
  <si>
    <t>77HCM0402025</t>
  </si>
  <si>
    <t>77VT2512025</t>
  </si>
  <si>
    <t>77DL1472025</t>
  </si>
  <si>
    <t>75HCM1092025</t>
  </si>
  <si>
    <t>75HCM0402025</t>
  </si>
  <si>
    <t>75HCM0192025</t>
  </si>
  <si>
    <t>74HCM0772025</t>
  </si>
  <si>
    <t>74HCM0192025</t>
  </si>
  <si>
    <t>74KT1962025</t>
  </si>
  <si>
    <t>73NT2252025</t>
  </si>
  <si>
    <t>73HCM2562025</t>
  </si>
  <si>
    <t>Khuii Qui Nhơn</t>
  </si>
  <si>
    <t>73HCM0412025</t>
  </si>
  <si>
    <t>73HCM0292025</t>
  </si>
  <si>
    <t>73HCM0542025</t>
  </si>
  <si>
    <t>72HCM0882025</t>
  </si>
  <si>
    <t>72HCM1262025</t>
  </si>
  <si>
    <t>71HCM0722025</t>
  </si>
  <si>
    <t>71HCM1712025</t>
  </si>
  <si>
    <t>71HCM2572025</t>
  </si>
  <si>
    <t>Bardo Cocktails &amp; Arts</t>
  </si>
  <si>
    <t>71HCM0412025</t>
  </si>
  <si>
    <t>71HCM0312025</t>
  </si>
  <si>
    <t>71HCM0162025</t>
  </si>
  <si>
    <t>71HCM0172025</t>
  </si>
  <si>
    <t>630BD2352025</t>
  </si>
  <si>
    <t>630HCM0412025</t>
  </si>
  <si>
    <t>630HCM2422025</t>
  </si>
  <si>
    <t>Big Bear Concepts</t>
  </si>
  <si>
    <t>630HCM1402025</t>
  </si>
  <si>
    <t>628HCM1712025</t>
  </si>
  <si>
    <t>628HCM0152025</t>
  </si>
  <si>
    <t>628HCM0412025</t>
  </si>
  <si>
    <t>627HCM2572025</t>
  </si>
  <si>
    <t>626DN1202025</t>
  </si>
  <si>
    <t>626HCM2412025</t>
  </si>
  <si>
    <t>626DL1502025</t>
  </si>
  <si>
    <t>626HCM0312025</t>
  </si>
  <si>
    <t>626HCM0402025</t>
  </si>
  <si>
    <t>626HCM0772025</t>
  </si>
  <si>
    <t>626HCM0172025</t>
  </si>
  <si>
    <t>625BD2352025</t>
  </si>
  <si>
    <t>625PQ2222025</t>
  </si>
  <si>
    <t>624HCM1092025</t>
  </si>
  <si>
    <t>624HCM2562025</t>
  </si>
  <si>
    <t>623HCM0312025</t>
  </si>
  <si>
    <t>623HCM0772025</t>
  </si>
  <si>
    <t>623HCM0542025</t>
  </si>
  <si>
    <t>623CT2542025</t>
  </si>
  <si>
    <t>CTY Quang Minh</t>
  </si>
  <si>
    <t>623HCM2552025</t>
  </si>
  <si>
    <t>623HCM0562025</t>
  </si>
  <si>
    <t>623HCM1222025</t>
  </si>
  <si>
    <t>Ricky Gee</t>
  </si>
  <si>
    <t>621HCM0342025</t>
  </si>
  <si>
    <t>621HCM0412025</t>
  </si>
  <si>
    <t>620HCM0172025</t>
  </si>
  <si>
    <t>620HCM2382025</t>
  </si>
  <si>
    <t>Sponsored Mekong Eyes Cruise</t>
  </si>
  <si>
    <t>619HCM0192025</t>
  </si>
  <si>
    <t>618HCM0772025</t>
  </si>
  <si>
    <t>618HCM1262025</t>
  </si>
  <si>
    <t>618HCM2522025</t>
  </si>
  <si>
    <t>618BD2352025</t>
  </si>
  <si>
    <t>617HCM0862025</t>
  </si>
  <si>
    <t>616CT1842025</t>
  </si>
  <si>
    <t>616HCM1092025</t>
  </si>
  <si>
    <t>616HCM0542025</t>
  </si>
  <si>
    <t>616HCM2412025</t>
  </si>
  <si>
    <t>616HCM1832025</t>
  </si>
  <si>
    <t>SVVIFT MANUFACTUFING</t>
  </si>
  <si>
    <t>616HCM0312025</t>
  </si>
  <si>
    <t>616HCM0772025</t>
  </si>
  <si>
    <t>614HCM1092025</t>
  </si>
  <si>
    <t>614HCM0992025</t>
  </si>
  <si>
    <t>614HCM0312025</t>
  </si>
  <si>
    <t>613HCM0412025</t>
  </si>
  <si>
    <t>613HCM0152025</t>
  </si>
  <si>
    <t>613HCM0142025</t>
  </si>
  <si>
    <t>613HCM0542025</t>
  </si>
  <si>
    <t>612HCM2202025</t>
  </si>
  <si>
    <t>611VT2512025</t>
  </si>
  <si>
    <t>610HCM0172025</t>
  </si>
  <si>
    <t>610NT2252025</t>
  </si>
  <si>
    <t>610HCM0762025</t>
  </si>
  <si>
    <t>610HCM0882025</t>
  </si>
  <si>
    <t>610HCM2182025</t>
  </si>
  <si>
    <t>69DL2432025</t>
  </si>
  <si>
    <t>69HCM0412025</t>
  </si>
  <si>
    <t>69HCM0312025</t>
  </si>
  <si>
    <t>69HCM1612025</t>
  </si>
  <si>
    <t>69PQ2502025</t>
  </si>
  <si>
    <t>Siêu Thị King Kong Mart</t>
  </si>
  <si>
    <t>67HCM1092025</t>
  </si>
  <si>
    <t>67HCM0762025</t>
  </si>
  <si>
    <t>67HCM0372025</t>
  </si>
  <si>
    <t>67HCM0192025</t>
  </si>
  <si>
    <t>66HCM1192025</t>
  </si>
  <si>
    <t>65HCM0862025</t>
  </si>
  <si>
    <t>65HCM0402025</t>
  </si>
  <si>
    <t>64HCM0542025</t>
  </si>
  <si>
    <t>63HCM0172025</t>
  </si>
  <si>
    <t>63HCM0192025</t>
  </si>
  <si>
    <t>63HCM1092025</t>
  </si>
  <si>
    <t>63HCM2422025</t>
  </si>
  <si>
    <t>62PQ2492025</t>
  </si>
  <si>
    <t>Phu Quoc Sample</t>
  </si>
  <si>
    <t>62HCM0882025</t>
  </si>
  <si>
    <t>62HCM0312025</t>
  </si>
  <si>
    <t>62HCM0412025</t>
  </si>
  <si>
    <t>531HCM2472025</t>
  </si>
  <si>
    <t>531HCM1092025</t>
  </si>
  <si>
    <t>531HCM0412025</t>
  </si>
  <si>
    <t>530HCM0772025</t>
  </si>
  <si>
    <t>530HCM0512025</t>
  </si>
  <si>
    <t>530HCM0542025</t>
  </si>
  <si>
    <t>530HCM2392025</t>
  </si>
  <si>
    <t>529HCM0862025</t>
  </si>
  <si>
    <t>529DN1202025</t>
  </si>
  <si>
    <t>529HCM2422025</t>
  </si>
  <si>
    <t>528HCM0992025</t>
  </si>
  <si>
    <t>528HCM0292025</t>
  </si>
  <si>
    <t>527HCM0312025</t>
  </si>
  <si>
    <t>527HCM1262025</t>
  </si>
  <si>
    <t>526HCM1092025</t>
  </si>
  <si>
    <t>526KT1962025</t>
  </si>
  <si>
    <t>524HCM1092025</t>
  </si>
  <si>
    <t>523HCM0172025</t>
  </si>
  <si>
    <t>522HCM0312025</t>
  </si>
  <si>
    <t>522HCM1092025</t>
  </si>
  <si>
    <t>522BD2352025</t>
  </si>
  <si>
    <t>521HCM0722025</t>
  </si>
  <si>
    <t>521NT2252025</t>
  </si>
  <si>
    <t>521HCM1722025</t>
  </si>
  <si>
    <t>520HCM0192025</t>
  </si>
  <si>
    <t>520HCM0162025</t>
  </si>
  <si>
    <t>520HCM0412025</t>
  </si>
  <si>
    <t>520HCM1262025</t>
  </si>
  <si>
    <t>519HCM2382025</t>
  </si>
  <si>
    <t>517HCM0312025</t>
  </si>
  <si>
    <t>517HCM1162025</t>
  </si>
  <si>
    <t>517HCM1092025</t>
  </si>
  <si>
    <t>517HCM0542025</t>
  </si>
  <si>
    <t>516HCM0172025</t>
  </si>
  <si>
    <t>516HCM0192025</t>
  </si>
  <si>
    <t>516HCM0312025</t>
  </si>
  <si>
    <t>516HCM0402025</t>
  </si>
  <si>
    <t>516HCM0542025</t>
  </si>
  <si>
    <t>516HCM0802025</t>
  </si>
  <si>
    <t>515HCM0412025</t>
  </si>
  <si>
    <t>515HCM1712025</t>
  </si>
  <si>
    <t>513HCM0992025</t>
  </si>
  <si>
    <t>513BD2352025</t>
  </si>
  <si>
    <t>513HCM1092025</t>
  </si>
  <si>
    <t>512DL2482025</t>
  </si>
  <si>
    <t>Brew House Dalat</t>
  </si>
  <si>
    <t>512HCM0412025</t>
  </si>
  <si>
    <t>512HCM0312025</t>
  </si>
  <si>
    <t>510HCM0862025</t>
  </si>
  <si>
    <t>510HCM0192025</t>
  </si>
  <si>
    <t>510HCM2472025</t>
  </si>
  <si>
    <t>510HCM0772025</t>
  </si>
  <si>
    <t>510HCM0542025</t>
  </si>
  <si>
    <t>59HCM0172025</t>
  </si>
  <si>
    <t>59HCM0412025</t>
  </si>
  <si>
    <t>59HCM0312025</t>
  </si>
  <si>
    <t>58DN1202025</t>
  </si>
  <si>
    <t>58HCM0372025</t>
  </si>
  <si>
    <t>57BD2352025</t>
  </si>
  <si>
    <t>57DL2462025</t>
  </si>
  <si>
    <t>57HCM0342025</t>
  </si>
  <si>
    <t>56HCM2452025</t>
  </si>
  <si>
    <t>Bill Stoops-Dragon Capital</t>
  </si>
  <si>
    <t>56NT2252025</t>
  </si>
  <si>
    <t>56HCM1262025</t>
  </si>
  <si>
    <t>56HCM1092025</t>
  </si>
  <si>
    <t>55HCM1092025</t>
  </si>
  <si>
    <t>55HCM0602025</t>
  </si>
  <si>
    <t>55HCM1712025</t>
  </si>
  <si>
    <t>53HCM0512025</t>
  </si>
  <si>
    <t>53HCM0602025</t>
  </si>
  <si>
    <t>53HCM0162025</t>
  </si>
  <si>
    <t>53HCM0172025</t>
  </si>
  <si>
    <t>53HCM2382025</t>
  </si>
  <si>
    <t>53HCM0352025</t>
  </si>
  <si>
    <t>53HCM1232025</t>
  </si>
  <si>
    <t>53HCM1092025</t>
  </si>
  <si>
    <t>53HCM0992025</t>
  </si>
  <si>
    <t>52HCM0692025</t>
  </si>
  <si>
    <t>52HCM0312025</t>
  </si>
  <si>
    <t>52KG1762025</t>
  </si>
  <si>
    <t>52HCM0542025</t>
  </si>
  <si>
    <t>429HCM0412025</t>
  </si>
  <si>
    <t>428HCM2382025</t>
  </si>
  <si>
    <t>428HCM0772025</t>
  </si>
  <si>
    <t>428PQ2212025</t>
  </si>
  <si>
    <t>428HCM1092025</t>
  </si>
  <si>
    <t>428HCM1192025</t>
  </si>
  <si>
    <t>428HCM1262025</t>
  </si>
  <si>
    <t>426HCM1312025</t>
  </si>
  <si>
    <t>Funk Factory</t>
  </si>
  <si>
    <t>426HCM0412025</t>
  </si>
  <si>
    <t>426HCM1092025</t>
  </si>
  <si>
    <t>425HCM0192025</t>
  </si>
  <si>
    <t>425HCM0882025</t>
  </si>
  <si>
    <t>425HCM0292025</t>
  </si>
  <si>
    <t>425HCM0542025</t>
  </si>
  <si>
    <t>425HCM1262025</t>
  </si>
  <si>
    <t>424HCM2412025</t>
  </si>
  <si>
    <t>424HCM0312025</t>
  </si>
  <si>
    <t>424BD2352025</t>
  </si>
  <si>
    <t>423HCM0722025</t>
  </si>
  <si>
    <t>423HCM0412025</t>
  </si>
  <si>
    <t>423HCM2382025</t>
  </si>
  <si>
    <t>422HCM0862025</t>
  </si>
  <si>
    <t>422HCM0172025</t>
  </si>
  <si>
    <t>422HCM1262025</t>
  </si>
  <si>
    <t>421HCM0512025</t>
  </si>
  <si>
    <t>419HCM0512025</t>
  </si>
  <si>
    <t>419HCM1092025</t>
  </si>
  <si>
    <t>419HCM0542025</t>
  </si>
  <si>
    <t>418BD2352025</t>
  </si>
  <si>
    <t>418HCM0172025</t>
  </si>
  <si>
    <t>418HCM0192025</t>
  </si>
  <si>
    <t>418HCM0212025</t>
  </si>
  <si>
    <t>Bia Craft - NDC</t>
  </si>
  <si>
    <t>418HCM2392025</t>
  </si>
  <si>
    <t>418HCM0312025</t>
  </si>
  <si>
    <t>418HCM0412025</t>
  </si>
  <si>
    <t>417DN1202025</t>
  </si>
  <si>
    <t>417NT2252025</t>
  </si>
  <si>
    <t>417HCM2412025</t>
  </si>
  <si>
    <t>416HCM1092025</t>
  </si>
  <si>
    <t>415CT1842025</t>
  </si>
  <si>
    <t>414HCM0542025</t>
  </si>
  <si>
    <t>414HCM1192025</t>
  </si>
  <si>
    <t>412KT1962025</t>
  </si>
  <si>
    <t>412HCM1612025</t>
  </si>
  <si>
    <t>412DL2432025</t>
  </si>
  <si>
    <t>411HCM0172025</t>
  </si>
  <si>
    <t>411HCM0192025</t>
  </si>
  <si>
    <t>411HCM1092025</t>
  </si>
  <si>
    <t>410HCM0402025</t>
  </si>
  <si>
    <t>410HCM0232025</t>
  </si>
  <si>
    <t>49HCM1092025</t>
  </si>
  <si>
    <t>49HCM1712025</t>
  </si>
  <si>
    <t>49HCM0312025</t>
  </si>
  <si>
    <t>49HCM1262025</t>
  </si>
  <si>
    <t>49DL1502025</t>
  </si>
  <si>
    <t>49HCM2422025</t>
  </si>
  <si>
    <t>48HCM0292025</t>
  </si>
  <si>
    <t>48HCM0312025</t>
  </si>
  <si>
    <t>48HCM0542025</t>
  </si>
  <si>
    <t>48HCM0412025</t>
  </si>
  <si>
    <t>48HCM0372025</t>
  </si>
  <si>
    <t>45HCM2412025</t>
  </si>
  <si>
    <t>45HCM0772025</t>
  </si>
  <si>
    <t>45HCM0412025</t>
  </si>
  <si>
    <t>45HCM0542025</t>
  </si>
  <si>
    <t>45HCM1092025</t>
  </si>
  <si>
    <t>44HCM0192025</t>
  </si>
  <si>
    <t>44HCM0172025</t>
  </si>
  <si>
    <t>44HCM0162025</t>
  </si>
  <si>
    <t>44HCM2402025</t>
  </si>
  <si>
    <t>Anh Sang bảo trì</t>
  </si>
  <si>
    <t>43BD2352025</t>
  </si>
  <si>
    <t>43HCM2032025</t>
  </si>
  <si>
    <t>42HCM0542025</t>
  </si>
  <si>
    <t>41HCM0862025</t>
  </si>
  <si>
    <t>41NT2252025</t>
  </si>
  <si>
    <t>41DL1392025</t>
  </si>
  <si>
    <t>DuSam Dalat</t>
  </si>
  <si>
    <t>41HCM1262025</t>
  </si>
  <si>
    <t>331HCM0402025</t>
  </si>
  <si>
    <t>331HCM0882025</t>
  </si>
  <si>
    <t>331KG1762025</t>
  </si>
  <si>
    <t>331BD2352025</t>
  </si>
  <si>
    <t>331KT1962025</t>
  </si>
  <si>
    <t>331HCM1092025</t>
  </si>
  <si>
    <t>331HCM0992025</t>
  </si>
  <si>
    <t>329HCM0542025</t>
  </si>
  <si>
    <t>328HCM0412025</t>
  </si>
  <si>
    <t>328KT1962025</t>
  </si>
  <si>
    <t>328HCM0212025</t>
  </si>
  <si>
    <t>328HCM0172025</t>
  </si>
  <si>
    <t>328HCM0342025</t>
  </si>
  <si>
    <t>327HCM0542025</t>
  </si>
  <si>
    <t>326BD2352025</t>
  </si>
  <si>
    <t>326HCM0352025</t>
  </si>
  <si>
    <t>326HCM0312025</t>
  </si>
  <si>
    <t>326HCM2392025</t>
  </si>
  <si>
    <t>326DN1202025</t>
  </si>
  <si>
    <t>326HCM1262025</t>
  </si>
  <si>
    <t>325PQ2222025</t>
  </si>
  <si>
    <t>325HCM0192025</t>
  </si>
  <si>
    <t>325HCM0692025</t>
  </si>
  <si>
    <t>324KG2162025</t>
  </si>
  <si>
    <t>324HCM1092025</t>
  </si>
  <si>
    <t>324HCM0412025</t>
  </si>
  <si>
    <t>324HCM0542025</t>
  </si>
  <si>
    <t>324HCM1722025</t>
  </si>
  <si>
    <t>322HCM0862025</t>
  </si>
  <si>
    <t>322DL1392025</t>
  </si>
  <si>
    <t>321HCM0172025</t>
  </si>
  <si>
    <t>321HCM1192025</t>
  </si>
  <si>
    <t>320HCM0772025</t>
  </si>
  <si>
    <t>319HCM1092025</t>
  </si>
  <si>
    <t>319HCM0542025</t>
  </si>
  <si>
    <t>318HCM0882025</t>
  </si>
  <si>
    <t>318HCM0312025</t>
  </si>
  <si>
    <t>318HCM0402025</t>
  </si>
  <si>
    <t>317HCM0412025</t>
  </si>
  <si>
    <t>317HCM1092025</t>
  </si>
  <si>
    <t>315HCM0372025</t>
  </si>
  <si>
    <t>315HCM1092025</t>
  </si>
  <si>
    <t>314HCM0172025</t>
  </si>
  <si>
    <t>314HCM2382025</t>
  </si>
  <si>
    <t>314HCM0542025</t>
  </si>
  <si>
    <t>312HCM0412025</t>
  </si>
  <si>
    <t>312HCM0312025</t>
  </si>
  <si>
    <t>311HCM0192025</t>
  </si>
  <si>
    <t>311HCM0162025</t>
  </si>
  <si>
    <t>311HCM2382025</t>
  </si>
  <si>
    <t>310HCM0882025</t>
  </si>
  <si>
    <t>310QN1032025</t>
  </si>
  <si>
    <t>310HCM0772025</t>
  </si>
  <si>
    <t>310HCM1092025</t>
  </si>
  <si>
    <t>310HCM0542025</t>
  </si>
  <si>
    <t>38HCM0512025</t>
  </si>
  <si>
    <t>38HCM0862025</t>
  </si>
  <si>
    <t>37HCM0172025</t>
  </si>
  <si>
    <t>37HCM0542025</t>
  </si>
  <si>
    <t>37HCM0312025</t>
  </si>
  <si>
    <t>36HCM0402025</t>
  </si>
  <si>
    <t>36HCM0412025</t>
  </si>
  <si>
    <t>35HCM0992025</t>
  </si>
  <si>
    <t>35DL1472025</t>
  </si>
  <si>
    <t>35HCM0312025</t>
  </si>
  <si>
    <t>34HCM0402025</t>
  </si>
  <si>
    <t>34HCM0312025</t>
  </si>
  <si>
    <t>34HCM1092025</t>
  </si>
  <si>
    <t>34DN1202025</t>
  </si>
  <si>
    <t>34NT2252025</t>
  </si>
  <si>
    <t>34HCM1952025</t>
  </si>
  <si>
    <t>Mixtape Drinks</t>
  </si>
  <si>
    <t>33HCM0352025</t>
  </si>
  <si>
    <t>33HCM0412025</t>
  </si>
  <si>
    <t>33HCM0312025</t>
  </si>
  <si>
    <t>33KT1962025</t>
  </si>
  <si>
    <t>228HCM1092025</t>
  </si>
  <si>
    <t>228HCM0172025</t>
  </si>
  <si>
    <t>227HCM1092025</t>
  </si>
  <si>
    <t>226BD2352025</t>
  </si>
  <si>
    <t>226HCM0882025</t>
  </si>
  <si>
    <t>226DL1392025</t>
  </si>
  <si>
    <t>226BĐ2372025</t>
  </si>
  <si>
    <t>225HCM0192025</t>
  </si>
  <si>
    <t>225HCM0212025</t>
  </si>
  <si>
    <t>225HCM0562025</t>
  </si>
  <si>
    <t>224HCM0342025</t>
  </si>
  <si>
    <t>224HCM1232025</t>
  </si>
  <si>
    <t>224HCM0312025</t>
  </si>
  <si>
    <t>224HCM0542025</t>
  </si>
  <si>
    <t>224HCM1092025</t>
  </si>
  <si>
    <t>224HCM1192025</t>
  </si>
  <si>
    <t>222HCM0312025</t>
  </si>
  <si>
    <t>222HCM0542025</t>
  </si>
  <si>
    <t>222HCM1092025</t>
  </si>
  <si>
    <t>221HCM0192025</t>
  </si>
  <si>
    <t>221KT1962025</t>
  </si>
  <si>
    <t>221HCM1712025</t>
  </si>
  <si>
    <t>220HCM0412025</t>
  </si>
  <si>
    <t>220HCM0292025</t>
  </si>
  <si>
    <t>220NT2252025</t>
  </si>
  <si>
    <t>219HCM0992025</t>
  </si>
  <si>
    <t>218HCM1092025</t>
  </si>
  <si>
    <t>218HCM1312025</t>
  </si>
  <si>
    <t>218VT2362025</t>
  </si>
  <si>
    <t>LEO Beer Bistro</t>
  </si>
  <si>
    <t>217HCM0402025</t>
  </si>
  <si>
    <t>217HCM1812025</t>
  </si>
  <si>
    <t>NEO</t>
  </si>
  <si>
    <t>215HCM0312025</t>
  </si>
  <si>
    <t>215HCM0372025</t>
  </si>
  <si>
    <t>215HCM0412025</t>
  </si>
  <si>
    <t>215HCM0542025</t>
  </si>
  <si>
    <t>215HCM1092025</t>
  </si>
  <si>
    <t>214HCM0192025</t>
  </si>
  <si>
    <t>214HCM0172025</t>
  </si>
  <si>
    <t>214HCM0772025</t>
  </si>
  <si>
    <t>213HCM0412025</t>
  </si>
  <si>
    <t>212HCM0882025</t>
  </si>
  <si>
    <t>212HCM0322025</t>
  </si>
  <si>
    <t>211HCM0172025</t>
  </si>
  <si>
    <t>211HCM0542025</t>
  </si>
  <si>
    <t>211BD2352025</t>
  </si>
  <si>
    <t>210DL1392025</t>
  </si>
  <si>
    <t>210KG2162025</t>
  </si>
  <si>
    <t>210PQ2212025</t>
  </si>
  <si>
    <t>210HCM0542025</t>
  </si>
  <si>
    <t>28HCM0862025</t>
  </si>
  <si>
    <t>28HCM0532025</t>
  </si>
  <si>
    <t>28HCM0762025</t>
  </si>
  <si>
    <t>27HCM0192025</t>
  </si>
  <si>
    <t>27KG1762025</t>
  </si>
  <si>
    <t>27HCM0412025</t>
  </si>
  <si>
    <t>26NT2252025</t>
  </si>
  <si>
    <t>25HCM1232025</t>
  </si>
  <si>
    <t>24HCM0162025</t>
  </si>
  <si>
    <t>24HCM0172025</t>
  </si>
  <si>
    <t>24HCM0412025</t>
  </si>
  <si>
    <t>24HCM2312025</t>
  </si>
  <si>
    <t>23HCM0772025</t>
  </si>
  <si>
    <t>23HCM1092025</t>
  </si>
  <si>
    <t>23HCM1612025</t>
  </si>
  <si>
    <t>23HCM1812025</t>
  </si>
  <si>
    <t>124HCM0192025</t>
  </si>
  <si>
    <t>124HCM0312025</t>
  </si>
  <si>
    <t>123HCM0882025</t>
  </si>
  <si>
    <t>123PQ2222025</t>
  </si>
  <si>
    <t>123KG1762025</t>
  </si>
  <si>
    <t>123HCM0402025</t>
  </si>
  <si>
    <t>123HCM0792025</t>
  </si>
  <si>
    <t>123HCM0542025</t>
  </si>
  <si>
    <t>123HCM2332025</t>
  </si>
  <si>
    <t>123HCM2302025</t>
  </si>
  <si>
    <t>Hậu sale Q3</t>
  </si>
  <si>
    <t>123HCM2342025</t>
  </si>
  <si>
    <t>122HCM1092025</t>
  </si>
  <si>
    <t>122KG1762025</t>
  </si>
  <si>
    <t>121NT2252025</t>
  </si>
  <si>
    <t>121HCM0212025</t>
  </si>
  <si>
    <t>121HCM0162025</t>
  </si>
  <si>
    <t>121HCM0172025</t>
  </si>
  <si>
    <t>121HCM0312025</t>
  </si>
  <si>
    <t>121HCM0362025</t>
  </si>
  <si>
    <t>Indika Sai Gon</t>
  </si>
  <si>
    <t>121HCM1092025</t>
  </si>
  <si>
    <t>121HCM0542025</t>
  </si>
  <si>
    <t>120HCM0722025</t>
  </si>
  <si>
    <t>120DL1502025</t>
  </si>
  <si>
    <t>120HCM1092025</t>
  </si>
  <si>
    <t>120HCM0292025</t>
  </si>
  <si>
    <t>118DN1202025</t>
  </si>
  <si>
    <t>118CT1842025</t>
  </si>
  <si>
    <t>118HCM0542025</t>
  </si>
  <si>
    <t>117HCM0412025</t>
  </si>
  <si>
    <t>117HCM2182025</t>
  </si>
  <si>
    <t>117HCM0362025</t>
  </si>
  <si>
    <t>117HCM1092025</t>
  </si>
  <si>
    <t>117HCM1952025</t>
  </si>
  <si>
    <t>117HCM2272025</t>
  </si>
  <si>
    <t>117HCM1162025</t>
  </si>
  <si>
    <t>116DL1392025</t>
  </si>
  <si>
    <t>115KG1762025</t>
  </si>
  <si>
    <t>115HCM0192025</t>
  </si>
  <si>
    <t>115HCM0692025</t>
  </si>
  <si>
    <t>115HCM2322025</t>
  </si>
  <si>
    <t>Lucky 14 Kitchen &amp; Bar</t>
  </si>
  <si>
    <t>115HCM0802025</t>
  </si>
  <si>
    <t>115DL1392025</t>
  </si>
  <si>
    <t>114HCM0172025</t>
  </si>
  <si>
    <t>113HCM0562025</t>
  </si>
  <si>
    <t>113HCM2202025</t>
  </si>
  <si>
    <t>113HCM0692025</t>
  </si>
  <si>
    <t>113HCM0602025</t>
  </si>
  <si>
    <t>113HCM0372025</t>
  </si>
  <si>
    <t>113HCM0312025</t>
  </si>
  <si>
    <t>113HCM0362025</t>
  </si>
  <si>
    <t>113HCM1192025</t>
  </si>
  <si>
    <t>113HCM2312025</t>
  </si>
  <si>
    <t>111NT2252025</t>
  </si>
  <si>
    <t>111HCM0402025</t>
  </si>
  <si>
    <t>111HCM0862025</t>
  </si>
  <si>
    <t>111HCM1092025</t>
  </si>
  <si>
    <t>110HCM0142025</t>
  </si>
  <si>
    <t>110HCM0212025</t>
  </si>
  <si>
    <t>110HCM0172025</t>
  </si>
  <si>
    <t>110HCM0342025</t>
  </si>
  <si>
    <t>110HCM0772025</t>
  </si>
  <si>
    <t>110HCM0542025</t>
  </si>
  <si>
    <t>110HCM1832025</t>
  </si>
  <si>
    <t>110HCM1402025</t>
  </si>
  <si>
    <t>19VT1802025</t>
  </si>
  <si>
    <t>19HCM0412025</t>
  </si>
  <si>
    <t>19HCM0312025</t>
  </si>
  <si>
    <t>18HCM1812025</t>
  </si>
  <si>
    <t>18HCM0512025</t>
  </si>
  <si>
    <t>18HCM1112025</t>
  </si>
  <si>
    <t>18KG2162025</t>
  </si>
  <si>
    <t>17HCM0192025</t>
  </si>
  <si>
    <t>17HCM0882025</t>
  </si>
  <si>
    <t>17HCM0292025</t>
  </si>
  <si>
    <t>17HCM1092025</t>
  </si>
  <si>
    <t>17HCM0512025</t>
  </si>
  <si>
    <t>16HCM0412025</t>
  </si>
  <si>
    <t>16HCM0542025</t>
  </si>
  <si>
    <t>14HCM0882025</t>
  </si>
  <si>
    <t>14HCM1092025</t>
  </si>
  <si>
    <t>14HCM0542025</t>
  </si>
  <si>
    <t>13HCM0162025</t>
  </si>
  <si>
    <t>13HCM0172025</t>
  </si>
  <si>
    <t>13HCM0402025</t>
  </si>
  <si>
    <t>13HCM1712025</t>
  </si>
  <si>
    <t>13KG1762025</t>
  </si>
  <si>
    <t xml:space="preserve">  Line items per sales order. References Sales Orders + Products.</t>
  </si>
  <si>
    <t>unit_price (VND)</t>
  </si>
  <si>
    <t>discount (%)</t>
  </si>
  <si>
    <t>Pale Ale (Keg 20L)</t>
  </si>
  <si>
    <t>Thunderslap (can 330ml)</t>
  </si>
  <si>
    <t>Ten Dogs- Juicy Lucy Cloudy IPA (can 330ml)</t>
  </si>
  <si>
    <t>Lager - BIRD BREW (can 330ml)</t>
  </si>
  <si>
    <t>Hard Lemonade (can 330ml)</t>
  </si>
  <si>
    <t>Pale Ale (can 330ml)</t>
  </si>
  <si>
    <t>Thunderslap (Keg 20L)</t>
  </si>
  <si>
    <t>Lager - BIRD BREW (Keg 20L)</t>
  </si>
  <si>
    <t>Hard Lemonade (Keg 20L)</t>
  </si>
  <si>
    <t>Bière Blanche (Keg 20L)</t>
  </si>
  <si>
    <t>Bière Blanche (can 330ml)</t>
  </si>
  <si>
    <t>Promotion</t>
  </si>
  <si>
    <t>Glass 330ml (Cái)</t>
  </si>
  <si>
    <t>POSM</t>
  </si>
  <si>
    <t>Bình CO2 nhỏ</t>
  </si>
  <si>
    <t>Ten Dogs- Juicy Lucy Cloudy IPA (Keg 20L)</t>
  </si>
  <si>
    <t>Pilsner (kg)</t>
  </si>
  <si>
    <t>Coaster (Cái)</t>
  </si>
  <si>
    <t>Sponsored</t>
  </si>
  <si>
    <t>Tháp bia (Cái)</t>
  </si>
  <si>
    <t>Chiller (Cái)</t>
  </si>
  <si>
    <t>2 tap Kegerator -Tủ 2 vòi (Cái)</t>
  </si>
  <si>
    <t>Coupler (cái)</t>
  </si>
  <si>
    <t>Bia Tết (can 330ml)</t>
  </si>
  <si>
    <t>Glass 650ml (Cái)</t>
  </si>
  <si>
    <t>Hoppy Pale (Keg 20L)</t>
  </si>
  <si>
    <t>Bia Tết (Keg 20L)</t>
  </si>
  <si>
    <t>Rổ tre (Cái)</t>
  </si>
  <si>
    <t>Set quà Tết  (Bộ)</t>
  </si>
  <si>
    <t>Hoppy Pale (can 330ml)</t>
  </si>
  <si>
    <t>Lót chai (Cái)</t>
  </si>
  <si>
    <t xml:space="preserve">POSM </t>
  </si>
  <si>
    <t>Sticker logo dán (Cái)</t>
  </si>
  <si>
    <t>Hop Baby  (can 330ml)</t>
  </si>
  <si>
    <t>Tap medallion (cái)</t>
  </si>
  <si>
    <t>Beerfest</t>
  </si>
  <si>
    <t>Thùng nhựa (Cái)</t>
  </si>
  <si>
    <t>Ly - Cup (cái)</t>
  </si>
  <si>
    <t>Bạt phủ (Cái)</t>
  </si>
  <si>
    <t>Menu lớn (Cái)</t>
  </si>
  <si>
    <t>Brochure A4 để bàn (Cái)</t>
  </si>
  <si>
    <t>Standee (cái)</t>
  </si>
  <si>
    <t>Bảng đen có phấn - Chalkboard w/chalk (Cái)</t>
  </si>
  <si>
    <t>Tablecloth - Khăn trải bàn (cái)</t>
  </si>
  <si>
    <t>Cờ cánh buồm (cái)</t>
  </si>
  <si>
    <t>Cờ (Cái)</t>
  </si>
  <si>
    <t>Áo polo Fuzzy (cái)</t>
  </si>
  <si>
    <t>Nón Fuzzy (cái)</t>
  </si>
  <si>
    <t>Replaced</t>
  </si>
  <si>
    <t>Pilot Lager (can 330ml)</t>
  </si>
  <si>
    <t>Thùng giấy 24 lon (Cái)</t>
  </si>
  <si>
    <t>Ten Dogs (can 330ml)</t>
  </si>
  <si>
    <t>Pack (6 loại)</t>
  </si>
  <si>
    <t>Celestial Blonde (can 330ml)</t>
  </si>
  <si>
    <t>Pilot Stout (Keg 20L)</t>
  </si>
  <si>
    <t>Đồng hồ Co2 (cái)</t>
  </si>
  <si>
    <t>Lon rỗng và nắp (Bộ)</t>
  </si>
  <si>
    <t>Binh Duong Beerfest</t>
  </si>
  <si>
    <t>Whisky Porter (can 330ml)</t>
  </si>
  <si>
    <t>Hộp đèn tròn (Cái)</t>
  </si>
  <si>
    <t>Co2 (refil)</t>
  </si>
  <si>
    <t>Coaster Blanche (Cái)</t>
  </si>
  <si>
    <t>Munich (Kg)</t>
  </si>
  <si>
    <t>Whisky Porter (Keg 20L)</t>
  </si>
  <si>
    <t>Pilot Stout (can 330ml)</t>
  </si>
  <si>
    <t xml:space="preserve">Sample </t>
  </si>
  <si>
    <t>Citra IPA (Can 330ml)</t>
  </si>
  <si>
    <t>Contract Brewing</t>
  </si>
  <si>
    <t xml:space="preserve">Contract Brewing </t>
  </si>
  <si>
    <t>Ten Dogs (Keg 20L)</t>
  </si>
  <si>
    <t>Celestial Blonde (Keg 20L)</t>
  </si>
  <si>
    <t>Monkey Rocker Pale Ale (Can 330ml)</t>
  </si>
  <si>
    <t>Pale Malt (BBM) Kg</t>
  </si>
  <si>
    <t>Wheat (BBM) Kg</t>
  </si>
  <si>
    <t>Flaked Oats (crips) Kg</t>
  </si>
  <si>
    <t>Dextrin Malt (crips) Kg</t>
  </si>
  <si>
    <t>Hop Baby  (Keg 20L)</t>
  </si>
  <si>
    <t>Bière Blanche - Pro (can 330ml)</t>
  </si>
  <si>
    <t>Thunderslap - Pro (can 330ml)</t>
  </si>
  <si>
    <t>Hop Baby - Pro (can 330ml)</t>
  </si>
  <si>
    <t>Whisky Porter - Pro (can 330ml)</t>
  </si>
  <si>
    <t>Event</t>
  </si>
  <si>
    <t>Hard Lemonade - Promotion (can 330ml)</t>
  </si>
  <si>
    <t>Blanche glass 400ml (cái)</t>
  </si>
  <si>
    <t>Ten Dogs- Juicy Lucy Cloudy IPA - Pro (Keg 20L)</t>
  </si>
  <si>
    <t>Lager - BIRD BREW - Promotion (can 330ml)</t>
  </si>
  <si>
    <t>Celestial Blonde - Pro (can 330ml)</t>
  </si>
  <si>
    <t>Pale Ale - Pro(can 330ml)</t>
  </si>
  <si>
    <t>Ten Dogs - Pro(can 330ml)</t>
  </si>
  <si>
    <t>Ten Dogs- Juicy Lucy Cloudy IPA -Pro (can 330ml)</t>
  </si>
  <si>
    <t>Hard Lemonade - Promotion (Keg 20L)</t>
  </si>
  <si>
    <t>Lager - BIRD BREW - Promotion (Keg 20L)</t>
  </si>
  <si>
    <t>Thunderslap - Promotion(Keg 20L)</t>
  </si>
  <si>
    <t>Bière Blanche - Pro (Keg 20L)</t>
  </si>
  <si>
    <t>Pale Ale - Promotion (Keg 20L)</t>
  </si>
  <si>
    <t>Celestial Blonde - Promotion (Keg 20L)</t>
  </si>
  <si>
    <t>Pack (6 loại) - Sample</t>
  </si>
  <si>
    <t>Hop Baby - Pro (Keg 20L)</t>
  </si>
  <si>
    <t>Bia Imperial Hoppy Pilsner (Keg 20L)</t>
  </si>
  <si>
    <t>Hộp đèn Lemon (Cái)</t>
  </si>
  <si>
    <t>Pack giấy (cái)</t>
  </si>
  <si>
    <t>Ten Dogs - Promotion (Keg 20L)</t>
  </si>
  <si>
    <t>Áo polo Mad Alchemists (cái)</t>
  </si>
  <si>
    <t>Sample Cambo</t>
  </si>
  <si>
    <t>Bộ tap gỗ (cái)</t>
  </si>
  <si>
    <t>Whisky Porter - Pro (Keg 20L)</t>
  </si>
  <si>
    <t>Tap Handles (Cái)</t>
  </si>
  <si>
    <t xml:space="preserve">  All income and expense transactions.</t>
  </si>
  <si>
    <t>transaction_date (YYYY-MM-DD)</t>
  </si>
  <si>
    <t>amount (VND)</t>
  </si>
  <si>
    <t>payment_method</t>
  </si>
  <si>
    <t>reference_id</t>
  </si>
  <si>
    <t>reference_type</t>
  </si>
  <si>
    <t>Options: income, expense</t>
  </si>
  <si>
    <t>Options: Sales, Raw Materials, Utilities, Rent, Salaries</t>
  </si>
  <si>
    <t>Options: cash, bank_transfer, credit_card, momo, zalopay</t>
  </si>
  <si>
    <t>Thu tiền của Midway Cafe T12</t>
  </si>
  <si>
    <t>bank_transfer</t>
  </si>
  <si>
    <t>Thu lãi đầu tư tài chính của Ngân hàng Techcombank</t>
  </si>
  <si>
    <t>Chi tiền cho Nhân viên Ngọc - tet bonus</t>
  </si>
  <si>
    <t>Salaries</t>
  </si>
  <si>
    <t>Chi tiền cho Nhân viên Khôi-  tet bonus</t>
  </si>
  <si>
    <t>Chi tiền cho Nhân viên anh Hiền-   tet bonus</t>
  </si>
  <si>
    <t>Chi tiền cho Nhân viên anh Hậu-   tet bonus</t>
  </si>
  <si>
    <t>Chi tiền cho Nhân viên chú Hùng-   tet bonus</t>
  </si>
  <si>
    <t>Chi tiền cho Nhân viên anh Hiếu-   tet bonus</t>
  </si>
  <si>
    <t>Chi tiền cho Nhân viên Cao Chi-   tet bonus</t>
  </si>
  <si>
    <t>Chi tiền cho Nhân viên Nguyễn Vũ Nhật Minh-   tet bonus</t>
  </si>
  <si>
    <t>Thu tiền của CÔNG TY TNHH THƯƠNG MẠI DỊCH VỤ NÔNG TRẠI KHOAI 27/12</t>
  </si>
  <si>
    <t>Thu tiền của Khách Jan 27/12</t>
  </si>
  <si>
    <t>Thu tiền của Hana Beer</t>
  </si>
  <si>
    <t>Tnr tra 7 11pale va 10 11</t>
  </si>
  <si>
    <t>Thu tiền của Craft Beer Phú Quốc 22/12 VÀ 26/12</t>
  </si>
  <si>
    <t>Thu tiền của Công Ty TNHH Three B Việt Nam T12</t>
  </si>
  <si>
    <t>Thu tiền của Kubi Craft Beer T12</t>
  </si>
  <si>
    <t>Trả tiền nhà cung cấp anh Tiến - 25kg malt Vienna T10</t>
  </si>
  <si>
    <t>Raw material</t>
  </si>
  <si>
    <t>Thuế SCT T11</t>
  </si>
  <si>
    <t>Ulilites</t>
  </si>
  <si>
    <t>Tax</t>
  </si>
  <si>
    <t>30.075.204</t>
  </si>
  <si>
    <t>11.643.722</t>
  </si>
  <si>
    <t>Chi tiền cho Nhân viên Hậu sale -thanh toan comission 2025 lan 1</t>
  </si>
  <si>
    <t>Thu tiền của Khách Carlos Galvez</t>
  </si>
  <si>
    <t>Thu tiền của Kiki Coconut Beach Resort T12</t>
  </si>
  <si>
    <t>Chi tiền cho Nhân viên- Đặt xe giao bia  Mr Craft 29/12</t>
  </si>
  <si>
    <t>Shipping fee</t>
  </si>
  <si>
    <t>Thu tiền của Hanoi Cider T11</t>
  </si>
  <si>
    <t>thanh toan tien vc th12</t>
  </si>
  <si>
    <t>shipping fee</t>
  </si>
  <si>
    <t>Thu tiền của Bottle Shop Ngõ Gạch T11</t>
  </si>
  <si>
    <t>Thu tiền của Bottle Shop ĐTM T11</t>
  </si>
  <si>
    <t>Thu tiền của CÔNG TY CỔ PHẦN ỤT ỤT - CHI NHÁNH BIACRAFT XUÂN THỦY T10</t>
  </si>
  <si>
    <t>Thu tiền của CÔNG TY CỔ PHẦN ỤT ỤT - CHI NHÁNH BIACRAFT LÊ NGÔ CÁT T10</t>
  </si>
  <si>
    <t>Thu tiền của CÔNG TY CỔ PHẦN ỤT ỤT Chi nhánh 300TS T10</t>
  </si>
  <si>
    <t>CTY TNHH MAD ALCHEMISTS 1102043861 Dang ky cap moi</t>
  </si>
  <si>
    <t>License</t>
  </si>
  <si>
    <t>Chi tiền cho Nhân viên- Ricky business trip Da Nang fee</t>
  </si>
  <si>
    <t>Sale expenses</t>
  </si>
  <si>
    <t>Chi tiền cho NGUYEN THI TY- phi thay doi giay phep</t>
  </si>
  <si>
    <t>Chi tiền cho Nhân viên-Đặt xe chở biag và CO2 lên Red Bison 25/12</t>
  </si>
  <si>
    <t>Thu lãi đầu tư tài chính của Ngân hàng Vietinbank</t>
  </si>
  <si>
    <t>Chi tiền cho Nhân viên- Tiền ship gửi 9kegs Origin 24/12</t>
  </si>
  <si>
    <t>Thu tiền của PLEXICO JAMES JOHN- Shipping Kegs Shipping Kegs</t>
  </si>
  <si>
    <t>Thu tiền khách hàng 7 Bridges Saigon- in Nov HD 305,306</t>
  </si>
  <si>
    <t>Thu tiền của Pizza Belga T11</t>
  </si>
  <si>
    <t>Thu tiền của Tung Dining T11</t>
  </si>
  <si>
    <t>Chi tiền cho Nhân viên mua đồ cúng xưởng 22/12</t>
  </si>
  <si>
    <t>Utilites</t>
  </si>
  <si>
    <t>Trả 400k mua dầu</t>
  </si>
  <si>
    <t>Mad thanh toan hd van chuyen so 7220 đơn HN 23th11</t>
  </si>
  <si>
    <t>Thu tiền của Banana T11</t>
  </si>
  <si>
    <t>Thu tiền của Top of the Loop T11 (Lúa Vàng)</t>
  </si>
  <si>
    <t>Chi tiền cho Nhân viên Mua bút lông, vpp 19/12</t>
  </si>
  <si>
    <t>Thu tiền của Khách Ryota  15/12</t>
  </si>
  <si>
    <t>Thu tiền của CÔNG TY TNHH THƯƠNG MẠI DỊCH VỤ NÔNG TRẠI KHOAI- QH</t>
  </si>
  <si>
    <t>Chi tiền cho Nhân viên Phí ship 81 Taproom 12/12</t>
  </si>
  <si>
    <t>Hoàn quỹ COD T11 2025</t>
  </si>
  <si>
    <t>Thu tiền của CÔNG TY TNHH THƯƠNG MẠI DỊCH VỤ NÔNG TRẠI KHOAI- PVC</t>
  </si>
  <si>
    <t>Thu tiền của CÔNG TY TNHH DỊCH VỤ KINH DOANH HOÀN HẢO T11</t>
  </si>
  <si>
    <t>Thu tiền của Chookies hideaway Ninh Binh T11 =&gt; trừ 200k phí rửa line</t>
  </si>
  <si>
    <t>Thu tiền của CÔNG TY TNHH NHÀ HÀNG THIÊN AN T11</t>
  </si>
  <si>
    <t>Thu tiền của Ongbalo T11</t>
  </si>
  <si>
    <t>Trả lương nhân viên Ngọc T11 L2</t>
  </si>
  <si>
    <t>Trả lương nhân viên anh Thanh T11 L2</t>
  </si>
  <si>
    <t>Trả lương nhân viên Tiến T11 L2</t>
  </si>
  <si>
    <t>Thu tiền của Gringo Taco</t>
  </si>
  <si>
    <t>thanh toan cong no vc th11</t>
  </si>
  <si>
    <t>Thu tiền của CÔNG TY TNHH THƯƠNG MẠI VÀ DỊCH VỤ IRON WHEEL T11</t>
  </si>
  <si>
    <t>HKD TNR SAIGON chuyen tien 25/10 pale ba lemon</t>
  </si>
  <si>
    <t>Thu tiền của Craft Beer Phú Quốc 12/12</t>
  </si>
  <si>
    <t>Thu tiền của Boosh Rooftop T11</t>
  </si>
  <si>
    <t>Thu tiền của Ramen (a Hiếu ck 12/12/25)</t>
  </si>
  <si>
    <t>Thu tiền của Minimart 29/9 (a Hiếu ck 12/12/25)</t>
  </si>
  <si>
    <t>Thu tiền của Peachy Craft Beer 29/11 (a Hiếu ck 12/12/25)</t>
  </si>
  <si>
    <t>Thu tiền của Sprortivo 5/12 (a Hiếu ck 12/12/25)</t>
  </si>
  <si>
    <t>Thu tiền của Cafe Linden (a Hiếu ck 12/12/25)</t>
  </si>
  <si>
    <t>Thu tiền của NYC Pizza 5/12 (a Hiếu ck 12/12/25)</t>
  </si>
  <si>
    <t>Thu tiền của Mose and Roo XD T11 (a Hiếu ck 12/12/25)</t>
  </si>
  <si>
    <t>Thu tiền của The Hoianian - wine bar &amp; restaurant T11</t>
  </si>
  <si>
    <t>Thu tiền của The Noodle House - Signature T11</t>
  </si>
  <si>
    <t>Thu tiền của Danang Rooftop Craft Beer T11</t>
  </si>
  <si>
    <t>Thu tiền của BCB - Burgers Cocktails &amp; Beers T11</t>
  </si>
  <si>
    <t>Thu tiền của CÔNG TY CỔ PHẦN ỤT ỤT - CHI NHÁNH BIACRAFT XUÂN THỦY T9</t>
  </si>
  <si>
    <t>Thu tiền của CÔNG TY CỔ PHẦN ỤT ỤT - CHI NHÁNH BIACRAFT LÊ NGÔ CÁT T9</t>
  </si>
  <si>
    <t>Thu tiền của CÔNG TY CỔ PHẦN ỤT ỤT Chi nhánh 300TS T9</t>
  </si>
  <si>
    <t>Thu tiền của CÔNG TY CỔ PHẦN ỤT ỤT - CHI NHÁNH VÕ VĂN KIỆT T9</t>
  </si>
  <si>
    <t>Mad thanh toan hd van chuyen so 6918 đơn HN 9th11</t>
  </si>
  <si>
    <t>Chi tiền cho Hiếu Lê trả chi phí gửi hàng Ninh Bình =&gt;  Cấn trừ COD (a Hiếu ck 12/12/25)</t>
  </si>
  <si>
    <t>Trả lương nhân viên Hiếu Lê T11</t>
  </si>
  <si>
    <t>Trả lương nhân viên Hậu sale T11</t>
  </si>
  <si>
    <t>Chi tiền cho Nhân viên Mua 20 bình nước suối 12/12</t>
  </si>
  <si>
    <t>Thu tiền của CONG TY TNHH H9BC INVESTMENT-H9BC THANH TOAN TIEN PHIEU MUA HANG THEO HD 324 NGAY 08/12/2025</t>
  </si>
  <si>
    <t>Thu tiền của CÔNG TY TNHH RUINS- The Junkyard Nha Trang T11 L2</t>
  </si>
  <si>
    <t>Thu tiền của Choi Oi Noodle 22/11</t>
  </si>
  <si>
    <t>Thu tiền của CÔNG TY TNHH MỘT THÀNH VIÊN - HỆ THỐNG NHÀ HÀNG BPG</t>
  </si>
  <si>
    <t>Mad thanh toan hd so 516</t>
  </si>
  <si>
    <t>Mad thanh toan phi dich vu K14 th11</t>
  </si>
  <si>
    <t>Trả lương nhân viên Khôi GH T11 L2</t>
  </si>
  <si>
    <t>Trả lương nhân viên anh Hiền T11 L2</t>
  </si>
  <si>
    <t>Chi tiền cho anh Thanh trả phí ship</t>
  </si>
  <si>
    <t>Chi vật tư phụ kiện lắp tủ Boosh 2 tại Đỗ Quang Đẩu</t>
  </si>
  <si>
    <t>Chi tiền cho Nhân viên Đặt xe Lalamove chở tủ cho Boosh 2 ngày 10/12/25</t>
  </si>
  <si>
    <t>ck coaster Fuzzy phần còn lại</t>
  </si>
  <si>
    <t>Trả lương nhân viên Tiến T11 L1</t>
  </si>
  <si>
    <t>Trả lương nhân viên anh Thanh T11 L1</t>
  </si>
  <si>
    <t>Trả lương nhân viên Khôi GH T11 L1</t>
  </si>
  <si>
    <t>Trả lương nhân viên Anh Hiền T11 L1</t>
  </si>
  <si>
    <t>Trả lương nhân viên Ngọc T11 L1</t>
  </si>
  <si>
    <t>Chi tiền cho Chi Cao-thanh toan bhxh th11</t>
  </si>
  <si>
    <t>Insurance</t>
  </si>
  <si>
    <t>Thu tiền của Mơi DaLat T11</t>
  </si>
  <si>
    <t>Thu tiền của Event- Lễ hội bia Bình Dương 6/12/25 (a Minh ck 9/12)</t>
  </si>
  <si>
    <t>Thu tiền của Kubi Craft Beer T11</t>
  </si>
  <si>
    <t>Thu tiền của Khói Craft &amp; Brew HCM T11</t>
  </si>
  <si>
    <t>Thu tiền của Event Lễ Hội bia Bình Dương 9/12</t>
  </si>
  <si>
    <t>Mad thanh toan hd so 581 cho HMG</t>
  </si>
  <si>
    <t>Chi tiền cho Nhân viên Sao y GPKD 9/12 _Tiền hotline T11</t>
  </si>
  <si>
    <t>Thu tiền của The 100 Garden T11</t>
  </si>
  <si>
    <t>Thu tiền của Mini House - Kon Tum T11</t>
  </si>
  <si>
    <t>Thu tiền của A6 Garden T11</t>
  </si>
  <si>
    <t>Trả lương nhân viên Nguyễn Vũ Nhật Minh T11</t>
  </si>
  <si>
    <t>Thu tiền của CÔNG TY TNHH RUINS- The Junkyard Nha Trang T11 L1</t>
  </si>
  <si>
    <t>Thu tiền của H- Pub</t>
  </si>
  <si>
    <t>Chi tiền cho Nhân viên mua đồ cúng xưởng 6/12</t>
  </si>
  <si>
    <t>Chi tiền cho Nguyễn Vũ Nhật Minh-Đổi tiền lẻ cho anh Minh đi sự kiện  Lễ hội bia Bình Dương 6/12</t>
  </si>
  <si>
    <t>Trả tiền nhà cung cấp Bottle Shop ĐTM-ck3BM th10</t>
  </si>
  <si>
    <t>Trả lương nhân viên Chi Cao T10</t>
  </si>
  <si>
    <t>Trả lương nhân viên Chú Hùng T10</t>
  </si>
  <si>
    <t>Mad thanh toan BHXH th11, 12 TM0712M</t>
  </si>
  <si>
    <t>Thu tiền của Khách Jess L2</t>
  </si>
  <si>
    <t>Thu tiền của The Republic T10</t>
  </si>
  <si>
    <t>Chi tiền cho Nhân viên In menu cứng + in bạt cho sale 04/12</t>
  </si>
  <si>
    <t>Thu tiền của RESHAPE SAIGON T11</t>
  </si>
  <si>
    <t>Thu tiền của CÔNG TY CỔ PHẦN GIẢI PHÁP MUA HÀNG ƯU VIỆT TPS T11</t>
  </si>
  <si>
    <t>Thu tiền của Commune Sai Gon T11</t>
  </si>
  <si>
    <t>Thu tiền của Quán Kim Đà Lạt T11</t>
  </si>
  <si>
    <t>Mad thanh toan tien ly phần còn lại</t>
  </si>
  <si>
    <t>Mad dat coc thue chiller</t>
  </si>
  <si>
    <t>Chi tiền cho Nhân viên Phí gửi DS lao động 6 tháng cuối năm cho Sở Nội Vụ 2/12</t>
  </si>
  <si>
    <t>Thu tiền của Sprortivo 16/11 (a Hiếu ck 1/12/25)</t>
  </si>
  <si>
    <t>Thu tiền của Arch T10  (a Hiếu ck 1/12/25)</t>
  </si>
  <si>
    <t>Thu tiền của Wecked Burger T10 (a Hiếu ck 1/12/25)</t>
  </si>
  <si>
    <t>Thu tiền của NYC Pizza T11 (a Hiếu ck 1/12/25)</t>
  </si>
  <si>
    <t>Thu tiền của Longwaits T11 (a Hiếu ck 1/12/25)</t>
  </si>
  <si>
    <t>Thu tiền của Ramen T11 (a Hiếu ck 1/12/25)</t>
  </si>
  <si>
    <t>Thu tiền của Đồng Chí (a Hiếu ck 1/12/25)</t>
  </si>
  <si>
    <t>Thu tiền của Khách Huy</t>
  </si>
  <si>
    <t>Thu tiền của Midway Cafe T11</t>
  </si>
  <si>
    <t>Thu tiền của Sip Bar - Phu Quoc T11</t>
  </si>
  <si>
    <t>Thu tiền của Khách Jess L1 (50%)</t>
  </si>
  <si>
    <t>Thu tiền của Union Jack T11</t>
  </si>
  <si>
    <t>Chi tiền cho Hiếu Lê gửi hàng Hà Giang 27/11 =&gt; Cấn trừ COD (a Hiếu ck 1/12/25)</t>
  </si>
  <si>
    <t>Thu lãi đầu tư tài chính của Ngân hàng Techcombank T11</t>
  </si>
  <si>
    <t>Thu tiền của The 100 Garden T10</t>
  </si>
  <si>
    <t>Thu tiền của CÔNG TY TNHH KITCHEN GOLD T10</t>
  </si>
  <si>
    <t>Chi tiền cho CT TNHH BECAMEX TOKYU- Mad thanh toan phi thue gian hang sk - le hoi bia</t>
  </si>
  <si>
    <t>Thu tiền của Tippy's Mexican</t>
  </si>
  <si>
    <t>Thu tiền của Công Ty TNHH Three B Việt Nam T11</t>
  </si>
  <si>
    <t>Chi tiền cho Nhân viên sale mua  Kệ mica menu cho Hậu sale 27/11</t>
  </si>
  <si>
    <t>Thu tiền của Standing bar T10</t>
  </si>
  <si>
    <t>Thu tiền của Bottle Shop Ngõ Gạch T10</t>
  </si>
  <si>
    <t>Thu tiền của Bottle Shop ĐTM T10</t>
  </si>
  <si>
    <t>Thu tiền của Kiki Coconut Beach Resort</t>
  </si>
  <si>
    <t>Thu tiền của CÔNG TY TNHH THƯƠNG MẠI VÀ DỊCH VỤ IRON WHEEL T10</t>
  </si>
  <si>
    <t>Đặt cọc coaster</t>
  </si>
  <si>
    <t>Đặt cọc 360 ly</t>
  </si>
  <si>
    <t>Thuế SCT T10</t>
  </si>
  <si>
    <t>Thuế SCT  quý 3</t>
  </si>
  <si>
    <t>10.770.000</t>
  </si>
  <si>
    <t>17.847.720</t>
  </si>
  <si>
    <t>9.963.022</t>
  </si>
  <si>
    <t>Thu tiền của Teppan Salad Ann T9, T10 (a Hiếu ck 25/11/25)</t>
  </si>
  <si>
    <t>Thu tiền của Hops&amp;Chops T9, T10 (a Hiếu ck 25/11/25)</t>
  </si>
  <si>
    <t>Thu tiền của Windbeast Sapa T9 (a Hiếu ck 25/11/25)</t>
  </si>
  <si>
    <t>Thu tiền của Smoke house HBT (a Hiếu ck 25/11/25)</t>
  </si>
  <si>
    <t>Thu tiền của Mose and Roo XD (a Hiếu ck 25/11/25)</t>
  </si>
  <si>
    <t>Thu tiền của NYC Pizza 30/10 (a Hiếu ck 25/11/25)</t>
  </si>
  <si>
    <t>Thu tiền của Pluzzle T10 (a Hiếu ck 25/11/25)</t>
  </si>
  <si>
    <t>Chi tiền cho Hiếu Lê thu vỏ Ninh Bình + giao hàng Ninh Bình + nạp 2 chai CO2=&gt; cấn từ COD (a Hiếu ck 25/11/25)</t>
  </si>
  <si>
    <t>Thu tiền của Choi Oi Noodle THĐ</t>
  </si>
  <si>
    <t>Thu tiền của The Hoianian - wine bar &amp; restaurant T10</t>
  </si>
  <si>
    <t>Thu tiền của The Noodle House - Signature T10</t>
  </si>
  <si>
    <t>Thu tiền của 7 Bridges Saigon T10 HD 257,258</t>
  </si>
  <si>
    <t>chuyển quỹ COD</t>
  </si>
  <si>
    <t>Trả tiền nhà cung cấp CÔNG TY TNHH THƯƠNG MẠI VÀ VẬN TẢI THÁI TÂN- HĐ 8206</t>
  </si>
  <si>
    <t>Thanh toán 2880k phí 82 keg rỗng HN về K14</t>
  </si>
  <si>
    <t>Thu tiền của Khách Mi</t>
  </si>
  <si>
    <t>Thu tiền của Pizza Belga T10</t>
  </si>
  <si>
    <t>Mad thanh toan hd vc so 6392 đơn HN ngày 20th10</t>
  </si>
  <si>
    <t>Thu tiền của Chookies hideaway Ninh Binh T10</t>
  </si>
  <si>
    <t>Thu tiền của Saigon Hot Wings 10/11</t>
  </si>
  <si>
    <t>Chi tiền cho anh Thanh Chi tân trang 2 tủ Ricky NT</t>
  </si>
  <si>
    <t>Chi tiền cho anh Thanh mua thùng xốp đá gel. trả phí ship DL</t>
  </si>
  <si>
    <t>Chi tiền cho anh Thanh Chi tân trang + back up tủ ở xưởng</t>
  </si>
  <si>
    <t>Chi tiền cho Nhân viên mua đồ cúng xưởng 20/11/25</t>
  </si>
  <si>
    <t>Thu tiền của Danang Rooftop Craft Beer T10</t>
  </si>
  <si>
    <t>Thu tiền của Khách APRIL</t>
  </si>
  <si>
    <t>Thu tiền của SOMA T10</t>
  </si>
  <si>
    <t>Thu tiền của Poké Wow T10 L2</t>
  </si>
  <si>
    <t>Thu hoàn ứng của Chi Cao</t>
  </si>
  <si>
    <t>Thanh toán tiền mua dầu diesel</t>
  </si>
  <si>
    <t>7.900.000</t>
  </si>
  <si>
    <t>Hoan quy COD thang 9 thang 10 2025</t>
  </si>
  <si>
    <t>Chi tiền cho Nhân viên Khôi trả phí ship Mini Kt thêm 10k phí dô bãi 14/11</t>
  </si>
  <si>
    <t>Thu tiền của Jimmy's New York Pizza T10</t>
  </si>
  <si>
    <t>Thu tiền của Tung Dining T10</t>
  </si>
  <si>
    <t>Chi tiền cho Nhân viên trả Hotline T10</t>
  </si>
  <si>
    <t>Thu tiền của COLLINE HOTEL DA LAT</t>
  </si>
  <si>
    <t>Thu tiền của A6 Garden T10</t>
  </si>
  <si>
    <t>Thu tiền của Sprortivo 10 + 31/10 (a Hiếu ck 12/11/25)</t>
  </si>
  <si>
    <t>Thu tiền của Longwaits 18/10  (a Hiếu ck 12/11/25)</t>
  </si>
  <si>
    <t>Thu tiền của  Kentaro 25/10 + T11 (a Hiếu ck 12/11/25)</t>
  </si>
  <si>
    <t>Thu tiền của The Hide Out T9 (a Hiếu ck 12/11/25)</t>
  </si>
  <si>
    <t>Thu tiền của Minimart 22/10 +8/11 (a Hiếu ck 12/11/25)</t>
  </si>
  <si>
    <t>Thu tiền của Ramen 26/10 (a Hiếu ck 12/11/25)</t>
  </si>
  <si>
    <t>Thu tiền của CÔNG TY TNHH DỊCH VỤ KINH DOANH HOÀN HẢO T10</t>
  </si>
  <si>
    <t>Thu tiền của Adobo Mexican Grill T10</t>
  </si>
  <si>
    <t>Mua băng keo, màng co, giấy A4, VPP  theo HĐ 1867</t>
  </si>
  <si>
    <t>Tool &amp; Equiptment</t>
  </si>
  <si>
    <t>Chi tiền cho Hiếu Lê gửi hàng Ninh Bình =&gt; Cấn trừ COD (a Hiếu ck 12/11/25)</t>
  </si>
  <si>
    <t>Trả phí ship 4 keg rỗng Mơi DL 11/11 thêm 17k phí tận nơi</t>
  </si>
  <si>
    <t>mad tt cong no vc th10</t>
  </si>
  <si>
    <t>Thu tiền của HUYNH TON PHUC- tra tien 4 keg rong cua HOD</t>
  </si>
  <si>
    <t>Thu tiền của CÔNG TY TNHH THƯƠNG MẠI DỊCH VỤ NÔNG TRẠI KHOAI</t>
  </si>
  <si>
    <t>Tnr tra lemon 8 10 va pale 11 10 lem 17 10</t>
  </si>
  <si>
    <t>Thu tiền của Khói Craft &amp; Brew HCM T10</t>
  </si>
  <si>
    <t>Thu tiền của CÔNG TY TNHH NHÀ HÀNG THIÊN AN T10</t>
  </si>
  <si>
    <t>Thu tiền của Cargo Remote Mui Ne</t>
  </si>
  <si>
    <t>Thu tiền của Boosh Rooftop T10</t>
  </si>
  <si>
    <t>Thu tiền của Top of the Loop</t>
  </si>
  <si>
    <t>Thu tiền của Mini House - Kon Tum T10</t>
  </si>
  <si>
    <t>Thu tiền của Mơi DaLat T10</t>
  </si>
  <si>
    <t>Trả lương nhân viên Ngọc T10 L2</t>
  </si>
  <si>
    <t>Trả lương nhân viên Khôi T10 L2</t>
  </si>
  <si>
    <t>Trả lương nhân viên Hiền T10 L2</t>
  </si>
  <si>
    <t>Trả lương nhân viên anh Thanh T10 L2</t>
  </si>
  <si>
    <t>Trả lương nhân viên Tiến T10 L2</t>
  </si>
  <si>
    <t>Trả lương nhân viên  Hiếu Lê T10</t>
  </si>
  <si>
    <t>Trả lương nhân viên Hậu sale T10</t>
  </si>
  <si>
    <t>Thu tiền của Ricky- keg shipHOD</t>
  </si>
  <si>
    <t>Thu tiền của Evenstar T10</t>
  </si>
  <si>
    <t>Chi tiền cho chú Hùng mua khăn và thùng giấy ship hàng HN 7/11</t>
  </si>
  <si>
    <t>mad thanh toan hd vc so 6043 đơn HN ngày 6th9</t>
  </si>
  <si>
    <t>Thu tiền của Banana T10</t>
  </si>
  <si>
    <t>Thu tiền của CÔNG TY TNHH RUINS- The Junkyard Nha Trang T10 L1</t>
  </si>
  <si>
    <t>Thu tiền của BCB - Burgers Cocktails &amp; Beers T10 L2</t>
  </si>
  <si>
    <t>Thu tiền của CÔNG TY TNHH RUINS- The Junkyard Nha Trang T10 L2</t>
  </si>
  <si>
    <t>Chi tiền cho Nhân viên mua đồ cúng xưởng 6/11 và gửi dấu mộc cho chị Chi</t>
  </si>
  <si>
    <t>Chi tiền cho Khôi mua cào nước và chai tẩy sơn keg 6/11</t>
  </si>
  <si>
    <t>Trả lương nhân viên chú Hùng T10</t>
  </si>
  <si>
    <t>Chi tiền cho Nguyễn Vũ Nhật Minh-phi kiem tra dong dien</t>
  </si>
  <si>
    <t>Trả lương nhân viên  Chi Cao T10</t>
  </si>
  <si>
    <t>Mad thanh toan phi dich vu Th10 K14</t>
  </si>
  <si>
    <t>Trả lương nhân viên Hiền T10 L1</t>
  </si>
  <si>
    <t>Trả lương nhân viên Khôi T10 L1</t>
  </si>
  <si>
    <t>Trả lương nhân viên Ngọc T10 L1</t>
  </si>
  <si>
    <t>Trả lương nhân viên anh Thanh T10 L1</t>
  </si>
  <si>
    <t>Trả lương nhân viên Tiến T10 L1</t>
  </si>
  <si>
    <t>Trả lương nhân viên  Nguyễn Vũ Nhật Minh T10</t>
  </si>
  <si>
    <t>Thu tiền của Hạc Vi Vu - Coffee, Beer T10</t>
  </si>
  <si>
    <t>Thu tiền của Quán Kim Đà Lạt T10</t>
  </si>
  <si>
    <t>Thu tiền của Commune Sai Gon T10</t>
  </si>
  <si>
    <t>Trả tiền nhà cung cấp Bottle Shop ĐTM- Shipping fee T9</t>
  </si>
  <si>
    <t>Thuế SCT T9</t>
  </si>
  <si>
    <t>12.313.259</t>
  </si>
  <si>
    <t>32.844.599</t>
  </si>
  <si>
    <t>Thu tiền của Saysua drink &amp; chill</t>
  </si>
  <si>
    <t>Thu tiền của CÔNG TY CỔ PHẦN GIẢI PHÁP MUA HÀNG ƯU VIỆT TPS T10</t>
  </si>
  <si>
    <t>Thu tiền của Crazy Duck=&gt; Gia công Crazy Duck</t>
  </si>
  <si>
    <t>Thu tiền của Nhà hàng Riso Amaro T10 L1</t>
  </si>
  <si>
    <t>Thu tiền của Nhà hàng Riso Amaro T10 L2</t>
  </si>
  <si>
    <t>Thu tiền của Hem Chill</t>
  </si>
  <si>
    <t>nop tien vphc cho Mad Genius</t>
  </si>
  <si>
    <t>Thu tiền của Công Ty TNHH Three B Việt Nam T10</t>
  </si>
  <si>
    <t>Thu tiền của Poké Wow</t>
  </si>
  <si>
    <t>Chi tiền cho Kho bạc NN- nop tien vphc cho Mad Genius đã nộp ngân hàng</t>
  </si>
  <si>
    <t>7.131.000</t>
  </si>
  <si>
    <t>Anh Thanh mua thùng xốp ship hàng Hạc Vi Vu</t>
  </si>
  <si>
    <t>Chi tiền cho Khôi Mua chai Vim, nước tẩy chà sàn 30/10 và USB</t>
  </si>
  <si>
    <t>Thu tiền của Bottle Shop Ngõ Gạch T9</t>
  </si>
  <si>
    <t>Thu tiền của Tung Dining T9</t>
  </si>
  <si>
    <t>Thu tiền của The Republic T9</t>
  </si>
  <si>
    <t>Thu tiền của Loft SGN T9 L1</t>
  </si>
  <si>
    <t>Thu tiền của Midway Cafe</t>
  </si>
  <si>
    <t>Thu tiền của Hanoi Cider T9</t>
  </si>
  <si>
    <t>Thu tiền của Bottle Shop ĐTM T9</t>
  </si>
  <si>
    <t>Thu tiền của Standing bar T9</t>
  </si>
  <si>
    <t>mad thanh toan cho Hiep Phuoc 10000 label Lemon phần còn lại</t>
  </si>
  <si>
    <t>Mad thanh toan Phi tham dinh cong nghe cho K14</t>
  </si>
  <si>
    <t>Thanh toan MISA ASP</t>
  </si>
  <si>
    <t>Tnr tra lemon 19 9 29 9</t>
  </si>
  <si>
    <t>Thu tiền của Barefoot Beach Club Hoi An T9</t>
  </si>
  <si>
    <t>Thu tiền của CÔNG TY CỔ PHẦN ỤT ỤT Chi nhánh 300TS T8</t>
  </si>
  <si>
    <t>Chi tiền cho Nhân viên-phi thu keg rong DN</t>
  </si>
  <si>
    <t>Thu tiền của 7 Bridges Saigon T9 -in Sep HD 231</t>
  </si>
  <si>
    <t>Chi tiền cho Nhân viên mua đồ cúng xưởng 23/10</t>
  </si>
  <si>
    <t>Tạm ứng cho nhân viên Chi Cao- ứng lương</t>
  </si>
  <si>
    <t>Thu tiền của CÔNG TY CỔ PHẦN ỤT ỤT - CHI NHÁNH BIACRAFT XUÂN THỦY T8</t>
  </si>
  <si>
    <t>Thu tiền của CÔNG TY CỔ PHẦN ỤT ỤT - CHI NHÁNH BIACRAFT LÊ NGÔ CÁT T8</t>
  </si>
  <si>
    <t>Thu tiền của CÔNG TY CỔ PHẦN ỤT ỤT - CHI NHÁNH VÕ VĂN KIỆT T8</t>
  </si>
  <si>
    <t>Thanh toán công nợ cho Talos</t>
  </si>
  <si>
    <t>Thu tiền của Pizza Belga T9</t>
  </si>
  <si>
    <t>Thu tiền của BCB - Burgers Cocktails &amp; Beers T10 L1</t>
  </si>
  <si>
    <t>Thu tiền của Danang Rooftop Craft Beer T9</t>
  </si>
  <si>
    <t>Thu tiền của The Hoianian - wine bar &amp; restaurant T9</t>
  </si>
  <si>
    <t>Thu tiền của Ai Craft Beer T9</t>
  </si>
  <si>
    <t>mad thanh toan cn vc th9</t>
  </si>
  <si>
    <t>Chi tiền cho Chi Cao-NGUYEN THI MO</t>
  </si>
  <si>
    <t>Thu tiền của Quán BEER2</t>
  </si>
  <si>
    <t>Thu tiền của CÔNG TY TNHH THƯƠNG MẠI VÀ DỊCH VỤ IRON WHEEL T9</t>
  </si>
  <si>
    <t>Thu tiền của Cham Whiskey + Craft Beer T9</t>
  </si>
  <si>
    <t>Chi tiền cho BƯU ĐIỆN TỈNH LONG AN - TỔNG CÔNG TY BƯU ĐIỆN VIỆT NAM T9</t>
  </si>
  <si>
    <t>Chi tiền cho Nhân viên trả tiền hotline T9</t>
  </si>
  <si>
    <t>Chi tiền cho Nguyễn Vũ Nhật Minh- Mua Contacter + keo sư tử dán thùng 13/10</t>
  </si>
  <si>
    <t>Chi tiền cho anh Thanh -Phí ship Cargo Côn Đảo 10/10</t>
  </si>
  <si>
    <t>mad thanh toan tien mua khop noi hd 550 (Lắp vào máy thanh trùng)</t>
  </si>
  <si>
    <t>Thu tiền của Khuiii QN T9</t>
  </si>
  <si>
    <t>Chi tiền cho Ricky - Ricky comission of Q3</t>
  </si>
  <si>
    <t>Trả lương nhân viên Hậu sale T9</t>
  </si>
  <si>
    <t>Trả lương nhân viên Hiếu Lê T9</t>
  </si>
  <si>
    <t>Thu tiền của Khói Craft &amp; Brew HCM T9</t>
  </si>
  <si>
    <t>Tnr tra pale 15 9</t>
  </si>
  <si>
    <t>Thu tiền của Chookies hideaway Ninh Binh T9=&gt; đã trừ 200k rửa line</t>
  </si>
  <si>
    <t>Thu tiền của Swimming Chicken</t>
  </si>
  <si>
    <t>Thu tiền của CÔNG TY TNHH DỊCH VỤ KINH DOANH HOÀN HẢO T9</t>
  </si>
  <si>
    <t>thanh toan tien han xi bon</t>
  </si>
  <si>
    <t>Thu tiền của Hops&amp;Chops T8 (a Hiếu ck 10/10/25)</t>
  </si>
  <si>
    <t>Thu tiền của  Kentaro 28/9 (a Hiếu ck 10/10/25)</t>
  </si>
  <si>
    <t>Thu tiền của Sprortivo 30/9 (a Hiếu ck 10/10/25)</t>
  </si>
  <si>
    <t>Thu tiền của Minimart 8/10 (a Hiếu ck 10/10/25)</t>
  </si>
  <si>
    <t>Thu tiền của Arch T9 (a Hiếu ck 10/10/25)</t>
  </si>
  <si>
    <t>Thu tiền của Smoke house HBT T9 (a Hiếu ck 10/10/25)</t>
  </si>
  <si>
    <t>Thu tiền của Đại Mạch T9 (a Hiếu ck 10/10/25)</t>
  </si>
  <si>
    <t>Thu tiền của NYC Pizza T9 (a Hiếu ck 10/10/25)</t>
  </si>
  <si>
    <t>Chi tiền cho Hiếu Lê giao hàng Ninh Bình 2/10=&gt; Cấn trừ COD (a Hiếu ck 10/10/25)</t>
  </si>
  <si>
    <t>chuyen phi dang ky ma vach cho sp</t>
  </si>
  <si>
    <t>Trả tiền nhà cung cấp LÂM VĂN NGUYÊN/ HUỲNH THỊ CẨM LOAN</t>
  </si>
  <si>
    <t>Mad chuyen don hang label Lemon đợt 1</t>
  </si>
  <si>
    <t>Thu tiền của Ongbalo T9</t>
  </si>
  <si>
    <t>Chi tiền cho Nhân viên phí thu 7 keg rỗng King Grill + phí qua 2 trạm 9/10=&gt; tổng 370k</t>
  </si>
  <si>
    <t>Bán 9.880USD chuyển sang tài khoản thanh toán 26286</t>
  </si>
  <si>
    <t>Capital</t>
  </si>
  <si>
    <t>Tnr tra pale 3 9 lemo 6 9</t>
  </si>
  <si>
    <t>Mad thanh toan tien thue xuong Q4</t>
  </si>
  <si>
    <t>Chi tiền cho Nguyễn Vũ Nhật Minh-mua thiet bi de lap may loc bia</t>
  </si>
  <si>
    <t>Thu tiền CÔNG TY TNHH ACHIKOCHI</t>
  </si>
  <si>
    <t>Thu tiền của Choi Oi Noodle 25/9</t>
  </si>
  <si>
    <t>Thu tiền của Choi Oi Noodle 3/10</t>
  </si>
  <si>
    <t>Thu tiền của CÔNG TY TNHH THƯƠNG MẠI DỊCH VỤ NÔNG TRẠI KHOAI 23/9</t>
  </si>
  <si>
    <t>Chi tiền cho Khôi GH trả phí ship + mua đồ cúng xưởng 7/10</t>
  </si>
  <si>
    <t>Chi tiền cho anh Thanh  hàn khung giữ tủ điện + phí ship</t>
  </si>
  <si>
    <t>Thu tiền của MOZZIES CAMBODIA</t>
  </si>
  <si>
    <t>Thu tiền của A6 Garden  T9</t>
  </si>
  <si>
    <t>Thu tiền của Boosh Rooftop T9</t>
  </si>
  <si>
    <t>Thu tiền của Unique Craft Beer T9</t>
  </si>
  <si>
    <t>Thu tiền của Quán Kim Đà Lạt T9</t>
  </si>
  <si>
    <t>Trả lương nhân viên Nguyễn Vũ Nhật Minh T9</t>
  </si>
  <si>
    <t>Trả lương nhân viên Tiến T9</t>
  </si>
  <si>
    <t>Trả lương nhân viên chú Hùng T9</t>
  </si>
  <si>
    <t>Trả lương nhân viên anh Thanh T9</t>
  </si>
  <si>
    <t>Trả lương nhân viên Ngọc T9</t>
  </si>
  <si>
    <t>Trả lương nhân viên Khôi GH T9</t>
  </si>
  <si>
    <t>Trả lương nhân viên Hiền đóng hàng T9</t>
  </si>
  <si>
    <t>Thu tiền của BCB - Burgers Cocktails &amp; Beers- tap shank BCB</t>
  </si>
  <si>
    <t>Lãi chậm nộp SCT</t>
  </si>
  <si>
    <t>Thuế SCT th8</t>
  </si>
  <si>
    <t>23.659.901</t>
  </si>
  <si>
    <t>16.267.741</t>
  </si>
  <si>
    <t>Mad thanh toan phi dich vu th9 cho K14</t>
  </si>
  <si>
    <t>Mad thanh toan NVL cho HMG hd so 428</t>
  </si>
  <si>
    <t>Mad thanh toan hoa don vc so 5566 đơn DN 11th9</t>
  </si>
  <si>
    <t>Mad thanh toan hoa don vc so 5405 đơn HN 6/9</t>
  </si>
  <si>
    <t>mad thanh toan thay val kho lanh</t>
  </si>
  <si>
    <t>Thu tiền của CÔNG TY CỔ PHẦN GIẢI PHÁP MUA HÀNG ƯU VIỆT TPS T9</t>
  </si>
  <si>
    <t>Thu tiền của The 100 Garden T9</t>
  </si>
  <si>
    <t>Thu tiền của Commune Sai Gon T9</t>
  </si>
  <si>
    <t>Thu tiền của Công Ty TNHH Three B Việt Nam 9 hd 241</t>
  </si>
  <si>
    <t>Thu tiền của Standing bar T8</t>
  </si>
  <si>
    <t>Thu tiền của Bottle Shop Ngõ Gạch T8</t>
  </si>
  <si>
    <t>Thu tiền của Bottle Shop ĐTM T8</t>
  </si>
  <si>
    <t>Thu tiền của Mini House - Kon Tum T8</t>
  </si>
  <si>
    <t>TM0712M dong bhxh th9,10</t>
  </si>
  <si>
    <t>Thu tiền của anh Tiến</t>
  </si>
  <si>
    <t>Thu tiền của CÔNG TY TNHH THƯƠNG MẠI VÀ DỊCH VỤ IRON WHEEL T8</t>
  </si>
  <si>
    <t>Chi tiền cho Khôi Mua súng bắn keo + keo nến để dán thùng giấy 30/9</t>
  </si>
  <si>
    <t>Chi tiền cho Tiến  mua 2 tỷ trọng kế + ccdc dùng trong nấu bia 30/9</t>
  </si>
  <si>
    <t>Tnr tra lemon 29 8</t>
  </si>
  <si>
    <t>Thu tiền của Hanoi Cider T8</t>
  </si>
  <si>
    <t>Thu tiền của CÔNG TY TNHH KITCHEN GOLD T8</t>
  </si>
  <si>
    <t>Thu tiền của CÔNG TY CỔ PHẦN ỤT ỤT - CHI NHÁNH BIACRAFT XUÂN THỦY T7</t>
  </si>
  <si>
    <t>Thu tiền của CÔNG TY CỔ PHẦN ỤT ỤT Chi nhánh 300TS T7</t>
  </si>
  <si>
    <t>Thu tiền của CÔNG TY CỔ PHẦN ỤT ỤT - CHI NHÁNH BIACRAFT LÊ NGÔ CÁT T7</t>
  </si>
  <si>
    <t>Thu tiền của CÔNG TY CỔ PHẦN ỤT ỤT - CHI NHÁNH 47XT T7</t>
  </si>
  <si>
    <t>Thu tiền của CÔNG TY CỔ PHẦN ỤT ỤT - CHI NHÁNH VÕ VĂN KIỆT T7</t>
  </si>
  <si>
    <t>Thu tiền của 7 Bridges Saigon-  Aug HD 184,185</t>
  </si>
  <si>
    <t>Thu tiền của Ai Craft Beer 18/9</t>
  </si>
  <si>
    <t>Thu tiền của Danang Rooftop Craft Beer T8</t>
  </si>
  <si>
    <t>Trả lương nhân viên Chi Cao T9</t>
  </si>
  <si>
    <t>Trả tiền nhà cung cấp CÔNG TY TNHH BOXES VIỆT NAM-phần còn lại theo HĐ 502</t>
  </si>
  <si>
    <t>Chi tiền cho Nhân viên Minh trả chở ống bia dài 12m đi cắt gắn, nối 25/9 125k</t>
  </si>
  <si>
    <t>Trả tiền nhà cung cấp Bottle Shop ĐTM- SHIPPING FEE 3BM T08</t>
  </si>
  <si>
    <t>Thu tiền của Sprortivo 14/9 (a Hiếu ck 24/09/25)</t>
  </si>
  <si>
    <t>Thu tiền của Genya 17/9  (a Hiếu ck 24/09/25)</t>
  </si>
  <si>
    <t>Thu tiền của Minimart 23/9  (a Hiếu ck 24/09/25)</t>
  </si>
  <si>
    <t>Thu tiền của Ramen 20/9  (a Hiếu ck 24/09/25)</t>
  </si>
  <si>
    <t>Thu tiền của The Republic 25/8</t>
  </si>
  <si>
    <t>Thu tiền của Twisted Throttle Tavern</t>
  </si>
  <si>
    <t>Chi tiền cho Hiếu Lê gửi hàng Ninh Bình, Hà Giang =&gt; Cấn trừ COD  (a Hiếu ck 24/09/25)</t>
  </si>
  <si>
    <t>Chi tiền cho Nhân viên mua đồ cúng xưởng 23/9</t>
  </si>
  <si>
    <t>Chi tiền cho anh Thanh trả Phí ship Ai Craft Beer 18/9</t>
  </si>
  <si>
    <t>Thu tiền của Jimmy's New York Pizza-HD196 ngay 28.8.25</t>
  </si>
  <si>
    <t>Thu tiền của Pizza Belga T8</t>
  </si>
  <si>
    <t>mad chuyen thanh toan 500kg chanh ngay 15th9</t>
  </si>
  <si>
    <t>tiền phí vận chuyển 40 keg rỗng HN về K14</t>
  </si>
  <si>
    <t>Thu tiền của Ai Craft Beer T8</t>
  </si>
  <si>
    <t>Chi tiền cho Chi Cao</t>
  </si>
  <si>
    <t>Thu tiền của CÔNG TY TNHH RUINS- The Junkyard Nha Trang T8 lần 1</t>
  </si>
  <si>
    <t>Thu tiền của CÔNG TY TNHH RUINS- The Junkyard Nha Trang T8 lần 2</t>
  </si>
  <si>
    <t>Thuế SCT th7</t>
  </si>
  <si>
    <t>8.177.037</t>
  </si>
  <si>
    <t>23.276.401</t>
  </si>
  <si>
    <t>Tnr tra lemon 22 8</t>
  </si>
  <si>
    <t>Thu tiền của Bearloga - Shisha Place</t>
  </si>
  <si>
    <t>Lãi thanh toán chậm SCT</t>
  </si>
  <si>
    <t>Chi tiền cho Khôi tra Phí ship Twisted Throttle Tavern 13/9 + mua thùng xốp</t>
  </si>
  <si>
    <t>Mad thanh toan mua NVL hd so 352- 210L ethanol</t>
  </si>
  <si>
    <t>Thu tiền của Arch T8 (a Hiếu ck 14/9/25)</t>
  </si>
  <si>
    <t>Thu tiền của Minimart 11/9  (a Hiếu ck 14/9/25)</t>
  </si>
  <si>
    <t>Thu tiền của Ramen 9/9  (a Hiếu ck 14/9/25)</t>
  </si>
  <si>
    <t>Thu tiền của Quán The Hideout Bar T8  (a Hiếu ck 14/9/25)</t>
  </si>
  <si>
    <t>Tnr tra bill lemon 8 8 pale 16 8</t>
  </si>
  <si>
    <t>Thu tiền của CÔNG TY TNHH NHÀ HÀNG THIÊN AN T8</t>
  </si>
  <si>
    <t>Thu tiền của Soul Pizza &amp; Burger</t>
  </si>
  <si>
    <t>thanh toan cong no vc th8</t>
  </si>
  <si>
    <t>Thu tiền của Choi Oi Noodle</t>
  </si>
  <si>
    <t>Thu tiền của The Hoianian - wine bar &amp; restaurant T8</t>
  </si>
  <si>
    <t>Thu tiền của The Noodle House - Signature T8</t>
  </si>
  <si>
    <t>Chi tiền cho anh Thanh trả phí ship Khuii QN + mua 2 thùng xốp + 10 bịch đá gel cho Kim DL 12/9</t>
  </si>
  <si>
    <t>Tiền phí ship 7 can ethanol (210L) + phí đi đường</t>
  </si>
  <si>
    <t>Chi tiền cho Nhân viên trả tiền hotline T8</t>
  </si>
  <si>
    <t>Mad thanh toan phi thong quan</t>
  </si>
  <si>
    <t>Trả lương nhân viên Tiến T8 lần 2</t>
  </si>
  <si>
    <t>Trả lương nhân viên Thanh</t>
  </si>
  <si>
    <t>Thu tiền của CÔNG TY TNHH DỊCH VỤ KINH DOANH HOÀN HẢO T8</t>
  </si>
  <si>
    <t>Thu tiền của Khuiii QN T8</t>
  </si>
  <si>
    <t>Thu tiền của Mơi DaLat T8</t>
  </si>
  <si>
    <t>Thu tiền của Cham Whiskey + Craft Beer  T8</t>
  </si>
  <si>
    <t>Thu tiền của Stroll In Da Nang T8</t>
  </si>
  <si>
    <t>Thu tiền của Banana T8</t>
  </si>
  <si>
    <t>tien 61 keg rong tu hn ve k14</t>
  </si>
  <si>
    <t>Trả lương nhân viên Hậu sale t8</t>
  </si>
  <si>
    <t>Trả lương nhân viên Hiếu Lê T8</t>
  </si>
  <si>
    <t>Phí thông quan lô hàng máy bơm</t>
  </si>
  <si>
    <t>token mad genius</t>
  </si>
  <si>
    <t>Thu tiền của Sprortivo 24/8 (a Hiếu ck 10/9/25)</t>
  </si>
  <si>
    <t>Thu tiền của NYC Pizza 29/8  (a Hiếu ck 10/9/25)</t>
  </si>
  <si>
    <t>Thu tiền của Ramen 27/8  (a Hiếu ck 10/9/25)</t>
  </si>
  <si>
    <t>Thu tiền của Minimart 28/8  (a Hiếu ck 10/9/25)</t>
  </si>
  <si>
    <t>Thu tiền của Kali T6 + T7  (a Hiếu ck 10/9/25)</t>
  </si>
  <si>
    <t>Thu tiền của Longwaits 3/9  (a Hiếu ck 10/9/25)</t>
  </si>
  <si>
    <t>Thu tiền của Mose and Roo XD T8  (a Hiếu ck 10/9/25)</t>
  </si>
  <si>
    <t>Thu tiền của Smoke house HBT T8  (a Hiếu ck 10/9/25)</t>
  </si>
  <si>
    <t>Thu tiền của Nhà hàng Chuồn Chuồn Bistro &amp; Bar T8</t>
  </si>
  <si>
    <t>Thu tiền của Big Bear Concepts</t>
  </si>
  <si>
    <t>Thu tiền của Union Jack</t>
  </si>
  <si>
    <t>Chi tiền cho Hiếu Lê gửi hàng và thu keg rỗng Ninh Bình=&gt; Cấn trừ COD  (a Hiếu ck 10/9/25)</t>
  </si>
  <si>
    <t>Mad thanh toan tien dau</t>
  </si>
  <si>
    <t>Chi tiền cho anh Thanh mua dấu đóng date + phí ship AI Craft + 7k phí dô bãi</t>
  </si>
  <si>
    <t>Hoàn quỹ COD T08/25</t>
  </si>
  <si>
    <t>Thu tiền của Banana T8=&gt; đã trừ 200k rửa line</t>
  </si>
  <si>
    <t>Thu tiền của Khói Craft &amp; Brew HCM T8</t>
  </si>
  <si>
    <t>Trả tiền nhà cung cấp CÔNG TY TNHH THƯƠNG MẠI VÀ VẬN TẢI THÁI TÂN- HĐ 6615</t>
  </si>
  <si>
    <t>Thu tiền của SOMA T8</t>
  </si>
  <si>
    <t>Thu tiền của MARS QUẬN 2 T8</t>
  </si>
  <si>
    <t>Thu tiền của Commune Sai Gon T8</t>
  </si>
  <si>
    <t>Thu tiền của Boosh Rooftop T8</t>
  </si>
  <si>
    <t>Mua 250kg đường</t>
  </si>
  <si>
    <t>mad thanh toan cong no vc 3bm th7</t>
  </si>
  <si>
    <t>Chi tiền cho Nhân viên mua đồ cúng xưởng 8/9</t>
  </si>
  <si>
    <t>Chi tiền cho Nhân viên mua mực máy in + phí ship nhận dấu mộc</t>
  </si>
  <si>
    <t>Đóng thuế VAT nhập khẩu lô hàng máy bơm và máy lọc vi sinh</t>
  </si>
  <si>
    <t>6.192.319</t>
  </si>
  <si>
    <t>Thu tiền của Evenstar T8</t>
  </si>
  <si>
    <t>Trả lương nhân viên chú Hùng T7</t>
  </si>
  <si>
    <t>Trả lương nhân viên Khôi GH T8 lần 1</t>
  </si>
  <si>
    <t>Trả lương nhân viên Hiền đóng gói T8 lần 1</t>
  </si>
  <si>
    <t>Trả lương nhân viên Ngọc T8 lần 1</t>
  </si>
  <si>
    <t>mad thanh toan NVL so 115</t>
  </si>
  <si>
    <t>60.984.000</t>
  </si>
  <si>
    <t>TM0712M dong bhxh th8</t>
  </si>
  <si>
    <t>Trả lương nhân viên Khôi GH T8 lần 2</t>
  </si>
  <si>
    <t>Trả lương nhân viên anh Hiền đóng gói T8 lần 2</t>
  </si>
  <si>
    <t>Trả lương nhân viên Ngọc T8 lần 2</t>
  </si>
  <si>
    <t>Trả lương nhân viên anh Thanh T8 lần 2</t>
  </si>
  <si>
    <t>Trả lương nhân viên anh Tiến T8 lần 2</t>
  </si>
  <si>
    <t>Trả lương nhân viên Nguyễn Vũ Nhật Minh T8</t>
  </si>
  <si>
    <t>Mad thanh toan phi dich vu th8 K14</t>
  </si>
  <si>
    <t>Thu tiền của A6 Garden T8</t>
  </si>
  <si>
    <t>Thu tiền của Adobo Mexican Grill T8</t>
  </si>
  <si>
    <t>TM0712M dong bhxh th7</t>
  </si>
  <si>
    <t>Chi tiền cho  NGUYEN XUAN TRANG-chuyen tien phi ship</t>
  </si>
  <si>
    <t>Chi tiền cho HUYNH QUOC VUONG</t>
  </si>
  <si>
    <t>Thanh toan cuoc vc hd so 4437 đơn DN- HN ngày 5th8</t>
  </si>
  <si>
    <t>thanh toan cuoc vc hd so 4647 đơn DN 9/8</t>
  </si>
  <si>
    <t>thanh toan cuoc vc hd so 4705 đơn HN 12/8</t>
  </si>
  <si>
    <t>Tnr tra 28 7 lemon va 2 8 pale</t>
  </si>
  <si>
    <t>Thu tiền của Quán Kim Đà Lạt T8</t>
  </si>
  <si>
    <t>Thu tiền của CÔNG TY CỔ PHẦN GIẢI PHÁP MUA HÀNG ƯU VIỆT TPS T8</t>
  </si>
  <si>
    <t>Thu tiền của Mê Beer T8 lần 2</t>
  </si>
  <si>
    <t>Thu tiền của Poké Wow T8</t>
  </si>
  <si>
    <t>Thanh toán tiền mua NVL (NCC lẻ) theo bảng kê</t>
  </si>
  <si>
    <t>6.000.000</t>
  </si>
  <si>
    <t>Thu tiền của Midway Cafe T8</t>
  </si>
  <si>
    <t>Thu tiền của Chi Cao</t>
  </si>
  <si>
    <t>Chi tiền cho DANG THI THUY Phí thông quan</t>
  </si>
  <si>
    <t>Thu tiền của TnR  Tnr tra bill pale 21 7</t>
  </si>
  <si>
    <t>Mad chuyen dat coc don hang thung Carton</t>
  </si>
  <si>
    <t>Thu tiền của Big Daddy</t>
  </si>
  <si>
    <t>Three B tt hd 197- T8</t>
  </si>
  <si>
    <t>THANH TOAN ORD-4146592-K2M2H3 - Phi tuyen dung</t>
  </si>
  <si>
    <t>Recruitment fee</t>
  </si>
  <si>
    <t>Chi tiền cho Khôi GH trả Phí ship Mini KT 26/8 + phí dô bãi Mini + Côn Đảo</t>
  </si>
  <si>
    <t>Chi tiền cho anh Thanh Tiền mua decal sticker dán tủ 27/8 - Kegerator chuyển đi Nha Trang</t>
  </si>
  <si>
    <t>Thu tiền của Standing bar T6</t>
  </si>
  <si>
    <t>Thu tiền của Bottle Shop Ngõ Gạch T7</t>
  </si>
  <si>
    <t>Thu tiền của Bottle Shop ĐTM T6</t>
  </si>
  <si>
    <t>Phí ship đồng hồ CO2</t>
  </si>
  <si>
    <t>thanh toan tien dong ho CO2</t>
  </si>
  <si>
    <t>Thu tiền của CÔNG TY TNHH THƯƠNG MẠI VÀ DỊCH VỤ IRON WHEEL T7</t>
  </si>
  <si>
    <t>Thu tiền của Hanoi Cider T7</t>
  </si>
  <si>
    <t>Trả lương nhân viên Tiến T7 lần 2</t>
  </si>
  <si>
    <t>Thu tiền của Bistro KAZ Đà Nẵng T7</t>
  </si>
  <si>
    <t>Thu tiền của 7 Bridges Saigon-in July - HD 154,155 - HA DD</t>
  </si>
  <si>
    <t>Thu tiền của Pizza Belga</t>
  </si>
  <si>
    <t>Thu tiền của CÔNG TY TNHH KITCHEN GOLD T7</t>
  </si>
  <si>
    <t>Thu tiền của Barefoot Beach Club Hoi An T7</t>
  </si>
  <si>
    <t>Thu tiền của The Surf &amp; Turf – Restaurant and Beach Club</t>
  </si>
  <si>
    <t>mad thanh toan phan con lai Junkyard label</t>
  </si>
  <si>
    <t>Chi tiền cho Nhân viên mua đồ cúng xưởng 25/8</t>
  </si>
  <si>
    <t>Mad thanh toan cuoc vc hoa don so 4128 đơn HN 25/7</t>
  </si>
  <si>
    <t>Trả lương nhân viên Chi Cao T8</t>
  </si>
  <si>
    <t>Thu tiền của Đại Mạch T7 (a Hiếu ck 23/8/25)</t>
  </si>
  <si>
    <t>Thu tiền của Nhà hàng S&amp;B T7 (a Hiếu ck 23/8/25)</t>
  </si>
  <si>
    <t>Thu tiền của Mê Beer</t>
  </si>
  <si>
    <t>Thu tiền của Nhà hàng Riso Amaro T8 50%</t>
  </si>
  <si>
    <t>Thu tiền của Smoke house HBT T7 (a Hiếu ck 23/8/25)</t>
  </si>
  <si>
    <t>Thu tiền của Mose and Roo XD T7 (a Hiếu ck 23/8/25)</t>
  </si>
  <si>
    <t>Thu tiền của Ramen 20/8 (a Hiếu ck 23/8/25)</t>
  </si>
  <si>
    <t>Chi tiền cho Hiếu Lê gửi hàng Ninh Bình 19/8=&gt; Cấn trừ COD (a Hiếu ck 23/8/25)</t>
  </si>
  <si>
    <t>Chi tiền cho Khôi GH trả phí ship Mơi DL 23/8</t>
  </si>
  <si>
    <t>dat coc don Junkyard label</t>
  </si>
  <si>
    <t>cuoc vc thang 6</t>
  </si>
  <si>
    <t>cuoc vc thang 7</t>
  </si>
  <si>
    <t>Tnr tra lemon 12 7</t>
  </si>
  <si>
    <t>mad thanh toan phan con lai design Junyard label</t>
  </si>
  <si>
    <t>Hoan quy COD  T07 2025 lan 2</t>
  </si>
  <si>
    <t>Thu tiền của The Republic T7</t>
  </si>
  <si>
    <t>Phi nộp chậm</t>
  </si>
  <si>
    <t>Thuế SCT th6</t>
  </si>
  <si>
    <t>9.762.926</t>
  </si>
  <si>
    <t>21.384.015</t>
  </si>
  <si>
    <t>Rosas 30 to ngoc van Ha Noi bill fuzzy</t>
  </si>
  <si>
    <t>Thu tiền của Mơi DaLat T7</t>
  </si>
  <si>
    <t>ck</t>
  </si>
  <si>
    <t>Trả lương nhân viên Ngọc T7 lần 1</t>
  </si>
  <si>
    <t>Trả lương nhân viên anh Thanh T7 lần 1</t>
  </si>
  <si>
    <t>Trả lương nhân viên Tiến T7 lần 1</t>
  </si>
  <si>
    <t>Trả lương nhân viên Nguyễn Vũ Nhật Minh T7 lần 2</t>
  </si>
  <si>
    <t>TM0712M dong bhxh th6</t>
  </si>
  <si>
    <t>Trả lương nhân viên Chi Cao T7</t>
  </si>
  <si>
    <t>Trả lương nhân viên anh Thanh T7 lần 2</t>
  </si>
  <si>
    <t>Trả lương nhân viên Hiếu Lê T7</t>
  </si>
  <si>
    <t>Trả lương nhân viên Ngọc T7 lần 2</t>
  </si>
  <si>
    <t>Trả lương nhân viên Hậu sale</t>
  </si>
  <si>
    <t>mad thanh toan cong no HMG hd 268</t>
  </si>
  <si>
    <t>OT1755484304UB2G ty gia 26382 so tien mua 1330 USD noi dung thanh toan: Payment 50 percent of PI number YDGL250610-B122</t>
  </si>
  <si>
    <t>Payment 50 percent of PI number YDG L250610-B122</t>
  </si>
  <si>
    <t>Chi tiền cho BƯU ĐIỆN TỈNH LONG AN - TỔNG CÔNG TY BƯU ĐIỆN VIỆT NAM T7</t>
  </si>
  <si>
    <t>Chi tiền cho Nhân viên trả tiền hotline T7</t>
  </si>
  <si>
    <t>Trả tiền nhà cung cấp Nhà xe Phượng Hoàng Hà Nội- 2 đơn cũ + 34 krg rỗng HN</t>
  </si>
  <si>
    <t>Chi tiền cho anh Thanh trả tiền phí ship CT + thu 19 keg rỗng DN</t>
  </si>
  <si>
    <t>Trả lương nhân viên Nguyễn Vũ Nhật Minh T7 lần 1</t>
  </si>
  <si>
    <t>NH MUA CUA KH KHACH HANG 39934442 25000 USD TG 26195 Ban ngoai te USD chuyen vao tk thanh toan</t>
  </si>
  <si>
    <t>Thu tiền của UNLIMITED VISIONS PTE. LTD góp vốn 34,857.88 USD</t>
  </si>
  <si>
    <t>Thu tiền của Top of the Loop T7</t>
  </si>
  <si>
    <t>Thu tiền của CÔNG TY TNHH DỊCH VỤ KINH DOANH HOÀN HẢO T7</t>
  </si>
  <si>
    <t>Thu tiền của CÔNG TY CỔ PHẦN ỤT ỤT - CHI NHÁNH BIACRAFT XUÂN THỦY T6</t>
  </si>
  <si>
    <t>Thu tiền của CÔNG TY CỔ PHẦN ỤT ỤT - CHI NHÁNH BIACRAFT LÊ NGÔ CÁT T6</t>
  </si>
  <si>
    <t>Thu tiền của CÔNG TY CỔ PHẦN ỤT ỤT - CHI NHÁNH 47XT T6</t>
  </si>
  <si>
    <t>Thu tiền của CÔNG TY CỔ PHẦN ỤT ỤT - CHI NHÁNH VÕ VĂN KIỆT T6</t>
  </si>
  <si>
    <t>Thu tiền của CÔNG TY CỔ PHẦN THƯƠNG MẠI VÀ DỊCH VỤ NEW HOPS T7</t>
  </si>
  <si>
    <t>mad thanh toan 480kg chanh ngay 14th7</t>
  </si>
  <si>
    <t>Chi tiền cho Khôi trả phí ship khách QN + phí ship tài liệu ngân hàng cho chị Chi</t>
  </si>
  <si>
    <t>Thu tiền của CÔNG TY TNHH NHÀ HÀNG THIÊN AN T7 lần 1</t>
  </si>
  <si>
    <t>Thu tiền của Chi Cao cho mượn</t>
  </si>
  <si>
    <t>Thu tiền của Danang Rooftop Craft Beer T7</t>
  </si>
  <si>
    <t>Thu tiền của CÔNG TY TNHH NHÀ HÀNG THIÊN AN T7 lần 2</t>
  </si>
  <si>
    <t>Mad thanh toan phi dich vu th7 cho K14</t>
  </si>
  <si>
    <t>Thu tiền của Sprortivo 8/7 (a Hiếu ck 12/8/25)</t>
  </si>
  <si>
    <t>Thu tiền của Arch T7  (a Hiếu ck 12/8/25)</t>
  </si>
  <si>
    <t>Thu tiền của Par Lane Mini Goft  (a Hiếu ck 12/8/25)</t>
  </si>
  <si>
    <t>Thu tiền của Teppan Salad Ann  (a Hiếu ck 12/8/25)</t>
  </si>
  <si>
    <t>Thu tiền của The Hide Out T7  (a Hiếu ck 12/8/25)</t>
  </si>
  <si>
    <t>Thu tiền của NYC Pizza T7 (a Hiếu ck 12/8/25)</t>
  </si>
  <si>
    <t>Thu tiền của Movitas T7  (a Hiếu ck 12/8/25)</t>
  </si>
  <si>
    <t>Thu tiền của  Kentaro T8  (a Hiếu ck 12/8/25)</t>
  </si>
  <si>
    <t>Thu tiền của Windbeast Sapa T7  (a Hiếu ck 12/8/25)</t>
  </si>
  <si>
    <t>Thu tiền của Minimart 11/8  (a Hiếu ck 12/8/25)</t>
  </si>
  <si>
    <t>Thu tiền của Longwaits T7  (a Hiếu ck 12/8/25)</t>
  </si>
  <si>
    <t>Thu tiền của Ongbalo T7</t>
  </si>
  <si>
    <t>Chi tiền cho Hiếu Lê gửi hàng Ninh Bình, Hà Giang =&gt; Cấn trừ COD (a Hiếu ck 12/8/25)</t>
  </si>
  <si>
    <t>Thu tiền của Cambodia- Patrick- order 26 April</t>
  </si>
  <si>
    <t>Thu tiền của Loft SGN T7</t>
  </si>
  <si>
    <t>Chi tiền cho Nhân viên mua đồ cúng xưởng 11/8</t>
  </si>
  <si>
    <t>Trả lương nhân viên Khôi GH T7 lần 2</t>
  </si>
  <si>
    <t>Trả lương nhân viên anh Hiền đóng góiT7 lần 2</t>
  </si>
  <si>
    <t>Trả lương nhân viên Hiền đóng gói T7 lần 1</t>
  </si>
  <si>
    <t>Mad thanh toan phan con lai HD Sang An</t>
  </si>
  <si>
    <t>Trả lương Khôi GH T7 lần 1</t>
  </si>
  <si>
    <t>Thu tiền của The Hoianian - wine bar &amp; restaurant T7</t>
  </si>
  <si>
    <t>Thu tiền của Chookies hideaway Ninh Binh T7</t>
  </si>
  <si>
    <t>Thu tiền của Gordon's Pizza Da Nang T7</t>
  </si>
  <si>
    <t>Thu tiền của Hạc Vi Vu - Coffee, Beer T7</t>
  </si>
  <si>
    <t>Thu tiền của Adobo Mexican Grill T7</t>
  </si>
  <si>
    <t>Thu tiền của Banana T7 =&gt; đã trừ 200k rửa line</t>
  </si>
  <si>
    <t>Mad thanh toan phan con lai hoa don 469 cho Hiep Phuoc</t>
  </si>
  <si>
    <t>Thu tiền của Boosh Rooftop T7</t>
  </si>
  <si>
    <t>deposit fuzzy</t>
  </si>
  <si>
    <t>design label Junyard</t>
  </si>
  <si>
    <t>Fuzzy thanh toan cong no shiping th6 cho 3BM</t>
  </si>
  <si>
    <t>Thu tiền của Stroll In Da Nang T7</t>
  </si>
  <si>
    <t>Thu tiền của CÔNG TY TNHH RUINS- The Junkyard Nha Trang T7 lần 3</t>
  </si>
  <si>
    <t>Thu tiền của Khói Craft &amp; Brew HCM</t>
  </si>
  <si>
    <t>Thu tiền của SOMA T7</t>
  </si>
  <si>
    <t>Mad thanh toan lan 2 tien thue xuong Q3</t>
  </si>
  <si>
    <t>Trả tiền nhà cung cấp CÔNG TY CỔ PHẦN KIZUNA JV (lãi trả chậm)</t>
  </si>
  <si>
    <t>Thu tiền của Mê Beer T7</t>
  </si>
  <si>
    <t>Thu tiền của Chi Cao- cho mượn</t>
  </si>
  <si>
    <t>Thu tiền của Hiếu Lê =&gt; ck dư (a Hiếu ck 4/8/25)</t>
  </si>
  <si>
    <t>Thu tiền của CÔNG TY TNHH RUINS- The Junkyard Nha Trang T7 lần 2</t>
  </si>
  <si>
    <t>Thu tiền của CÔNG TY TNHH RUINS- The Junkyard Nha Trang T7 lần 1</t>
  </si>
  <si>
    <t>Thu tiền của Ramen 2/8 (a Hiếu ck 4/8/25)</t>
  </si>
  <si>
    <t>Thu tiền của Minimart 2/8 (a Hiếu ck 4/8/25)</t>
  </si>
  <si>
    <t>Thu tiền của Đồng Chí T6 (a Hiếu ck 4/8/25)</t>
  </si>
  <si>
    <t>Thu tiền của A6 Garden T7</t>
  </si>
  <si>
    <t>Chi tiền cho Hiếu Lê nạp 2 bình CO2=&gt; Cấn trừ COD (a Hiếu ck 4/8/25)</t>
  </si>
  <si>
    <t>Thu tiền của The 67 Pub &amp; Restaurant T7</t>
  </si>
  <si>
    <t>Thu tiền của CÔNG TY CỔ PHẦN GIẢI PHÁP MUA HÀNG ƯU VIỆT TPS T7</t>
  </si>
  <si>
    <t>Thu tiền của Poké Wow T7</t>
  </si>
  <si>
    <t>Thu tiền của Mini House - Kon Tum T7</t>
  </si>
  <si>
    <t>Thu tiền của Commune Sai Gon T7</t>
  </si>
  <si>
    <t>Phí ship nhãn tem mới 31/7</t>
  </si>
  <si>
    <t xml:space="preserve">	 mad ck tien in con lai</t>
  </si>
  <si>
    <t>Chi mua băng keo vpp 31/7</t>
  </si>
  <si>
    <t>Thu tiền của Sprortivo 26/7 (a Hiếu ck 30/7/25)</t>
  </si>
  <si>
    <t>Thu tiền của Charlie 29 (a Hiếu ck 30/7/25)</t>
  </si>
  <si>
    <t>Thu tiền của Hops&amp;Chops T6 (a Hiếu ck 30/7/25)</t>
  </si>
  <si>
    <t>Chi tiền cho Hiếu Lê gửi hàng Ninh Bình =&gt; cấn trừ COD a Hiếu ck 30/7/25</t>
  </si>
  <si>
    <t>thanh toan hd vc so 3591</t>
  </si>
  <si>
    <t>Thanh toán hđ vc số 3855 đơn HN 9/7</t>
  </si>
  <si>
    <t>Mad chuyen khoan dat coc tien in</t>
  </si>
  <si>
    <t>Thu tiền của Pi Boutique Đà Lạt T6</t>
  </si>
  <si>
    <t>Thu tiền của Funk Factocry- phí ship 3 keg org</t>
  </si>
  <si>
    <t>Thu tiền của Chi Cao- ck cho mượn</t>
  </si>
  <si>
    <t>Thu tiền của Saigon Hot Wings</t>
  </si>
  <si>
    <t>Phí ship Mơi DL 25/7+ Phí ship 3 keg rỗng cho Funk Factory 28/7</t>
  </si>
  <si>
    <t>mad ck dat coc in</t>
  </si>
  <si>
    <t>Mad thanh toan lan 1 tien thue xuong Q3</t>
  </si>
  <si>
    <t>Tnr tra lemon 23 6 lemon va pale 3 7</t>
  </si>
  <si>
    <t>Thu tiền của Hanoi Cider T6</t>
  </si>
  <si>
    <t>Thu tiền của Công Ty TNHH Three B Việt Nam</t>
  </si>
  <si>
    <t>Thu tiền của CÔNG TY CỔ PHẦN ỤT ỤT - CHI NHÁNH BIACRAFT XUÂN THỦY T5 (tổng trả 21.797.908)</t>
  </si>
  <si>
    <t>Thu tiền của CÔNG TY CỔ PHẦN ỤT ỤT Chi nhánh 300TS T5 (tổng trả 21.797.908)</t>
  </si>
  <si>
    <t>Thu tiền của DuSam Dalat</t>
  </si>
  <si>
    <t>Thu tiền của CÔNG TY CỔ PHẦN ỤT ỤT - CHI NHÁNH BIACRAFT LÊ NGÔ CÁT T5 (tổng trả 21.797.908)</t>
  </si>
  <si>
    <t>Thu tiền của Barefoot Beach Club Hoi An T6</t>
  </si>
  <si>
    <t>Thu tiền của MARS QUẬN 2</t>
  </si>
  <si>
    <t>Chi tiền cho Nhân viên mua đồ cúng xưởng 25/7</t>
  </si>
  <si>
    <t>Thu tiền của Khách Roscoe 16/7</t>
  </si>
  <si>
    <t>Thu tiền của Lotus Hair 21/7</t>
  </si>
  <si>
    <t>Phí ship hỏa tốc dấu mộc cho chị Chi 24/7</t>
  </si>
  <si>
    <t>Chi tiền cho anh Thanh trả tiền phí ship + sửa nguồn đèn từ Mr Craft</t>
  </si>
  <si>
    <t>mad thanh toan thiet bi cho song long</t>
  </si>
  <si>
    <t>Mua 1 bao trấu</t>
  </si>
  <si>
    <t>Mua 4 kg ngò</t>
  </si>
  <si>
    <t>Thu tiền của Pizza Belga T6</t>
  </si>
  <si>
    <t>Thu tiền của 7 Bridges Saigon T6- HD 120,122 TRHA TRDD</t>
  </si>
  <si>
    <t>thanh toan 2 bao duong</t>
  </si>
  <si>
    <t>Phí ship 2 bao đường Malto 23/7</t>
  </si>
  <si>
    <t>Hoan quy COD lan 1 T07 2025</t>
  </si>
  <si>
    <t>Thu tiền của Nhà hàng Chuồn Chuồn Bistro &amp; Bar T6</t>
  </si>
  <si>
    <t>Thu tiền của Charlie T6 (a Hiếu ck 22/7/24)</t>
  </si>
  <si>
    <t>Thu tiền của The Republic T6</t>
  </si>
  <si>
    <t>Mad thanh toan hoa don 269 cho HMG</t>
  </si>
  <si>
    <t>Mad thanh toan hoa don so 184 HMG</t>
  </si>
  <si>
    <t>Tnr tra lemon 13 6</t>
  </si>
  <si>
    <t>Tnr tra pale 16 6</t>
  </si>
  <si>
    <t>Thu tiền của Đại Mạch T6 (a Hiếu ck 21/7/25)</t>
  </si>
  <si>
    <t>Thu tiền của CÔNG TY TNHH THƯƠNG MẠI DỊCH VỤ NÔNG TRẠI KHOAI QH</t>
  </si>
  <si>
    <t>thanh toan lan 1hoa don 268 HMG</t>
  </si>
  <si>
    <t>Chi tiền cho BUI TRONG NGHIA</t>
  </si>
  <si>
    <t>Thu tiền của Craftbeerbox T6</t>
  </si>
  <si>
    <t>Thu tiền của Chookies hideaway Ninh Binh T6</t>
  </si>
  <si>
    <t>Chi phí di dời tủ điện</t>
  </si>
  <si>
    <t>Thu tiền của Imperial Craft Bia=&gt; gia công Imperial -phi VC gui bia ra hoi an</t>
  </si>
  <si>
    <t>thanh toan hd so 3209 vc di hoi an ngày 17/6</t>
  </si>
  <si>
    <t>Chi tiền cho Nguyễn Vũ Nhật Minh-thanh toan chi phi su kien Can Tho</t>
  </si>
  <si>
    <t>Chi tiền cho anh Thanh-thanh toan chi phi su kien Funk t4</t>
  </si>
  <si>
    <t>Thu tiền của Ramen 12/7 (a Hiếu ck 17/7/25)</t>
  </si>
  <si>
    <t>Thu tiền của Sprortivo 12/7  (a Hiếu ck 17/7/25)</t>
  </si>
  <si>
    <t>Thu tiền của Pelo Pelo 2/7  (a Hiếu ck 17/7/25)</t>
  </si>
  <si>
    <t>Thu tiền của Minimart 9/7  (a Hiếu ck 17/7/25)</t>
  </si>
  <si>
    <t>Thu tiền của Pluzzle 26/6  (a Hiếu ck 17/7/25)</t>
  </si>
  <si>
    <t>Thu tiền của The Hide Out T6  (a Hiếu ck 17/7/25)</t>
  </si>
  <si>
    <t>CÔNG TY TNHH MỘT THÀNH VIÊN DỊCH VỤ THƯƠNG MẠI KHÍ CÔNG NGHIỆP VẠN PHÁT ck phần dư</t>
  </si>
  <si>
    <t>Thu tiền của CÔNG TY CỔ PHẦN THƯƠNG MẠI VÀ DỊCH VỤ NEW HOPS T6</t>
  </si>
  <si>
    <t>Thu tiền của Pluzzle  (a Hiếu ck 17/7/25)</t>
  </si>
  <si>
    <t>Chi tiền cho Hiếu Lê in name card Gus + in menu + mua mica để bàn A6=&gt; Cấn trừ COD  (a Hiếu ck 17/7/25)</t>
  </si>
  <si>
    <t>thanh toan hd vc so 3402 đơn HN ngay 18th6</t>
  </si>
  <si>
    <t>Chi tiền cho Ricky sale- comission Ricky Q2 25 HCM</t>
  </si>
  <si>
    <t>Chi tiền cho Ricky-comission Ricky Q2 25 DN</t>
  </si>
  <si>
    <t>Mad thanh toan hoa don Co2 878</t>
  </si>
  <si>
    <t>Thu tiền của Danang Rooftop Craft Beer T6</t>
  </si>
  <si>
    <t>ck Minh tiền mua 200L dầu</t>
  </si>
  <si>
    <t>Thuế SCT th5 - Phí chậm nộp</t>
  </si>
  <si>
    <t>Thuế SCT th5</t>
  </si>
  <si>
    <t>15.195.787</t>
  </si>
  <si>
    <t>Thu tiền của Khách Hoàng Phương</t>
  </si>
  <si>
    <t>Thu tiền của Loft SGN T6</t>
  </si>
  <si>
    <t>Thu tiền của Boosh Rooftop fuzzy may extra.</t>
  </si>
  <si>
    <t>Thu tiền của Evenstar</t>
  </si>
  <si>
    <t>Trả lương nhân viên Hậu sale-mad thanh toan luong th6</t>
  </si>
  <si>
    <t>Trả lương nhân viên Hiếu Lê-mad thanh toan luong th6</t>
  </si>
  <si>
    <t>Thanh toan dot 2 hd thay cum may dan nong cho Sang An</t>
  </si>
  <si>
    <t>Thu tiền của The Republic 18/5 (a Hiếu ck 14/7/25)</t>
  </si>
  <si>
    <t>Thu tiền của Sprortivo 29/6  (a Hiếu ck 14/7/25)</t>
  </si>
  <si>
    <t>Thu tiền của Arch T6  (a Hiếu ck 14/7/25)</t>
  </si>
  <si>
    <t>Thu tiền của Windbeast Sapa T6  (a Hiếu ck 14/7/25)</t>
  </si>
  <si>
    <t>Thu tiền của Smoke house HBT T6  (a Hiếu ck 14/7/25)</t>
  </si>
  <si>
    <t>Thu tiền của Mose and Roo XD T6  (a Hiếu ck 14/7/25)</t>
  </si>
  <si>
    <t>Thu tiền của The Snug T6  (a Hiếu ck 14/7/25)</t>
  </si>
  <si>
    <t>Thu tiền của King Grill Bình Dương T6</t>
  </si>
  <si>
    <t>Thu tiền của Crazy Duck- Gia công Crazy Duck =&gt; CHRISTOPH GLOOR Transfers</t>
  </si>
  <si>
    <t>Jimmys DTN tt Fuzzy Logic HD133</t>
  </si>
  <si>
    <t>Chi tiền cho Khôi GH Mua thêm 1 thùng xốp cho Hạc Vi Vu 11/7</t>
  </si>
  <si>
    <t>Chi tiền cho Hiếu Lê gửi hàng + in áo+ thu keg rỗng + set up sự kiện=&gt; cấn rừ COD  (a Hiếu ck 14/7/25)</t>
  </si>
  <si>
    <t>500kg chanh ngay 11th7</t>
  </si>
  <si>
    <t>Thu tiền của CÔNG TY TNHH DỊCH VỤ KINH DOANH HOÀN HẢO T6</t>
  </si>
  <si>
    <t>Thu tiền của Jimmy's New York Pizza-HD115 ngay 25.6.2025</t>
  </si>
  <si>
    <t>Thu tiền của Bardo Cocktails &amp; Arts 23/6</t>
  </si>
  <si>
    <t>Thu tiền của CÔNG TY TNHH THƯƠNG MẠI DỊCH VỤ NÔNG TRẠI KHOAI 7/7</t>
  </si>
  <si>
    <t>Thu tiền của Banana T6</t>
  </si>
  <si>
    <t>Thu tiền của CÔNG TY CỔ PHẦN ỤT ỤT - CHI NHÁNH BIACRAFT XUÂN THỦY T4 (tổng 21.840.117đ)</t>
  </si>
  <si>
    <t>Thu tiền của CÔNG TY CỔ PHẦN ỤT ỤT - CHI NHÁNH BIACRAFT LÊ NGÔ CÁT T4 (tổng 21.840.117đ)</t>
  </si>
  <si>
    <t>Thu tiền của CÔNG TY CỔ PHẦN ỤT ỤT Chi nhánh 300TS  T4 (tổng 21.840.117đ)</t>
  </si>
  <si>
    <t>Thu tiền của CÔNG TY CỔ PHẦN ỤT ỤT - CHI NHÁNH BIACRAFT NGUYỄN ĐỨC CẢNH  T4 (tổng 21.840.117đ)</t>
  </si>
  <si>
    <t>Chi tiền cho anh Thanh mua tăm bông + phí ship + đá gel + thùng xốp</t>
  </si>
  <si>
    <t>Chi tiền cho Nhân viên mua đồ cúng xưởng 10/7</t>
  </si>
  <si>
    <t>Phí thu 10 keg rỗng từ King Grill BD về K14 + phụ phí đi đường 40k 11/7</t>
  </si>
  <si>
    <t>Chi tiền cho Nhân viên trả bưu điện và hotline T6</t>
  </si>
  <si>
    <t>Thu tiền của The Hoianian - wine bar &amp; restaurant T6</t>
  </si>
  <si>
    <t>Thu tiền của The Noodle House - Signature T6</t>
  </si>
  <si>
    <t>Thu tiền của CÔNG TY TNHH NHÀ HÀNG THIÊN AN T6</t>
  </si>
  <si>
    <t>Thu tiền của Nhà hàng Riso Amaro</t>
  </si>
  <si>
    <t>Mad Alchemists hp lop cap nhat chinh sach thue</t>
  </si>
  <si>
    <t>Trả lương nhân viên Ngọc - mad tt luong th6 lần 2</t>
  </si>
  <si>
    <t>Thu tiền của Mê Beer T6</t>
  </si>
  <si>
    <t>Trả lương nhân viên chú Hùng-mad tt luong lan 2 th6</t>
  </si>
  <si>
    <t>Trả lương nhân viên anh Thanh-mad tt luong lan 2 th6</t>
  </si>
  <si>
    <t>Trả lương nhân viên Tiến-mad tt luong lan 2 th6</t>
  </si>
  <si>
    <t>hoan quy COD thang 6/2025</t>
  </si>
  <si>
    <t>Thu tiền của Dreibar Craftbeer &amp; Cocktail T6</t>
  </si>
  <si>
    <t>Thu tiền của Hana Beer T7</t>
  </si>
  <si>
    <t>Thu tiền của CÔNG TY TNHH RUINS- The Junkyard Nha Trang T6 lần 2</t>
  </si>
  <si>
    <t>Thu tiền của Khói Craft &amp; Brew HCM T5</t>
  </si>
  <si>
    <t>Thu tiền của CÔNG TY TNHH THƯƠNG MẠI VÀ DỊCH VỤ IRON WHEEL bo sung hoa don VAT</t>
  </si>
  <si>
    <t>Chi tiền cho Ricky sale -Ricky bussiness travel expenses</t>
  </si>
  <si>
    <t>Mad thanh toan dot 1 theo HD so 50HDKT2025 Thay cum dan nong</t>
  </si>
  <si>
    <t>Thu tiền của Mơi DaLat T6</t>
  </si>
  <si>
    <t>Thu tiền của A6 Garden T6</t>
  </si>
  <si>
    <t>Platinum trả phí ship keg nha</t>
  </si>
  <si>
    <t>Thu tiền của Boosh Rooftop T6</t>
  </si>
  <si>
    <t>Thu tiền của RESHAPE SAIGON T6</t>
  </si>
  <si>
    <t>Chi tiền cho Hậu sale - mad thanh toan comission nam 24</t>
  </si>
  <si>
    <t>Trả lương nhân viên chú Hùng-  june salary payment</t>
  </si>
  <si>
    <t>chuyen 200kg duong</t>
  </si>
  <si>
    <t>Trả lương nhân viên anh Hiền đóng gói -JUN SALARY PAYMENT</t>
  </si>
  <si>
    <t>Trả lương nhân viên Khôi GH- JUN SALARY PAYMENT</t>
  </si>
  <si>
    <t>Trả lương nhân viên Ngọc -JUN SALARY PAYMENT</t>
  </si>
  <si>
    <t>Trả lương nhân viên anh Thanh-JUN SALARY PAYMENT</t>
  </si>
  <si>
    <t>Trả lương nhân viên anh Tiến- JUN SALARY PAYMENT</t>
  </si>
  <si>
    <t>Trả lương nhân viên Chi Cao-JUN SALARY PAYMENT</t>
  </si>
  <si>
    <t>Trả lương nhân viên Nguyễn Vũ Nhật Minh-JUN SALARY PAYMENT</t>
  </si>
  <si>
    <t>Thanh toan phi dich vu th6 cho Kizuna</t>
  </si>
  <si>
    <t>TM0712M dong bhxh th5</t>
  </si>
  <si>
    <t>Trả lương nhân viên Khôi GH - jun salary payment lần 2</t>
  </si>
  <si>
    <t>Trả lương nhân viên anh Hiền đóng gói -jun salary payment lần 2</t>
  </si>
  <si>
    <t>Thu tiền của Crazy Duck=&gt; Gia công Crazy Duck- CHRISTOPH GLOOR</t>
  </si>
  <si>
    <t>Chi tiền cho phí ship hàng + phí gửi mẫu+ phí gửi thư+ phí nhận keg rỗng</t>
  </si>
  <si>
    <t>thanh toan hd vc so 3013 đơn HN 29/5</t>
  </si>
  <si>
    <t>OT1751528618QFH9 ty gia 26265 so tien mua 1330 USD noi dung thanh toan: Payment 50 percent of PI number YDGL250610-B122</t>
  </si>
  <si>
    <t>Thu tiền của Midway Cafe tt 2 đơn</t>
  </si>
  <si>
    <t>Tnr tra bill lem 30 5 pale 4 6</t>
  </si>
  <si>
    <t>Thu tiền của Ongbalo bù T4 ck thiếu</t>
  </si>
  <si>
    <t>Thu tiền của Khuiii QN</t>
  </si>
  <si>
    <t>Thu tiền của CÔNG TY TNHH RUINS- The Junkyard Nha Trang lần 1</t>
  </si>
  <si>
    <t>TT BO SUNG TIEN THUE T6 CONG TY TNH H MAD ALCHEMISTS</t>
  </si>
  <si>
    <t>Thu tiền của CÔNG TY CỔ PHẦN GIẢI PHÁP MUA HÀNG ƯU VIỆT TPS T6</t>
  </si>
  <si>
    <t>ct</t>
  </si>
  <si>
    <t>Thu tiền của Hạc Vi Vu - Coffee, Beer T6</t>
  </si>
  <si>
    <t>Thu tiền của Commune Sai Gon T6</t>
  </si>
  <si>
    <t>Chi tiền cho anh Thanh- ck tien mua vat tu lam tu dien may loc bia</t>
  </si>
  <si>
    <t>thanh toan tien in ly từ cty Ba Vinh</t>
  </si>
  <si>
    <t>Mua 20 bình nước suối 19L Satori</t>
  </si>
  <si>
    <t>Thu tiền của Lotus Hair</t>
  </si>
  <si>
    <t>Thu tiền của Top of the Loop 15.6fuzy</t>
  </si>
  <si>
    <t>Thu tiền của Banana T5</t>
  </si>
  <si>
    <t>Thu tiền của Chookies hideaway Ninh Binh T5</t>
  </si>
  <si>
    <t>Thu tiền của Minimart 21/6 (a Hiếu ck 26/6/25)</t>
  </si>
  <si>
    <t>Thu tiền của Ramen 25/6 (a Hiếu ck 26/6/25)</t>
  </si>
  <si>
    <t>Thu tiền của Kali T5 (a Hiếu ck 26/6/25)</t>
  </si>
  <si>
    <t>Thu tiền của Top of the Loop T6</t>
  </si>
  <si>
    <t>Thu tiền của CÔNG TY TNHH KITCHEN GOLD T5</t>
  </si>
  <si>
    <t>Chi tiền cho Hiếu Lê giao hàng Ninh Bình 25/6=&gt; cấn trừ (a Hiếu ck 26/6/25)</t>
  </si>
  <si>
    <t>Chi tiền cho Khôi GH trả phí ship + mua đồ cúng xưởng 26/6</t>
  </si>
  <si>
    <t>Thu tiền của Barefoot Beach Club Hoi An T5</t>
  </si>
  <si>
    <t>Thu tiền của Bottle Shop ĐTM T5</t>
  </si>
  <si>
    <t>Thu tiền của Standing bar T5</t>
  </si>
  <si>
    <t>Thu tiền của Bottle Shop Ngõ Gạch T5</t>
  </si>
  <si>
    <t>cuoc vc 34keg tu hn vbao k14 ngay 23th6</t>
  </si>
  <si>
    <t>tien vc 37keg tu nha trang vao K14 ngay 13th5</t>
  </si>
  <si>
    <t>Tnr tra lemon 17 5</t>
  </si>
  <si>
    <t>Thu tiền của CÔNG TY CỔ PHẦN THƯƠNG MẠI VÀ DỊCH VỤ NEW HOPS T5</t>
  </si>
  <si>
    <t>Mad thanh toan phan con lai don nhan lon Blanche</t>
  </si>
  <si>
    <t>Thu tiền của The Snug T5 (a Hiếu ck 21/6/25)</t>
  </si>
  <si>
    <t>Thu tiền của Nhà hàng S&amp;B (a Hiếu ck 21/6/25)</t>
  </si>
  <si>
    <t>Thu tiền của Arch T5 (a Hiếu ck 21/6/25)</t>
  </si>
  <si>
    <t>Thu tiền của CÔNG TY TNHH THƯƠNG MẠI VÀ DỊCH VỤ IRON WHEEL T5</t>
  </si>
  <si>
    <t>Thu tiền của Pizza Belga T5</t>
  </si>
  <si>
    <t>Chi tiền cho Hiếu Lê- chi phí công tác Ninh Bình+ giao hàng Ninh Bình Hà Giang=&gt; Cấn trừ TM 21/6 (a Hiếu ck 21/6/25)</t>
  </si>
  <si>
    <t>mad tt cong no th5</t>
  </si>
  <si>
    <t>Chi tiền cho anh Thanh mua đá gel</t>
  </si>
  <si>
    <t>1 bình CO2 cho Malt South</t>
  </si>
  <si>
    <t>Chi tiền cho Khôi GH trả phí ship  hàng Cần Thơ</t>
  </si>
  <si>
    <t>Chi tiền cho  HO THI LIEM</t>
  </si>
  <si>
    <t>Thu tiền của 7 Bridges Saigon- in May - HD 104</t>
  </si>
  <si>
    <t>Chi tiền cho anh Thanh 1 bình CO2 cho Mr Craft 17/6</t>
  </si>
  <si>
    <t>Chi tiền cho CONG TY TNHH KIM NGAN HA-Mad thanh toan tien ly</t>
  </si>
  <si>
    <t>blanche dot 2</t>
  </si>
  <si>
    <t>Thu tiền của Saigon Hot Wings 9/6</t>
  </si>
  <si>
    <t>Thu tiền của King Grill Bình Dương T5</t>
  </si>
  <si>
    <t>Thu tiền của SVVIFT MANUFACTUFING</t>
  </si>
  <si>
    <t>Chi tiền cho anh Thanh mua thùng xốp + đá gel + phí ship Mơi DL + Côn Đảo+ Hotline</t>
  </si>
  <si>
    <t>Thu tiền của Ongbalo T5</t>
  </si>
  <si>
    <t>Thu tiền của Cambodia- Patrick order 21th5</t>
  </si>
  <si>
    <t>Tnr tra pale 16 5</t>
  </si>
  <si>
    <t>Thu tiền của Sprortivo 10/6 (a Hiếu ck 13/06/25)</t>
  </si>
  <si>
    <t>Thu tiền của Ramen 31/5 + 11/6 (a Hiếu ck 13/06/25)</t>
  </si>
  <si>
    <t>Thu tiền của Mose and Roo XD (a Hiếu ck 13/06/25)</t>
  </si>
  <si>
    <t>Thu tiền của Smoke house HBT(a Hiếu ck 13/06/25)</t>
  </si>
  <si>
    <t>mad thanh toan phi lam mai che ngoài xưởng</t>
  </si>
  <si>
    <t>Trả lương nhân viên anh Thanh T5</t>
  </si>
  <si>
    <t>Chi tiền cho Nhân viên mua đồ cúng xưởng  12/6</t>
  </si>
  <si>
    <t>Mua băng keo, vpp</t>
  </si>
  <si>
    <t>chuyen coc sua mai hien che ngoài xưởng</t>
  </si>
  <si>
    <t>Thu tiền của Đồng Chí (a Hiếu ck 11/06/25)</t>
  </si>
  <si>
    <t>Thu tiền của Pelo Pelo a Hiếu ck 11/06/25)</t>
  </si>
  <si>
    <t>Thu tiền của Pale Alea Hiếu ck 11/06/25)</t>
  </si>
  <si>
    <t>Thu tiền của Minimart a Hiếu ck 11/06/25)</t>
  </si>
  <si>
    <t>Thu tiền của The Republic 31/5 a Hiếu ck 11/06/25)</t>
  </si>
  <si>
    <t>Thu tiền của Đại Mạch T5 (a Hiếu ck 11/06/25)</t>
  </si>
  <si>
    <t>Thu tiền của The Hide Out T5 (a Hiếu ck 11/06/25)</t>
  </si>
  <si>
    <t>Thu tiền của Longwaits T5 (a Hiếu ck 11/06/25)</t>
  </si>
  <si>
    <t>Thu tiền của CÔNG TY TNHH NHÀ HÀNG THIÊN AN T5</t>
  </si>
  <si>
    <t>Chi tiền cho Hiếu Lê nạp 3 chai CO2+ gửi hàng đi Ninh Bình, Hà Giang=&gt; cấn trừ COD a Hiếu ck 11/06/25)</t>
  </si>
  <si>
    <t>Trả lương nhân viên Hậu saleT5</t>
  </si>
  <si>
    <t>Trả lương nhân viên Hiếu Lê T5</t>
  </si>
  <si>
    <t>ck phi vc 48 vo tu hn vao k14 ngay 28th5</t>
  </si>
  <si>
    <t>Thu tiền của CÔNG TY TNHH DỊCH VỤ KINH DOANH HOÀN HẢO T5</t>
  </si>
  <si>
    <t>Thu tiền của CÔNG TY TNHH THƯƠNG MẠI DỊCH VỤ NÔNG TRẠI KHOAI 7/6</t>
  </si>
  <si>
    <t>Thu tiền của Khách Hiệp Lê</t>
  </si>
  <si>
    <t>NHA HANG THE NOODLE HOUSE 1 TT NO T5.2025 CHO BIA FUZZY</t>
  </si>
  <si>
    <t>Thu tiền của The Hoianian - wine bar &amp; restaurant T5</t>
  </si>
  <si>
    <t>NHA HANG THE NOODLE HOUSE 2 TT NO T5.2025 CHO BIA FUZZY</t>
  </si>
  <si>
    <t>Coaster blanche</t>
  </si>
  <si>
    <t>Chi tiền cho Hậu  sale-thanh toan Phu Quoc sale expenses</t>
  </si>
  <si>
    <t>Mad thanh toan phi dich vu th5</t>
  </si>
  <si>
    <t>Chi tiền cho Nhân viên tra phí bưu điện T5</t>
  </si>
  <si>
    <t>Thu tiền của Jimmy's New York Pizza T5</t>
  </si>
  <si>
    <t>thanh toan hd vc di hoi hoi an so 2522 ngay 8th5</t>
  </si>
  <si>
    <t>thanh toan hd vc di hn so 2589 ngay 10th5</t>
  </si>
  <si>
    <t>Thu tiền của SOMA T5</t>
  </si>
  <si>
    <t>Hoan quy COD T05 2025</t>
  </si>
  <si>
    <t>Thu tiền của Boosh Rooftop T5</t>
  </si>
  <si>
    <t>Thu tiền của Khách Hoàng Anh</t>
  </si>
  <si>
    <t>Thu tiền của Midway Cafe T5</t>
  </si>
  <si>
    <t>thuế SCT</t>
  </si>
  <si>
    <t>7.878.889</t>
  </si>
  <si>
    <t>Thuế SCT</t>
  </si>
  <si>
    <t>6.265.113</t>
  </si>
  <si>
    <t>Thu tiền của A6 Garden T5</t>
  </si>
  <si>
    <t>Thu tiền của CÔNG TY TNHH RUINS- The Junkyard Nha Trang T5 lần 1</t>
  </si>
  <si>
    <t>Thu tiền của CÔNG TY TNHH RUINS- The Junkyard Nha Trang T5 lần 2</t>
  </si>
  <si>
    <t>Thu tiền của The 100 Garden T5</t>
  </si>
  <si>
    <t>Thu tiền của Pi Boutique Đà Lạt T4</t>
  </si>
  <si>
    <t>Thu tiền của Mini House - Kon Tum T5</t>
  </si>
  <si>
    <t>Thu tiền của CÔNG TY TNHH RUINS- The Junkyard Nha Trang T5 lần 3</t>
  </si>
  <si>
    <t>Chuyển tiền</t>
  </si>
  <si>
    <t>Trả lương nhân viên chú Hùng T5</t>
  </si>
  <si>
    <t>Trả lương nhân viên anh Tiến T5</t>
  </si>
  <si>
    <t>Trả lương nhân viên Ngọc T5</t>
  </si>
  <si>
    <t>Trả lương nhân viên Khôi T5</t>
  </si>
  <si>
    <t>Trả lương nhân viên anh Hiền T5</t>
  </si>
  <si>
    <t>Ck đặt cọc mua thiết bị Co2 Song Long</t>
  </si>
  <si>
    <t>Equiptment</t>
  </si>
  <si>
    <t>Trả lương nhân viên Nguyễn Vũ Nhật Minh T5</t>
  </si>
  <si>
    <t>Thu tiền của Loft SGN T5</t>
  </si>
  <si>
    <t>Tnr tra lemon 10 5</t>
  </si>
  <si>
    <t>Thu tiền của Stroll In Da Nang T5</t>
  </si>
  <si>
    <t>Chuyen khoan coc don hang nhan lon Blanche mới</t>
  </si>
  <si>
    <t>Thu tiền của Imperial Craft Bia T5</t>
  </si>
  <si>
    <t>ck 500kg chanh</t>
  </si>
  <si>
    <t>Trả lương nhân viên Chi Cao T5</t>
  </si>
  <si>
    <t>Chi tiền cho Nguyễn Vũ Nhật Minh-thanh toan phi cong tac dn Nhat Minh</t>
  </si>
  <si>
    <t>phi thay dau do kiem soat nhiet do hệ Pilot system</t>
  </si>
  <si>
    <t>Chi tiền cho anh Thanh trả phí ship PQ và Mơi DL 2/6</t>
  </si>
  <si>
    <t>Thu tiền của Pluzzle T5 (a Hiếu ck 2/6/25)</t>
  </si>
  <si>
    <t>Thu tiền của Wecked Burger  T4  (a Hiếu ck 2/6/25)</t>
  </si>
  <si>
    <t>Thu tiền của Kali T4  (a Hiếu ck 2/6/25)</t>
  </si>
  <si>
    <t>Thu tiền của Charlie 29/5  (a Hiếu ck 2/6/25)</t>
  </si>
  <si>
    <t>Thu tiền của Sprortivo 25/5  (a Hiếu ck 2/6/25)</t>
  </si>
  <si>
    <t>Thu tiền của Big Bear Concepts T5</t>
  </si>
  <si>
    <t>Thu tiền của CÔNG TY CỔ PHẦN GIẢI PHÁP MUA HÀNG ƯU VIỆT TPS T5</t>
  </si>
  <si>
    <t>Thu tiền của The 67 Pub &amp; Restaurant</t>
  </si>
  <si>
    <t>Thu tiền của Cham Whiskey + Craft Beer T5</t>
  </si>
  <si>
    <t>Thu tiền của Commune Sai Gon T5</t>
  </si>
  <si>
    <t>Thu tiền của Công Ty TNHH Three B Việt Nam HĐ 95</t>
  </si>
  <si>
    <t>Chi tiền cho Hiếu Lê- cbi phí công tác Hà Giang -  (a Hiếu ck 2/6/25)</t>
  </si>
  <si>
    <t>Thu tiền của Khói Craft &amp; Brew HCM T4</t>
  </si>
  <si>
    <t>Chi phí ăn uống công tác</t>
  </si>
  <si>
    <t>Tnr tra lem 25 4 Pale lemon 2 5</t>
  </si>
  <si>
    <t>Thu tiền của Choi Oi Noodle 28/5</t>
  </si>
  <si>
    <t>Chi tiền cho chú Hùng mua đồ cúng xưởng + mua đá gel + thùng xốp đựng sample</t>
  </si>
  <si>
    <t>Chi tiền cho Hậu sale-thanh toan ve mb Phu Quoc Cho Hau</t>
  </si>
  <si>
    <t>Thu tiền của CÔNG TY CỔ PHẦN THƯƠNG MẠI VÀ DỊCH VỤ NEW HOPS T4</t>
  </si>
  <si>
    <t>Chi tiền cho Nguyễn Vũ Nhật Minh-thanh toan tien ve mb</t>
  </si>
  <si>
    <t>Thu tiền của Chookies hideaway Ninh BinhT4 - Trừ 800k phí rửa vòi 4 tháng x 200k/tháng</t>
  </si>
  <si>
    <t>Thu tiền của Barefoot Beach Club Hoi An T4</t>
  </si>
  <si>
    <t>thanh toan hoa don HMG so 163 ngày 28/3</t>
  </si>
  <si>
    <t>Thu tiền của Pizza Belga T4</t>
  </si>
  <si>
    <t>Thu tiền của Charlie T5 (a Hiếu ck 26/05/25)</t>
  </si>
  <si>
    <t>Thu tiền của Sprortivo 5/5 (a Hiếu ck 26/05/25)</t>
  </si>
  <si>
    <t>Thu tiền của Minimart 07+24/5 (a Hiếu ck 26/05/25)</t>
  </si>
  <si>
    <t>Thu tiền của Chấu Vỏ (a Hiếu ck 26/05/25)</t>
  </si>
  <si>
    <t>Thu tiền của Teppan Salad Ann (a Hiếu ck 26/05/25)</t>
  </si>
  <si>
    <t>Thu tiền của Smoke house HBT T4 (a Hiếu ck 26/05/25)</t>
  </si>
  <si>
    <t>Thu tiền của Standing bar T4</t>
  </si>
  <si>
    <t>The Bottle Shop Ngo Gach TT cong no thang 4.2025 cho Fuzzy</t>
  </si>
  <si>
    <t>thanh toan hd vc so 2240 đơn đi HN 22/4</t>
  </si>
  <si>
    <t>Chi tiền cho Hiếu Lê thu 48 keg Hà Giang=&gt; Cấn trừ (a Hiếu ck 26/05/25)</t>
  </si>
  <si>
    <t>thanh toan 300lit ethanol</t>
  </si>
  <si>
    <t>Chi tiền cho anh Thanh thu keg rỗng Moc Craft và phí ship Mini KT</t>
  </si>
  <si>
    <t>Thu tiền của Banana T4-trừ 400k chi phí vệ sinh vòi bia T3, T4</t>
  </si>
  <si>
    <t>sua chua he glycol</t>
  </si>
  <si>
    <t>Chi tiền cho anh Thanh phí thu keg rỗng King Grill, Boosh, Tnr</t>
  </si>
  <si>
    <t>Trả tiền nhà cung cấp anh Thanh- Mua 50 thùng giấy lớn</t>
  </si>
  <si>
    <t>Thu tiền của 7 Bridges Saigon-Payment for beer from Mad Alchemist s in April - HD 82, 87,81,88</t>
  </si>
  <si>
    <t>Thu tiền của H- Pub 21/5</t>
  </si>
  <si>
    <t>thanh toan hoa don so 2144 đơn đi DN 17/4</t>
  </si>
  <si>
    <t>thanh toan cuoc vc 52 keg rong tu hn vao K14 ngay 15th5</t>
  </si>
  <si>
    <t>thanh toan 200kg duong</t>
  </si>
  <si>
    <t>Nộp tiền</t>
  </si>
  <si>
    <t>Thu tiền của The Hide Out T4 (a Hiếu ck 20/05/25)</t>
  </si>
  <si>
    <t>Thu tiền của NYC Pizza T4 (a Hiếu ck 20/05/25)</t>
  </si>
  <si>
    <t>Thu tiền của Mose and Roo XD T4 (a Hiếu ck 20/05/25)</t>
  </si>
  <si>
    <t>Thu tiền của Đại Mạch T4 (a Hiếu ck 20/05/25)</t>
  </si>
  <si>
    <t>Thu tiền của Kali T3 (a Hiếu ck 20/05/25)</t>
  </si>
  <si>
    <t>Chi tiền cho Hiếu Lê trả tiền gửi hàng Ninh Bình + thu keg rỗng =&gt; cấn trừ thu TM (a Hiếu ck 20/05/25)</t>
  </si>
  <si>
    <t>Phí chậm nộp</t>
  </si>
  <si>
    <t>6.779.630</t>
  </si>
  <si>
    <t>11.765.000</t>
  </si>
  <si>
    <t>Chi tiền cho Nhân viên mua nước lau sàn, lau kính + phí ship King Grill</t>
  </si>
  <si>
    <t>Thu tiền của Bistro KAZ Đà Nẵng T4</t>
  </si>
  <si>
    <t>Thu tiền của CÔNG TY CỔ PHẦN ỤT ỤT Chi nhánh 300TS T3</t>
  </si>
  <si>
    <t>Thu tiền của CÔNG TY CỔ PHẦN ỤT ỤT - CHI NHÁNH BIACRAFT XUÂN THỦY T3</t>
  </si>
  <si>
    <t>Thu tiền của CÔNG TY CỔ PHẦN ỤT ỤT - CHI NHÁNH BIACRAFT LÊ NGÔ CÁT T3</t>
  </si>
  <si>
    <t>Thu tiền của CÔNG TY CỔ PHẦN ỤT ỤT - CHI NHÁNH BIACRAFT NGUYỄN ĐỨC CẢNH T3</t>
  </si>
  <si>
    <t>mad thanh toan tien tem trong co</t>
  </si>
  <si>
    <t>Thu tiền của Imperial Craft Bia=&gt; gia công imperial - Hanoi beer fest equipment rental</t>
  </si>
  <si>
    <t>Thu tiền của Tropical Home Craft Beer T4 lần 1</t>
  </si>
  <si>
    <t>Thu tiền của Danang Rooftop Craft Beer T4</t>
  </si>
  <si>
    <t>Chi tiền cho Nguyễn Vũ Nhật Minh trả tiền thay bảng treo trước cửa công ty</t>
  </si>
  <si>
    <t>Trả tiền nhà cung cấp anh Thanh- mua 4 kg ngò</t>
  </si>
  <si>
    <t>Phí công bố sản phẩm Bia Blanche - Product publication fee for Bia Blanche</t>
  </si>
  <si>
    <t>Thu tiền của CÔNG TY TNHH NHÀ HÀNG THIÊN AN T4</t>
  </si>
  <si>
    <t>The 67 Tt hoa don 10.5</t>
  </si>
  <si>
    <t>Thu tiền của CÔNG TY TNHH DỊCH VỤ KINH DOANH HOÀN HẢO T4</t>
  </si>
  <si>
    <t>mad thanh toan cong no vc th4</t>
  </si>
  <si>
    <t>Chi tiền cho Nhân viên mua đồ cúng xưởng 13/5</t>
  </si>
  <si>
    <t>thanh toan 50kg duong malto</t>
  </si>
  <si>
    <t>Trả lương nhân viên Tiến- mad thanh toan luong con lai th4</t>
  </si>
  <si>
    <t>Thanh toán lương th4 _ Tiến</t>
  </si>
  <si>
    <t>Chi tiền cho Nhân viên- Phí ship 2 báo đường Malto 13/5</t>
  </si>
  <si>
    <t>Thu tiền của Dreibar Craftbeer &amp; Cocktail T4</t>
  </si>
  <si>
    <t>Thu tiền của CÔNG TY TNHH RUINS- The Junkyard Nha Trang T4</t>
  </si>
  <si>
    <t>Thu tiền của The Hoianian - wine bar &amp; restaurant T4</t>
  </si>
  <si>
    <t>KHOAI QH TT FUZZY LOGIC 4.5</t>
  </si>
  <si>
    <t>Thu tiền của Craftbeerbox T4</t>
  </si>
  <si>
    <t>thanh toan cuoc vc 34 keg rong va 4 boxes tu nha trang ve k14 ngay 14th3</t>
  </si>
  <si>
    <t>thanh toan don hang ngay 12th5</t>
  </si>
  <si>
    <t>thanh toan cong no vc a Viet thang 3</t>
  </si>
  <si>
    <t>Chi tiền cho Nguyễn Vũ Nhật Minh -Tiền khám sức khỏe nộp Iso của Minh, Tiến 12/5</t>
  </si>
  <si>
    <t>TM0712M dong bhxh th4</t>
  </si>
  <si>
    <t>Thu tiền của Stroll In Da Nang T4</t>
  </si>
  <si>
    <t>Tnr tra bill 7 4 va 14 4 lemkn va pale 19 4</t>
  </si>
  <si>
    <t>ung tien mua dau</t>
  </si>
  <si>
    <t>Thu tiền của CÔNG TY TNHH THƯƠNG MẠI DỊCH VỤ NÔNG TRẠI KHOAI 8/5</t>
  </si>
  <si>
    <t>thanh toan phi bao tri A Thanh</t>
  </si>
  <si>
    <t>Trả lương nhân viên Hậu sale tháng 4 lần 2</t>
  </si>
  <si>
    <t>Trả lương nhân viên Hiếu Lê tháng 4 lần 2</t>
  </si>
  <si>
    <t>Chi tiền hotline, bưu điện T4 và phí khám sức khỏe</t>
  </si>
  <si>
    <t>Trả tiền nhà cung cấp CÔNG TY XĂNG DẦU LONG AN- 400L và phí ship</t>
  </si>
  <si>
    <t>Thuế TNCN</t>
  </si>
  <si>
    <t>MAD thanh toan phi dich vu HDDT</t>
  </si>
  <si>
    <t>Thu tiền của Gringo Taco 7/5</t>
  </si>
  <si>
    <t>thanh toan 520kg chanh ngay 22th4</t>
  </si>
  <si>
    <t>Chi tiền cho anh Thanh mua mực và tăm bông mực 7/5</t>
  </si>
  <si>
    <t>Thu tiền của Boosh Rooftop T4</t>
  </si>
  <si>
    <t>Thu tiền của Crazy Duck=&gt; Gia công Crazy Duck -Gift Chris</t>
  </si>
  <si>
    <t>Thu tiền của Quán Kim Đà Lạt</t>
  </si>
  <si>
    <t>Thu tiền của SOMA T4</t>
  </si>
  <si>
    <t>Thu tiền của Hem Chill 3/5</t>
  </si>
  <si>
    <t>Trả lương nhân viên Nguyễn Vũ Nhật Minh T4 lần 2</t>
  </si>
  <si>
    <t>Trả lương nhân viên anh Hiền đóng gói-mad thanh toan phu cap th4</t>
  </si>
  <si>
    <t>mad coc tien lam trong co</t>
  </si>
  <si>
    <t>Chi tiền cho Nhân viên trả Phí ship hỏa tốc dấu mộc cho chị Chi 7/5</t>
  </si>
  <si>
    <t>Thu tiền của Mơi DaLat T4</t>
  </si>
  <si>
    <t>Thu tiền của King Grill Bình Dương T4</t>
  </si>
  <si>
    <t>Thu tiền của CÔNG TY CỔ PHẦN THƯƠNG MẠI VÀ DỊCH VỤ NEW HOPS T3</t>
  </si>
  <si>
    <t>Thu tiền của A6 Garden T4</t>
  </si>
  <si>
    <t>Thu tiền của Ongbalo T4</t>
  </si>
  <si>
    <t>Thu tiền của Minimart 24/4 (a Hiếu ck 6/5/25)</t>
  </si>
  <si>
    <t>Thu tiền của Hops&amp;Chops T4  (a Hiếu ck 6/5/25)</t>
  </si>
  <si>
    <t>Thu tiền của Ánh Bar T4  (a Hiếu ck 6/5/25)</t>
  </si>
  <si>
    <t>Thu tiền của Arch T4  (a Hiếu ck 6/5/25)</t>
  </si>
  <si>
    <t>Thu tiền của Longwaits T4  (a Hiếu ck 6/5/25)</t>
  </si>
  <si>
    <t>Thu tiền của The Republic 5/5  (a Hiếu ck 6/5/25)</t>
  </si>
  <si>
    <t>Thu tiền của Sprortivo 29/4  (a Hiếu ck 6/5/25)</t>
  </si>
  <si>
    <t>Trả lương nhân viên Chi Cao T4</t>
  </si>
  <si>
    <t>Trả lương nhân viên chú Hùng- lương T4 lần 2</t>
  </si>
  <si>
    <t>Trả lương nhân viên Khôi GH-  lương T4 lần 2</t>
  </si>
  <si>
    <t>Trả lương nhân viên anh Hiền đóng gói - lương T4 lần 2</t>
  </si>
  <si>
    <t>Trả lương nhân viên Ngọc- lương T4 lần 2</t>
  </si>
  <si>
    <t>Trả lương nhân viên anh Thanh- lương T4 lần 2</t>
  </si>
  <si>
    <t>Chi tiền cho Hiếu Lê trả phí giao hàng Ninh Bình và thu keg rỗng=&gt; Cấn trừ (a Hiếu ck 6/5/25)</t>
  </si>
  <si>
    <t>Hoàn quỹ COD T04 2025</t>
  </si>
  <si>
    <t>Thu tiền của Crazy Duck=&gt; Gia công Crazy Duck-Gift Chris</t>
  </si>
  <si>
    <t>Thu tiền của MOZZIES CAMBODIA=&gt; WHEAT BEER BATCH - FISK JACOB CLAYTON/FISK SKYLER</t>
  </si>
  <si>
    <t>Mad thanh toan phi dich vu th4</t>
  </si>
  <si>
    <t>Thu tiền của Công Ty TNHH Three B Việt Nam 28/4</t>
  </si>
  <si>
    <t>Thu tiền của Công Ty TNHH Three B Việt Nam 3/5</t>
  </si>
  <si>
    <t>Thu tiền của The 100 Garden T3 và T4</t>
  </si>
  <si>
    <t>Thu tiền của Mini House - Kon Tum T4</t>
  </si>
  <si>
    <t>Thu tiền của DuSam Dalat T4</t>
  </si>
  <si>
    <t>Thu tiền của Sip Bar - Phu Quoc T4</t>
  </si>
  <si>
    <t>Thu tiền của CÔNG TY CỔ PHẦN GIẢI PHÁP MUA HÀNG ƯU VIỆT TPS T4</t>
  </si>
  <si>
    <t>Thu tiền của Commune Sai Gon T4</t>
  </si>
  <si>
    <t>Thu tiền của Midway Cafe T4</t>
  </si>
  <si>
    <t>Trả lương nhân viên Nguyễn Vũ Nhật Minh -mad tt luong th4 lan 1</t>
  </si>
  <si>
    <t>Thu tiền của EVENT 2604 FUNK FACTORY</t>
  </si>
  <si>
    <t>Thu tiền của Hậu sale-HAU 12 LEMON</t>
  </si>
  <si>
    <t>Thu tiền của Crazy Duck=&gt; gia công Crazy Duck - Gift Chris</t>
  </si>
  <si>
    <t>Thu tiền của Choi Oi Noodle 25/4</t>
  </si>
  <si>
    <t>Chi tiền cho Nguyễn Vũ Nhật Minh-tien an le 30-4</t>
  </si>
  <si>
    <t>Bonus</t>
  </si>
  <si>
    <t>Trả lương nhân viên chú Hùng- mad tt luong lan 1 th4</t>
  </si>
  <si>
    <t>Trả lương nhân viên anh Thanh-mad tt luong lan 1 th4</t>
  </si>
  <si>
    <t>Trả lương nhân viên Hậu sale- mad tt luong lan 1 th4</t>
  </si>
  <si>
    <t>Trả lương nhân viên Hiếu Lê-mad tt luong lan 1 th4</t>
  </si>
  <si>
    <t>Chi tiền cho Hậu sale thuong le 30-4-1-5</t>
  </si>
  <si>
    <t>Chi tiền cho Hiếu Lê-thuong le 30-4-1-5</t>
  </si>
  <si>
    <t>Trả lương nhân viên Khôi GH - mad tt luong lan 1 th4</t>
  </si>
  <si>
    <t>Trả lương nhân viên anh Hiền đóng gói- mad tt luong lan 1 th4</t>
  </si>
  <si>
    <t>Trả lương nhân viên Chi Cao- mad tt luong th4 lan 1</t>
  </si>
  <si>
    <t>Trả lương nhân viên Ngọc-mad tt luong th4 lan 1</t>
  </si>
  <si>
    <t>Trả lương nhân viên Tiến - mad tt luong th4 lan 1</t>
  </si>
  <si>
    <t>Trả lương nhân viên Chi Cao</t>
  </si>
  <si>
    <t>Chi tiền cho chú Hùng mua heo quay, hoa cúc, trái cây cúng xưởng và phí ship Mơi DL</t>
  </si>
  <si>
    <t>Chi tiền cho Nguyễn Vũ Nhật Minh-hanh toan tien mua 15 ro nhua vang cho xuong</t>
  </si>
  <si>
    <t>Chi tiền cho Nguyễn Vũ Nhật Minh- thanh toan chi phi di lai cong tac hn Nhat Minh</t>
  </si>
  <si>
    <t>Chi tiền cho Nguyễn Vũ Nhật Minh-thuong le 30-4 - 1-5</t>
  </si>
  <si>
    <t>Chi tiền cho Ngọc- thuong le 30-4 - 1-5</t>
  </si>
  <si>
    <t>Chi tiền cho anh Tiến - thuong le 30-4 - 1-5</t>
  </si>
  <si>
    <t>Chi tiền cho Chú Hùng-thuong le 30-4 - 1-5</t>
  </si>
  <si>
    <t>Chi tiền cho Chi Cao- thuong le 30-4 - 1-5</t>
  </si>
  <si>
    <t>Chi tiền cho Khôi GH- thuong le 30-4 - 1-5</t>
  </si>
  <si>
    <t>Chi tiền cho anh Hiền đóng gói-thuong le 30-4 - 1-5</t>
  </si>
  <si>
    <t>Thu tiền của Hanoi Cider T3</t>
  </si>
  <si>
    <t>Thu tiền của CÔNG TY TNHH KITCHEN GOLD T3</t>
  </si>
  <si>
    <t>Thu tiền của Barefoot Beach Club Hoi An T3</t>
  </si>
  <si>
    <t>thanh toan hd so 1826 vc di ha noi ngay 02 th4</t>
  </si>
  <si>
    <t>Chi tiền cho Ricky-bussines trip expenses of Ricky at Hanoi</t>
  </si>
  <si>
    <t>Chi tiền cho anh Thanh trẩ phí ship King BD 24/4</t>
  </si>
  <si>
    <t>Thu tiền của Pizza Belga T3</t>
  </si>
  <si>
    <t>Thu tiền của Cambodia- Patrick- Order 26 April</t>
  </si>
  <si>
    <t>mad thanh toan phan con lai tien ao</t>
  </si>
  <si>
    <t>Trả tiền nhà cung cấp Khôi mua 27kg đường</t>
  </si>
  <si>
    <t>Thu tiền của 7 Bridges Saigon T3 - HD: 473,474-HA,DD</t>
  </si>
  <si>
    <t>Thu tiền của Loft SGN T3</t>
  </si>
  <si>
    <t>Thu tiền của CÔNG TY TNHH THƯƠNG MẠI VÀ DỊCH VỤ IRON WHEEL</t>
  </si>
  <si>
    <t>Trả tiền mua bảng đen shoppe</t>
  </si>
  <si>
    <t>Thu tiền của Naru  Fujino (a Hiếu ck 21/4/25)</t>
  </si>
  <si>
    <t>Thu tiền của Arch T3 (a Hiếu ck 21/4/25)</t>
  </si>
  <si>
    <t>Thu tiền của Pelo Pelo 17/4 (a Hiếu ck 21/4/25)</t>
  </si>
  <si>
    <t>Thu tiền của Sprortivo 15/4 (a Hiếu ck 21/4/25)</t>
  </si>
  <si>
    <t>Thu tiền của Hanoi Taco T3 (a Hiếu ck 21/4/25)</t>
  </si>
  <si>
    <t>Thu tiền của Minimart 17/4 (a Hiếu ck 21/4/25)</t>
  </si>
  <si>
    <t>Thu tiền của Hiếu Lê- Event Turtle Lake 19-20/4 (a Hiếu ck 21/04/25)</t>
  </si>
  <si>
    <t>Chi tiền cho Hiếu Lê giao hàng Ninh Bình+ sửa máy Belga+ Event HN 19/4 =&gt; cấn trừ a Hiếu ck 21/04/25</t>
  </si>
  <si>
    <t>thanh toan cno cho HMG đơn 6/3 lần 2</t>
  </si>
  <si>
    <t>Tnr tra pale 5 4</t>
  </si>
  <si>
    <t>Chi tiền cho Imperial Craft Bia=&gt; Gia công Imperial-  Fuzzy refund label to Imperial</t>
  </si>
  <si>
    <t>mad thanh toan cuoc vc di ha noi hđ 1589 ngay 22th3</t>
  </si>
  <si>
    <t>mad thanh toan cuoc vc hd 1534 đơn DN 20/3</t>
  </si>
  <si>
    <t>thanh toan cno HMG đơn 6/3 lần 1</t>
  </si>
  <si>
    <t>Chi tiền cho anh Tiến trả phí ship tiền mua sọt vàng đựng bia</t>
  </si>
  <si>
    <t>nộp tiền</t>
  </si>
  <si>
    <t>TT HOAN TRA TIEN THUE QUY 1.25 VA DICH VU T1.25 CUA NHA XUONG K14.KZN3 THEO THOA THUAN 3 BEN SO 004A.2025.BB.KZN 10.03.25 CHO CTY MAD CAO THI KIM CHI</t>
  </si>
  <si>
    <t>Mad Alchemists thanh toan phi gia han ban quyen Fuzzy</t>
  </si>
  <si>
    <t>mad thanh toan phi gia han ISo</t>
  </si>
  <si>
    <t>Chi tiền cho Ricky sale-Ricky hotel at Ha Noi</t>
  </si>
  <si>
    <t>Mad thanh toan tien thue xuong quy 2</t>
  </si>
  <si>
    <t>Thanh toán tiền thuế SCT tháng 2. - Payment of excise tax for February</t>
  </si>
  <si>
    <t>9.354.852</t>
  </si>
  <si>
    <t>Thanh toán tiền thuế SCT tháng 2 - Paying the excise tax for February</t>
  </si>
  <si>
    <t>22.615.863</t>
  </si>
  <si>
    <t>Chi tiền cho Nhân viên trả phí ship  ly nhựa, khăn trải bàn 17/4</t>
  </si>
  <si>
    <t>Phí ship nhận áo và nón 17/4</t>
  </si>
  <si>
    <t>Thu tiền của CÔNG TY CỔ PHẦN THƯƠNG MẠI VÀ DỊCH VỤ NEW HOPS T2</t>
  </si>
  <si>
    <t>Thu tiền của Tropical Home Craft Beer T3</t>
  </si>
  <si>
    <t>phi chuyen 81 keg tu hn vao long an ngay 2th4</t>
  </si>
  <si>
    <t>Trả phí ship 10 coupler và 14m ống bia</t>
  </si>
  <si>
    <t>Thu tiền của Top of the Loop T4</t>
  </si>
  <si>
    <t>Thu tiền của Mơi DaLat T3</t>
  </si>
  <si>
    <t>Mad Alchemists thanh toan phan con lai phi kiem toan 2024</t>
  </si>
  <si>
    <t>Chi tiền cho Nguyễn Vũ Nhật Minh-ad thanh toan chi phi tien ve va hotel ctac hn</t>
  </si>
  <si>
    <t>mad thanh toan tien con lai 2k label porter</t>
  </si>
  <si>
    <t>Chi tiền cho Ricky-mad thanh toan ve may bay Ricky di ha noi</t>
  </si>
  <si>
    <t>mad thanh toan 10 coupler va day ong bia</t>
  </si>
  <si>
    <t>Tnr tra lemon 29 3 va 2 4e</t>
  </si>
  <si>
    <t>Thu tiền của Saigon Hot Wings 12/4</t>
  </si>
  <si>
    <t>Chi tiền cho  Ricky sale-first quarter comission Ricky Da Nang</t>
  </si>
  <si>
    <t>Chi tiền cho Ricky sale- First quarter comission Ricky HCM</t>
  </si>
  <si>
    <t>Trả tiền nhà cung cấp Bottle Shop- Fuzzy thanh toan cong no thang 3 cho 3BM</t>
  </si>
  <si>
    <t>Chi tiền cho CÔNG TY TNHH KỸ THUẬT TÍN NHIỆM-mad thanh toan lan 2 tien Vale lo hoi</t>
  </si>
  <si>
    <t>Chi tiền cho anh Danh sale -mad thanh toan luong th3</t>
  </si>
  <si>
    <t>Chi tiền cho Nhân viên mua đồ cúng xưởng và phí ship Mini KT</t>
  </si>
  <si>
    <t>Chi tiền cho anh Thanh mua 30 thùng giấy (26k/ thùng)</t>
  </si>
  <si>
    <t>Thu tiền của Hạc Vi Vu - Coffee, Beer</t>
  </si>
  <si>
    <t>Thu tiền của CÔNG TY TNHH NHÀ HÀNG THIÊN AN T3</t>
  </si>
  <si>
    <t>Thu tiền của CÔNG TY TNHH DỊCH VỤ KINH DOANH HOÀN HẢO T3</t>
  </si>
  <si>
    <t>Thu tiền của CÔNG TY CỔ PHẦN ỤT ỤT - CHI NHÁNH BIACRAFT XUÂN THỦY T2</t>
  </si>
  <si>
    <t>Thu tiền của CÔNG TY CỔ PHẦN ỤT ỤT - CHI NHÁNH BIACRAFT LÊ NGÔ CÁT T2</t>
  </si>
  <si>
    <t>Thu tiền của CÔNG TY CỔ PHẦN ỤT ỤT - CHI NHÁNH BIACRAFT NGUYỄN ĐỨC CẢNH T2</t>
  </si>
  <si>
    <t>Thu tiền của CÔNG TY CỔ PHẦN ỤT ỤT Chi nhánh 300TS T2</t>
  </si>
  <si>
    <t>Chi tiền cho Hiếu Lê gửi hàng Ninh Bình và truy thu =&gt; Cấn trừ  (a Hiếu ck 10/04/25)</t>
  </si>
  <si>
    <t>mad thanh toan tien in ly 360 cai</t>
  </si>
  <si>
    <t>Thu tiền của Mose and Roo XD t3 và nợ cũ (a Hiếu ck 10/04/25)</t>
  </si>
  <si>
    <t>Thu tiền của Smoke house HBT t3 và đơn 12/4 (a Hiếu ck 10/04/25)</t>
  </si>
  <si>
    <t>Thu tiền của The Hide Out (a Hiếu ck 10/04/25)</t>
  </si>
  <si>
    <t>Thu tiền của The Snug T3  (a Hiếu ck 10/04/25)</t>
  </si>
  <si>
    <t>Thu tiền của Hops&amp;Chops T3  (a Hiếu ck 10/04/25)</t>
  </si>
  <si>
    <t>Thu tiền của Pluzzle  (a Hiếu ck 10/04/25)</t>
  </si>
  <si>
    <t>Thu tiền của Craftbeerbox  (a Hiếu ck 10/04/25)</t>
  </si>
  <si>
    <t>Thu tiền của The Noodle House - Signature T3</t>
  </si>
  <si>
    <t>Thu tiền của The Hoianian - wine bar &amp; restaurant T3</t>
  </si>
  <si>
    <t>Thu tiền của Big Bear Concepts 9/4</t>
  </si>
  <si>
    <t>Chi mua ngoài mua màng co, giấy A4,Ê</t>
  </si>
  <si>
    <t>dat coc 2k label porter</t>
  </si>
  <si>
    <t>Chi tiền cho Nhân viên  tiền hotline, bưu điện T3, phí ship cho mr Craft</t>
  </si>
  <si>
    <t>Truy thu Turtle lake TT T3/2024 2 lần (a Hiếu ck 10/4/25)</t>
  </si>
  <si>
    <t>Truy thu Minimart TT nhầm 2 lần (a Hiếu ck 10/4/25)</t>
  </si>
  <si>
    <t xml:space="preserve">	 Truy thu Trấu vỏ TT thừa (a Hiếu ck 10/4/25)</t>
  </si>
  <si>
    <t>Hoàn quỹ COD T03 2025</t>
  </si>
  <si>
    <t>Thu tiền của Choi Oi Noodle 8/4</t>
  </si>
  <si>
    <t>mad thanh toan 500kg chanh 2/9</t>
  </si>
  <si>
    <t>Chi tiền cho Hậu sale-thanh toan tien canh buom va Co bia  lanche</t>
  </si>
  <si>
    <t>Chi tiền cho Nhân viên mua nước rửa tay, nước giặt, túi rác, ship thư hỏa tốc cho chị Chi 9/4</t>
  </si>
  <si>
    <t>Thu tiền của Banana T3</t>
  </si>
  <si>
    <t>Thu tiền của Mini House - Kon Tum T3</t>
  </si>
  <si>
    <t>Thu tiền của Boosh Rooftop T3</t>
  </si>
  <si>
    <t>Thu tiền của A6 Garden T3</t>
  </si>
  <si>
    <t>Thu tiền của CÔNG TY CỔ PHẦN GIẢI PHÁP MUA HÀNG ƯU VIỆT TPS T3</t>
  </si>
  <si>
    <t>Thu tiền của Danang Rooftop Craft Beer T3</t>
  </si>
  <si>
    <t>Chi tiền cho  FARIZAN LEE- Fuzzy logic TPT Fest</t>
  </si>
  <si>
    <t>TM0712M dong bhxh th3</t>
  </si>
  <si>
    <t>Chi tiền cho anh Thanh trả phí ship King Grill</t>
  </si>
  <si>
    <t>Thu tiền của Cham Whiskey + Craft Beer  T3</t>
  </si>
  <si>
    <t>Tnr tra lemon 27 3</t>
  </si>
  <si>
    <t>Trả lương nhân viên Hậu sale T3</t>
  </si>
  <si>
    <t>Thu tiền của Crazy Duck=&gt; Gia công Crazy Duck- Apartment management fee Chris</t>
  </si>
  <si>
    <t>Thu tiền của Mixtape Drinks T3</t>
  </si>
  <si>
    <t>Thu tiền của anh Sang bảo trì 4/4</t>
  </si>
  <si>
    <t>Trả lương nhân viên Hiếu Lê T3</t>
  </si>
  <si>
    <t>Tiền đi ăn lễ Giỗ tổ Hùng Vương 4/4</t>
  </si>
  <si>
    <t>Chi tiền cho anh Thanh trả phí ship Mini KT</t>
  </si>
  <si>
    <t>Thu tiền của Ongbalo T3</t>
  </si>
  <si>
    <t>Thu tiền của SOMA T3</t>
  </si>
  <si>
    <t>Thu tiền của Mose and Roo XD T2 (a Hiếu ck 3/4/25)</t>
  </si>
  <si>
    <t>Thu tiền của Smoke house HBT T2  (a Hiếu ck 3/4/25)</t>
  </si>
  <si>
    <t>Thu tiền của Hops&amp;Chops T2  (a Hiếu ck 3/4/25)</t>
  </si>
  <si>
    <t>Thu tiền của Tây An Restaurant T2  (a Hiếu ck 3/4/25)</t>
  </si>
  <si>
    <t>Thu tiền của Đại Mạch T2  (a Hiếu ck 3/4/25)</t>
  </si>
  <si>
    <t>Thu tiền của Wecked Burger T2  (a Hiếu ck 3/4/25)</t>
  </si>
  <si>
    <t>Thu tiền của Sprortivo 29/3  (a Hiếu ck 3/4/25)</t>
  </si>
  <si>
    <t>Thu tiền của Kali T2  (a Hiếu ck 3/4/25)</t>
  </si>
  <si>
    <t>Thu tiền của Longwaits T3  (a Hiếu ck 3/4/25)</t>
  </si>
  <si>
    <t>Thu tiền của Ánh Bar T3  (a Hiếu ck 3/4/25)</t>
  </si>
  <si>
    <t>Thu tiền của Minimart 2/4  (a Hiếu ck 3/4/25)</t>
  </si>
  <si>
    <t>Thu tiền của Nhà hàng Chuồn Chuồn Bistro &amp; Bar T3</t>
  </si>
  <si>
    <t>Thu tiền của Chookies hideaway Ninh Binh T3</t>
  </si>
  <si>
    <t>Thu tiền của CÔNG TY TNHH RUINS- The Junkyard Nha Trang T3</t>
  </si>
  <si>
    <t>Trả lương nhân viên Chú Hùng T3 và tăng ca</t>
  </si>
  <si>
    <t>Trả lương nhân viên anh Thanh T3</t>
  </si>
  <si>
    <t>Trả lương nhân viên Ngọc T3</t>
  </si>
  <si>
    <t>Trả lương nhân viên Khôi GH T3 và tăng ca</t>
  </si>
  <si>
    <t>Trả lương nhân viên anh Hiền GH T3</t>
  </si>
  <si>
    <t>Trả lương nhân viên anh Tiến - mad ho tro thang 3</t>
  </si>
  <si>
    <t>Mad thanh toan phi dich vu th3</t>
  </si>
  <si>
    <t>Trả lương nhân viên Nguyễn Vũ Nhật Minh T3</t>
  </si>
  <si>
    <t>Chi tiền cho Hiếu Lê trả phí gửi hàng  Hà Giang và thu vỏ keg Ninh Bình =&gt; Cấn trừ TM a Hiếu ck 3/4/25)</t>
  </si>
  <si>
    <t>Trả lương nhân viên Chi Cao T3</t>
  </si>
  <si>
    <t>Thanh toán phí mua chứng từ khấu trừ thuế thu nhập cá nhân - Payment of fees for purchasing personal income tax deduction documents</t>
  </si>
  <si>
    <t>Trả lương nhân viên Ricky sale T3</t>
  </si>
  <si>
    <t>Thu tiền của Bên Sông Craft Beer T3</t>
  </si>
  <si>
    <t>Thu tiền của DuSam Dalat T3</t>
  </si>
  <si>
    <t>Thu tiền của Adobo Mexican Grill T3</t>
  </si>
  <si>
    <t>Thu tiền của Commune Sai Gon T3</t>
  </si>
  <si>
    <t>Thu tiền của King Grill Bình Dương T3</t>
  </si>
  <si>
    <t>Thu tiền của Gringo Taco 28/3</t>
  </si>
  <si>
    <t>mad thanh toan hoa don vc so 1307 đơn HN ngày 8/3</t>
  </si>
  <si>
    <t>Trả tiền nhà cung cấp CÔNG TY TNHH CÔNG NGHỆ DỆT MAY BAMBOO-mad dat coc don hang ao dong phuc</t>
  </si>
  <si>
    <t>Chi tiền cho Hậu sale - mad chuyen tien sticker blanche</t>
  </si>
  <si>
    <t>mad thanb toan hd vc so 1240 đơn DN ngày 6/3</t>
  </si>
  <si>
    <t>Trả tiền nhà cung cấp CÔNG TY TNHH THƯƠNG MẠI VÀ VẬN TẢI THÁI TÂN đơn 31/3- HĐ 2407</t>
  </si>
  <si>
    <t>Chi tiền cho Nhân viên mua đồ cúng xưởng 31/3 + mua khăn + phí shp kiểm toán 31/3</t>
  </si>
  <si>
    <t>Thu tiền của Kiki Coconut Beach Resort T3</t>
  </si>
  <si>
    <t>Thu tiền của Cambodia- Patrick-CK NGUOI GUI DAVENPORT  MICHAEL</t>
  </si>
  <si>
    <t>Tnr tra bill 14 3 va 19 3</t>
  </si>
  <si>
    <t>Mad thanh toan tien nhan lần 2 - label Lager, Hop Baby, Blanche</t>
  </si>
  <si>
    <t>Thu tiền của Hem Chill 26/3</t>
  </si>
  <si>
    <t>Thu tiền của Khói Craft &amp; Brew HCM 26/3</t>
  </si>
  <si>
    <t>mad chuyen 360ly</t>
  </si>
  <si>
    <t>mad thanh toan nhan 10dogs</t>
  </si>
  <si>
    <t>Chi tiền cho Nhân viên thu keg rỗng DN + phí ship+ hotline T2</t>
  </si>
  <si>
    <t>Thu tiền của Pelo Pelo 11/3 và 21/3 (a Hiếu ck 26/3/25)</t>
  </si>
  <si>
    <t>Thu tiền của Sprortivo 11/2 (a Hiếu ck 26/3/25)</t>
  </si>
  <si>
    <t>Thu tiền của NYC Pizza (a Hiếu ck 26/3/25)</t>
  </si>
  <si>
    <t>Thu tiền của Arch T8 (a Hiếu ck 26/3/25)</t>
  </si>
  <si>
    <t>Thu tiền của Pizza Belga T2 (a Hiếu ck 26/3/25)</t>
  </si>
  <si>
    <t>Thu tiền của H- Pub 24/3</t>
  </si>
  <si>
    <t>Thu tiền của Banana T2</t>
  </si>
  <si>
    <t>mad thanh toan tien thay may bom nuoc glycol</t>
  </si>
  <si>
    <t>Chi tiền cho Hiếu Lê gửi hàng Ninh Bình 19/3 và 26/3=&gt; Cấn trừ (a Hiếu ck 26/3/25)</t>
  </si>
  <si>
    <t>Phí thu hộ thư của DHL của chị Chi gửi vào 26/3</t>
  </si>
  <si>
    <t>Thu tiền của Craftbeerbox -The box tt cong no thieu.</t>
  </si>
  <si>
    <t>Chi tiền cho Phuong Tran Warehouse-mad thanh toan cuoc vc 3keg di nha trang</t>
  </si>
  <si>
    <t>Mad chuyen khoan 50 phi kiem toan nam 2025</t>
  </si>
  <si>
    <t>Konoike den 3 lon John bi xi bia</t>
  </si>
  <si>
    <t>Thanh toán lần 1 sữa chữa thay valve lò hơi</t>
  </si>
  <si>
    <t>Thu tiền của Chookies hideaway Ninh Binh T2</t>
  </si>
  <si>
    <t>Thu tiền của Crazy Duck- Gia công Crazy Duck -Tuition fee Chris Gloor</t>
  </si>
  <si>
    <t>thanh toan thue nhap khau so van don</t>
  </si>
  <si>
    <t>Mua băng keo, văn phòng phẩm 21/3</t>
  </si>
  <si>
    <t>Thu tiền của Imperial Craft Bia=&gt; Gia công Imperial -Down Under Hoppy Pilsner brewery shipping</t>
  </si>
  <si>
    <t>Thu tiền của CÔNG TY TNHH THƯƠNG MẠI DỊCH VỤ NÔNG TRẠI KHOAI 15/3</t>
  </si>
  <si>
    <t>Thu tiền của 7 Bridges Saigon- HD: 42,45 - HA and DD</t>
  </si>
  <si>
    <t>Thu tiền của 7 Bridges Saigon- seven bridges tt bia t12 2024 hd 19 5</t>
  </si>
  <si>
    <t>Thu tiền của Funk Factocry T2</t>
  </si>
  <si>
    <t>Trả tiền nhà cung cấp Anh Nhựt chạy xe tải T2 T3</t>
  </si>
  <si>
    <t>mad tt 500kg chanh 12/3</t>
  </si>
  <si>
    <t>Thu tiền của CÔNG TY TNHH THƯƠNG MẠI VÀ DỊCH VỤ IRON WHEEL T1</t>
  </si>
  <si>
    <t>Thu tiền của Imperial Craft Bia=&gt; Gia công Imperial - Hoppy Pilsner me 2 final handover</t>
  </si>
  <si>
    <t>Thu tiền của Mini House - Kon Tum</t>
  </si>
  <si>
    <t>Chi tiền cho Chi Cao- mad thanh toan tien mua zoan cao su may dong lon</t>
  </si>
  <si>
    <t>Mad chuyen khoan dat coc don hang cho in Hiep Phuoc lần 1- label Lager, Hop Baby, Blanche</t>
  </si>
  <si>
    <t>Thu tiền của Bia Thủ Công Torro 143</t>
  </si>
  <si>
    <t>Tnr tra pale 24 2 lemon 7 3 pale 10 3</t>
  </si>
  <si>
    <t>LAYLOW PHU QUOC PHI SHIP CHANH</t>
  </si>
  <si>
    <t>Thu tiền của Gordon's Pizza Da Nang</t>
  </si>
  <si>
    <t>Chi tiền cho Hậu sale- mad tt comis hau nam 24</t>
  </si>
  <si>
    <t>mad thanh toan mua nvl Qua Vanilla nau bia</t>
  </si>
  <si>
    <t>Thu tiền của Imperial Craft Bia- gia công Imperial - phi vc Dragon Hunter ra Hoi An</t>
  </si>
  <si>
    <t>Thu tiền của CÔNG TY CỔ PHẦN ỤT ỤT - CHI NHÁNH BIACRAFT XUÂN THỦY T1</t>
  </si>
  <si>
    <t>Thu tiền của CÔNG TY CỔ PHẦN ỤT ỤT - CHI NHÁNH BIACRAFT LÊ NGÔ CÁT T1/2025</t>
  </si>
  <si>
    <t>Thu tiền của CÔNG TY CỔ PHẦN ỤT ỤT Chi nhánh 300TS T1/2025</t>
  </si>
  <si>
    <t>Thu tiền của CÔNG TY CỔ PHẦN ỤT ỤT - CHI NHÁNH BIACRAFT NGUYỄN ĐỨC CẢNH T1/2025</t>
  </si>
  <si>
    <t>phi vc Dragon Hunter ra Hoi An HĐ 935 ngày 21/2</t>
  </si>
  <si>
    <t>Chi tiền cho Nhân viên mua đồ cúng xưởng + phí ship nhận dấu mộc</t>
  </si>
  <si>
    <t>TM0712M dong bhxh th2</t>
  </si>
  <si>
    <t>Thu tiền của Nhà hàng Chuồn Chuồn Bistro &amp; Bar T11</t>
  </si>
  <si>
    <t>Chi tiền cho Nguyễn Vũ Nhật Minh mua kiện hàng Rượu Bourbon Whisky- Jack Daniel's chai 700ml</t>
  </si>
  <si>
    <t>mad tt label 10dogs</t>
  </si>
  <si>
    <t>Thu tiền của Arch T1 + T2 (a Hiếu ck 12/3/25)</t>
  </si>
  <si>
    <t>Thu tiền của Kali T1  (a Hiếu ck 12/3/25)</t>
  </si>
  <si>
    <t>Thu tiền của Pizza Belga  T1 (a Hiếu ck 12/3/25)</t>
  </si>
  <si>
    <t>Thu tiền của Longwaits T2+ T3  (a Hiếu ck 12/3/25)</t>
  </si>
  <si>
    <t>Thu tiền của NYC Pizza 7/3  (a Hiếu ck 12/3/25)</t>
  </si>
  <si>
    <t>Thu tiền của The Snug T2  (a Hiếu ck 12/3/25)</t>
  </si>
  <si>
    <t>Thu tiền của Minimart 10/3  (a Hiếu ck 12/3/25)</t>
  </si>
  <si>
    <t>Thu tiền của The Hide Out T2  (a Hiếu ck 12/3/25)</t>
  </si>
  <si>
    <t>Giao hàng Nình Bình 11/3  (a Hiếu ck 12/3/25)</t>
  </si>
  <si>
    <t>Trả lương nhân viên Hiếu Lê T2</t>
  </si>
  <si>
    <t>mad tt 300lit ethanol</t>
  </si>
  <si>
    <t>chuyen cong no HMG hd so 60 lần 2 ngày 6/2</t>
  </si>
  <si>
    <t>Trả tiền nhà cung cấp CÔNG TY XĂNG DẦU LONG AN- 400L dầu</t>
  </si>
  <si>
    <t>Thu tiền của CÔNG TY TNHH DỊCH VỤ KINH DOANH HOÀN HẢO T2</t>
  </si>
  <si>
    <t>Thu tiền của CÔNG TY TNHH NHÀ HÀNG THIÊN AN T2</t>
  </si>
  <si>
    <t>mad thanh toan hd so 749 đơn HN 8/2</t>
  </si>
  <si>
    <t>Rút tiền mặt</t>
  </si>
  <si>
    <t>Bán 15 100 USD chuyển vào TK thanh toán tỷ giá 25.355</t>
  </si>
  <si>
    <t>Tnr tra lenob 15 2 va 22 2</t>
  </si>
  <si>
    <t>Thu tiền của King Grill Bình Dương T2</t>
  </si>
  <si>
    <t>Thu tiền của CÔNG TY TNHH COOLABAH bill 12-2</t>
  </si>
  <si>
    <t>Thu tiền của Tropical Home Craft Beer T2</t>
  </si>
  <si>
    <t>Thu tiền của Quán SAAY T2</t>
  </si>
  <si>
    <t>Thu tiền của The Hoianian - wine bar &amp; restaurant T2</t>
  </si>
  <si>
    <t>Thu tiền của Steerman taproom PALE ALE BEER 8/1</t>
  </si>
  <si>
    <t>Thu tiền của Bistro KAZ Đà Nẵng bill 27/12/2024</t>
  </si>
  <si>
    <t>Jimmys tt Fuzzy Logic HD7 ngay 16.1.25 va HD21 ngay 24.1.25</t>
  </si>
  <si>
    <t>Thu tiền của Craftbeerbox T2</t>
  </si>
  <si>
    <t>Mad chuyen khoan Kizuna</t>
  </si>
  <si>
    <t>Trả lương nhân viên anh Danh T2</t>
  </si>
  <si>
    <t>Trả lương nhân viên Chi Cao T2</t>
  </si>
  <si>
    <t>Trả lương nhân viên Ricky sale T2</t>
  </si>
  <si>
    <t>Chuyen cong no HMG hd so 60 lần 1 ngày 6/2</t>
  </si>
  <si>
    <t>Thu tiền của Mơi DaLat T2</t>
  </si>
  <si>
    <t>Thu tiền của Loft SGN T2</t>
  </si>
  <si>
    <t>Thu tiền của Hana Beer T3</t>
  </si>
  <si>
    <t>Thu tiền của CÔNG TY TNHH RUINS- The Junkyard Nha Trang T2</t>
  </si>
  <si>
    <t>Thu tiền của Boosh Rooftop T2</t>
  </si>
  <si>
    <t>Thu tiền của A6 Garden T2</t>
  </si>
  <si>
    <t>mad thanh toan 400kg duong</t>
  </si>
  <si>
    <t>Trả lương nhân viên Hậu sale T2</t>
  </si>
  <si>
    <t>Mad thanh toan NVL Thai Tan đơn 6/3</t>
  </si>
  <si>
    <t>Mad thanh toan phi dich vu th2</t>
  </si>
  <si>
    <t>Mad ck phi dich vu T1,2</t>
  </si>
  <si>
    <t>Hoàn quỹ COD T2 2025</t>
  </si>
  <si>
    <t>Thu tiền của Bên Sông Craft Beer T2</t>
  </si>
  <si>
    <t>Thu tiền của CÔNG TY CỔ PHẦN THƯƠNG MẠI VÀ DỊCH VỤ NEW HOPS T1</t>
  </si>
  <si>
    <t>mad dat coc label Ten dogs</t>
  </si>
  <si>
    <t>Trả lương nhân viên Tiến T2</t>
  </si>
  <si>
    <t>Trả lương nhân viên Khôi GH T2</t>
  </si>
  <si>
    <t>Trả lương nhân viên Hiền GH T2</t>
  </si>
  <si>
    <t>Trả lương nhân viên anh Thanh T2</t>
  </si>
  <si>
    <t>Thu tiền của The Snug T1 (a Hiếu ck 4/3/25)</t>
  </si>
  <si>
    <t>Thu tiền của Minimart 22 T2 (a Hiếu ck 4/3/25)</t>
  </si>
  <si>
    <t>Thu tiền của Ánh Bar T2 (a Hiếu ck 4/3/25)</t>
  </si>
  <si>
    <t>Thu tiền của Pluzzle  (a Hiếu ck 4/3/25)</t>
  </si>
  <si>
    <t>Thu tiền của Sprortivo (a Hiếu ck 4/3/25)</t>
  </si>
  <si>
    <t>Thu tiền của Đại Mạch T1  (a Hiếu ck 4/3/25)</t>
  </si>
  <si>
    <t>Thu tiền của Par Lane Mini Goft  (a Hiếu ck 4/3/25)</t>
  </si>
  <si>
    <t>Thu tiền của Hem Chill 3/3</t>
  </si>
  <si>
    <t>mad thanh toan phan con lai tien in label</t>
  </si>
  <si>
    <t>thanh toán phí lưu kho DHL bột vỏ cam - payment of DHL storage fee for orange peel</t>
  </si>
  <si>
    <t>Trả lương nhân viên chú Hùng-mad thanh toan luong thw2</t>
  </si>
  <si>
    <t>Trả lương nhân viên Ngọc-mad thanh toan luong th 2</t>
  </si>
  <si>
    <t>Chi tiền cho Hiếu Lê- gửi hàng Ninh Bình và thu keg rỗng (a Hiếu ck 4/3/25)</t>
  </si>
  <si>
    <t>Trả tiền nhà cung cấp CÔNG TY CỔ PHẦN KIZUNA JV</t>
  </si>
  <si>
    <t>Chi tiền cho Nhân viên trả phí ship + phí thu keg rỗng + mua dây ràng</t>
  </si>
  <si>
    <t>Thu tiền của Dreibar Craftbeer &amp; Cocktail T1</t>
  </si>
  <si>
    <t>Thu tiền của Mini House - Kon Tum T2</t>
  </si>
  <si>
    <t>Thu tiền của Mini House - Kon Tum- phí thu 4 keg rỗng</t>
  </si>
  <si>
    <t>Thu tiền của CÔNG TY CỔ PHẦN GIẢI PHÁP MUA HÀNG ƯU VIỆT TPS T1 + T2</t>
  </si>
  <si>
    <t>Thu tiền của DuSam Dalat T2</t>
  </si>
  <si>
    <t>Thu tiền của Commune Sai Gon T2</t>
  </si>
  <si>
    <t>Thu tiền của Craftbeerbox T1</t>
  </si>
  <si>
    <t>Chi tiền  mua mực máy in, vpp + đồ cúng xưởng+ phí ship+ phí thu keg rỗng</t>
  </si>
  <si>
    <t>Thu tiền của Stroll In Da Nang T2</t>
  </si>
  <si>
    <t>Thu tiền của Imperial Craft Bia T2</t>
  </si>
  <si>
    <t>Chi tiền cho Chi Cao- Chi phí công tác</t>
  </si>
  <si>
    <t>Chi tiền cho Chi Cao-Chi phí công tác</t>
  </si>
  <si>
    <t>Chi tiền cho  CONG TY TNHH TRAVELOKA VIET NAM- thanh toan doi ve-Chi phí công tác</t>
  </si>
  <si>
    <t>Phí ship giấy tờ ngân hàng</t>
  </si>
  <si>
    <t>Chi tiền cho Chi Cao chuyen tien taxxi-Chi phí công tác</t>
  </si>
  <si>
    <t>Chi tiền cho SOUTHERN AIRPORTS SERVICES JSC</t>
  </si>
  <si>
    <t>Chi tiền cho Chi CaoChi phí công tác</t>
  </si>
  <si>
    <t>Chi tiền cho Nhân viên ăn uống ở Hương Đồng</t>
  </si>
  <si>
    <t>Chi tiền mua trấu + túi lọc trà</t>
  </si>
  <si>
    <t>Trả tiền nhà cung cấp anh Thanh mua ngò</t>
  </si>
  <si>
    <t>Thu tiền của CÔNG TY TNHH KITCHEN GOLD T2</t>
  </si>
  <si>
    <t>Thu tiền của Union Jack 25/2</t>
  </si>
  <si>
    <t>mad tt phi chuyen 15keg tu nha trang ve K14 ngay 22th1</t>
  </si>
  <si>
    <t>mad tt phi chuyen 81keg tu hn vao k14 ngay 17th2</t>
  </si>
  <si>
    <t>Chi tiền cho CONG TY TNHH TRAVELOKA VIET NAM-tt ma dat cho 1231538406</t>
  </si>
  <si>
    <t>tt hoa don so 785 cho van phat- CO2 và Oxy</t>
  </si>
  <si>
    <t>tt hoa don nvl so 86 ngày 25/2 cho HMG</t>
  </si>
  <si>
    <t>Chi tiền phí ship Mơi DL + King BD</t>
  </si>
  <si>
    <t>Thu tiền của Bottle Shop T1</t>
  </si>
  <si>
    <t>Thu tiền của Standing bar T1</t>
  </si>
  <si>
    <t>Thu tiền của Gringo Taco 24/2</t>
  </si>
  <si>
    <t>Thu tiền của CÔNG TY TNHH THƯƠNG MẠI DỊCH VỤ NÔNG TRẠI KHOAI 15/2</t>
  </si>
  <si>
    <t>thanh toan tien duong</t>
  </si>
  <si>
    <t>mad thanh toan don hang ngay 25th2</t>
  </si>
  <si>
    <t>Chi tiền cho CÔNG TY TNHH PHƯỚC LONG 247- Mua 20 bình nước suối Satori</t>
  </si>
  <si>
    <t>Chi tiền cho anh Thanh mua sơn + thu keg rỗng+ phí ship</t>
  </si>
  <si>
    <t>Thu tiền của Choi Oi Noodle 20/2</t>
  </si>
  <si>
    <t>Thu tiền của Midway Cafe 21/2</t>
  </si>
  <si>
    <t>Thu tiền của King Grill Bình Dương</t>
  </si>
  <si>
    <t>Thu tiền của NEO</t>
  </si>
  <si>
    <t>Pale 10 2 lemon 11 2</t>
  </si>
  <si>
    <t>Chi tiền cho Ricky- mad thanh toan comis nam 2024</t>
  </si>
  <si>
    <t>Phí ship Mini KT 21/2</t>
  </si>
  <si>
    <t>Chi tiền cho CÔNG TY TNHH KỸ THUẬT TÍN NHIỆM-mad thanh toan lan 2 tien may bom</t>
  </si>
  <si>
    <t>mad thanh toan lan 2 tien bao tri lo hoi cty tin nhiem</t>
  </si>
  <si>
    <t>Tnr tra bill 18 1 pale lemon 23 1 pale</t>
  </si>
  <si>
    <t>Thu tiền của Imperial Craft Bia=&gt; Gia công Imperial -coc tien me lon Down Under Hoppy Pilsner</t>
  </si>
  <si>
    <t>Thu tiền của Imperial Craft Bia=&gt; Gia công Imperial-coc tien me lon Down Under Hoppy Pilsner</t>
  </si>
  <si>
    <t>Thu tiền của Imperial Craft Bia=&gt; Gia công Imperial -phi vc gui bia ra Nha Trang</t>
  </si>
  <si>
    <t>Thu tiền của Bistro KAZ Đà Nẵng  bill 05/02/2025</t>
  </si>
  <si>
    <t>Trả lương nhân viên anh Thanh- luong th1 lan 2</t>
  </si>
  <si>
    <t>Thu tiền của Imperial Craft Bia=&gt; Gia công Imperial - chi phi ship bia</t>
  </si>
  <si>
    <t>Thu tiền của 7 Bridges Saigon-in Jan - HD: 18,19 - TRHA va DD</t>
  </si>
  <si>
    <t>thanh toan ho phi dich vu thang 1</t>
  </si>
  <si>
    <t>mad thanh toan tien vc hd 470 ngay 20th1</t>
  </si>
  <si>
    <t>23.387.108</t>
  </si>
  <si>
    <t>Thu tiền của Sip Bar - Phu Quoc T1</t>
  </si>
  <si>
    <t>Thu tiền của NEO 2 keg Lemon</t>
  </si>
  <si>
    <t>Thu tiền của Imperial Craft Bia=&gt; Gia công Imperial- Dragon Hunter IPA big batch</t>
  </si>
  <si>
    <t>Thu tiền của Chấu Vỏ (a Hiếu ck 18/02/25)</t>
  </si>
  <si>
    <t>Thu tiền của Pelo Pelo (a Hiếu ck 18/02/25)</t>
  </si>
  <si>
    <t>Thu tiền của Charlie (a Hiếu ck 18/02/25)</t>
  </si>
  <si>
    <t>Thu tiền của The Hide Out T1 (a Hiếu ck 18/02/25)</t>
  </si>
  <si>
    <t>Chi tiền phí ship hàng và phí thu vỏ Ninh Bình</t>
  </si>
  <si>
    <t>mad thanh toan tien in label chanh va thunder</t>
  </si>
  <si>
    <t>Thu tiền của Hoppy Daze Bar T1</t>
  </si>
  <si>
    <t>Thu tiền của CÔNG TY CỔ PHẦN ỤT ỤT - CHI NHÁNH BIACRAFT XUÂN THỦY T11 + T12</t>
  </si>
  <si>
    <t>Thu tiền của CÔNG TY CỔ PHẦN ỤT ỤT Chi nhánh 300TS T11+ T12</t>
  </si>
  <si>
    <t>Thu tiền của CÔNG TY CỔ PHẦN ỤT ỤT - CHI NHÁNH BIACRAFT LÊ NGÔ CÁT T11+ T12</t>
  </si>
  <si>
    <t>Thu tiền của CÔNG TY CỔ PHẦN ỤT ỤT - CHI NHÁNH BIACRAFT NGUYỄN ĐỨC CẢNH T11+ T12</t>
  </si>
  <si>
    <t>Thu tiền của CÔNG TY CỔ PHẦN ỤT ỤT - CHI NHÁNH 47XT T11+T12</t>
  </si>
  <si>
    <t>Trả lương nhân viên anh Danh sale -mad thanh toan lan 2</t>
  </si>
  <si>
    <t>Thu tiền của The Noodle House - Signature T1</t>
  </si>
  <si>
    <t>chuyen don hang hoa chat NCL</t>
  </si>
  <si>
    <t>Thu tiền của Kiki Coconut Beach Resort T1</t>
  </si>
  <si>
    <t>Chi tiền cho TO THANH TAM- Công ty Tín Nhiệm- mad chuyen dat coc tien bom ap</t>
  </si>
  <si>
    <t>Trả tiền nhà cung cấp CÔNG TY CỔ PHẦN KIZUNA JV-mad alchemists thanh toan lan 1 tien thue xuong quy1 25</t>
  </si>
  <si>
    <t>mad thanh toan don hang Thai Tan 13th2</t>
  </si>
  <si>
    <t>Đóng thuế nhập khẩu và VAT cho lô hàng bột vỏ cam. - Pay import duties and VAT on the shipment of orange peel powder.</t>
  </si>
  <si>
    <t>4.704.375</t>
  </si>
  <si>
    <t>1.630.850</t>
  </si>
  <si>
    <t>Phí thông quan lô hàng bột vỏ cam - Customs clearance fee for the batch of orange peel powder</t>
  </si>
  <si>
    <t>Chi tiền phí ship cho Bách Việt + cục sạc</t>
  </si>
  <si>
    <t>Trả tiền nhà cung cấp CÔNG TY XĂNG DẦU LONG AN</t>
  </si>
  <si>
    <t>Thu tiền của CÔNG TY TNHH NHÀ HÀNG THIÊN AN T1</t>
  </si>
  <si>
    <t>Thu tiền của Charlie (a Hiếu ck 12/02/25)</t>
  </si>
  <si>
    <t>Thu tiền của Kali (a Hiếu ck 12/02/25)</t>
  </si>
  <si>
    <t>Thu tiền của Minimart 23/1  (a Hiếu ck 12/02/25)</t>
  </si>
  <si>
    <t>Thu tiền của Banana Mr Nhất NB  (a Hiếu ck 12/02/25)</t>
  </si>
  <si>
    <t>Thu tiền của Sprortivo 22/1  (a Hiếu ck 12/02/25)</t>
  </si>
  <si>
    <t>Thu tiền của NYC Pizza  (a Hiếu ck 12/02/25)</t>
  </si>
  <si>
    <t>Thu tiền của Pelo Pelo  (a Hiếu ck 12/02/25)</t>
  </si>
  <si>
    <t>Thu tiền của Smoke house HBT T1  (a Hiếu ck 12/02/25)</t>
  </si>
  <si>
    <t>Thu tiền của Mose and Roo XD T1  (a Hiếu ck 12/02/25)</t>
  </si>
  <si>
    <t>Thu tiền của Hops&amp;Chops T1  (a Hiếu ck 12/02/25)</t>
  </si>
  <si>
    <t>Thu tiền của Section 30 Da Nang</t>
  </si>
  <si>
    <t>Chi tiền cho Hiếu Lê- Gửi hàng Ninh Bình 05-06 T2</t>
  </si>
  <si>
    <t>Tiền hotline + bưu điện + phí ship + đồ cúng xưởng</t>
  </si>
  <si>
    <t>Thu tiền của Mơi DaLat T1</t>
  </si>
  <si>
    <t>Thu tiền của Danang Rooftop Craft Beer T1</t>
  </si>
  <si>
    <t>Thu tiền của CÔNG TY CỔ PHẦN THƯƠNG MẠI VÀ DỊCH VỤ NEW HOPS T12/24</t>
  </si>
  <si>
    <t>mad thanh toan phi bao hanh hd lo hoi cty Tin nhiem</t>
  </si>
  <si>
    <t>mad chuyen dat coc bao tri lo hoi cho tin nhiem</t>
  </si>
  <si>
    <t>Trả lương nhân viên chú Hùng -mad thanh toan luong lan 2 th1</t>
  </si>
  <si>
    <t>Trả lương nhân viên Khôi GH- mad thanh toan luong lan 2 th1</t>
  </si>
  <si>
    <t>Trả lương nhân viên Ngọc-mad thanh toan luong lan 2 th1</t>
  </si>
  <si>
    <t>Trả lương nhân viên Hiếu Lê- mad thanh toan luong lan 2 th1</t>
  </si>
  <si>
    <t>Trả lương nhân viên Tiến- mad thanh toan luong lan 2 th1</t>
  </si>
  <si>
    <t>Thu tiền của CÔNG TY TNHH DỊCH VỤ KINH DOANH HOÀN HẢO T1</t>
  </si>
  <si>
    <t>Tnr tra 2 leomon 23 1</t>
  </si>
  <si>
    <t>Thu tiền của A6 Garden T1</t>
  </si>
  <si>
    <t>Thu tiền của Commune Sai Gon T1</t>
  </si>
  <si>
    <t>Thu tiền của The Hoianian - wine bar &amp; restaurant T1</t>
  </si>
  <si>
    <t>Thu tiền của Pi Boutique Đà Lạt T1</t>
  </si>
  <si>
    <t>Thu tiền của SOMA T1</t>
  </si>
  <si>
    <t>mad Alchemist thanh toán phí dịch vụ hải quan cho lô hàng Bột vỏ cam. - mad Alchemist settles the customs duty for the shipment of Orange Peel Powder.</t>
  </si>
  <si>
    <t>Thu tiền của Banana T1</t>
  </si>
  <si>
    <t>mad thanh toan hd so 293 đơn HN NT ngày 11/1</t>
  </si>
  <si>
    <t>Thu tiền của Chookies hideaway Ninh Binh T12 và T1/25</t>
  </si>
  <si>
    <t>Thu tiền của Ongbalo T1</t>
  </si>
  <si>
    <t>Thu tiền của Khách Hằng</t>
  </si>
  <si>
    <t>Thu tiền của RESHAPE SAIGON T1</t>
  </si>
  <si>
    <t>Thu tiền của Indika Sai Gon</t>
  </si>
  <si>
    <t>Thu tiền của Midway Cafe T1</t>
  </si>
  <si>
    <t>Thu tiền của DuSam Dalat T1</t>
  </si>
  <si>
    <t>Thu tiền của Mixtape Drinks T1 lần 1</t>
  </si>
  <si>
    <t>Thu tiền của Mixtape Drinks T1 lần 2</t>
  </si>
  <si>
    <t>Trả lương nhân viên Ricky- Jan Ricky salary 2nd</t>
  </si>
  <si>
    <t>Chi tiền cho Ricky- Ricky commision 2024</t>
  </si>
  <si>
    <t>Trả lương nhân viên Chi Cao- Jan salary 2nd</t>
  </si>
  <si>
    <t>Trả lương nhân viên Hậu sale- Jan salary Hau 2nd</t>
  </si>
  <si>
    <t>Thu tiền của Quán SAAY T1 phần còn lại</t>
  </si>
  <si>
    <t>Thu tiền của Choi Oi Noodle 20/1</t>
  </si>
  <si>
    <t>Thu tiền của Saigon Hot Wings 3/2</t>
  </si>
  <si>
    <t>Chi tiền cho anh Thanh chi phí ship và phí thu keg rỗng</t>
  </si>
  <si>
    <t>Thu hoàn ứng của Ricky- GINIS RICHARD Transfers TAX PAYMENT SERVICE</t>
  </si>
  <si>
    <t>nt</t>
  </si>
  <si>
    <t>Thu tiền của Soul Pizza &amp; Burger T1</t>
  </si>
  <si>
    <t>Thu tiền của Boosh Rooftop T1</t>
  </si>
  <si>
    <t>Thu tiền của CÔNG TY TNHH RUINS- The Junkyard Nha Trang T1</t>
  </si>
  <si>
    <t>Chi tiền cho CT TNHH TU VAN TINLAW- BG 031389 - Phí làm Visa cho Gus</t>
  </si>
  <si>
    <t>Thu tiền của anh Tiến  Fuzzy- HUYNH MINH TIEN THANH TOAN TIEN BIA</t>
  </si>
  <si>
    <t>Car purchase Chris=&gt; Gia công Crazy Duck</t>
  </si>
  <si>
    <t>Thu tiền của Imperial Craft BiaT1/25</t>
  </si>
  <si>
    <t>Thu tiền của Hậu sale</t>
  </si>
  <si>
    <t>Thu tiền của Choi Oi Noodle 23/12</t>
  </si>
  <si>
    <t>Mua đồ cúng khai trưởng xưởng 3/2</t>
  </si>
  <si>
    <t>Thu tiền của TnR- Lemon 21 1</t>
  </si>
  <si>
    <t>Chi tiền cho Ricky- tet bonus</t>
  </si>
  <si>
    <t>Chi tiền cho anh Thanh- tet bonus</t>
  </si>
  <si>
    <t>Thu tiền của Tiến-tet bonus</t>
  </si>
  <si>
    <t>Thu tiền của Hanoi Cider</t>
  </si>
  <si>
    <t>Thu tiền của CÔNG TY TNHH KITCHEN GOLD</t>
  </si>
  <si>
    <t>Thu lãi đầu tư tài chính của Ngân hàng Techcombank T1</t>
  </si>
  <si>
    <t>mad thanh toan phi bao tri Glycol vaf kho lanh</t>
  </si>
  <si>
    <t>Trả lương nhân viên anh Danh sale -  mad thanh toan luong lan 1 th01</t>
  </si>
  <si>
    <t>Trả lương nhân viên anh Thanh-  mad thanh toan luong lan 1 th01</t>
  </si>
  <si>
    <t>mad thanh toan cong no vc th12</t>
  </si>
  <si>
    <t>Chi tiền cho Hậu sale - tet bonus</t>
  </si>
  <si>
    <t>Chi tiền cho Hiếu Lê - mad ck tet bonus</t>
  </si>
  <si>
    <t>mad thanh toan hoa don NVL so 04</t>
  </si>
  <si>
    <t>16.400.000</t>
  </si>
  <si>
    <t>Hoàn quỹ COD T1/2025</t>
  </si>
  <si>
    <t>The Bottle Shop TT cong no thang 12.2024 cho Fuzzy</t>
  </si>
  <si>
    <t>Standing Bar TT cong no thang 12.2024 cho Fuzzy</t>
  </si>
  <si>
    <t>Chi tiền cho Tiến- tet bonus</t>
  </si>
  <si>
    <t>Trả tiền nhà cung cấp Anh Nhựt chạy xe tải- T12 còn lại và T1/25</t>
  </si>
  <si>
    <t>Tnr tra bill 6 1 pale va 10 1 lenom</t>
  </si>
  <si>
    <t>Thu tiền của Quán SAAY</t>
  </si>
  <si>
    <t>Thu tiền của Khôi GH - đơn 2 thùng bia</t>
  </si>
  <si>
    <t>Payment for beer from Mad Alchemist s in Dec - HD: 219,220</t>
  </si>
  <si>
    <t>Tiền ăn tất niên cuối năm 22/1</t>
  </si>
  <si>
    <t>Thu tiền của Pelo Pelo (a Hiếu ck 22/1/25)</t>
  </si>
  <si>
    <t>Thu tiền của Sprortivo  (a Hiếu ck 22/1/25)</t>
  </si>
  <si>
    <t>Thu tiền của The Snug T12  (a Hiếu ck 22/1/25)</t>
  </si>
  <si>
    <t>Thu tiền của Pelo Pelo  (a Hiếu ck 22/1/25)</t>
  </si>
  <si>
    <t>Thu tiền của Hops&amp;Chops T12 (a Hiếu ck 22/1/25)</t>
  </si>
  <si>
    <t>Thu tiền của Pizza Belga T12  (a Hiếu ck 22/1/25)</t>
  </si>
  <si>
    <t>Thu tiền của Barefoot Beach Club Hoi An T12</t>
  </si>
  <si>
    <t>mad thanh toan 500kg chanh ngay 18th01</t>
  </si>
  <si>
    <t>mad transfer 1st Jan Ricky salary</t>
  </si>
  <si>
    <t>mad thanh toan chuyen nhuong quyen so huu lan 2</t>
  </si>
  <si>
    <t>Chi tiền cho Ngọc- tet bonus</t>
  </si>
  <si>
    <t>Chi tiền cho Khôi GH- tet bonus</t>
  </si>
  <si>
    <t>Chi tiền cho Chú Hùng-tet bonus</t>
  </si>
  <si>
    <t>Chi tiền cho Chi Cao- tet bonus</t>
  </si>
  <si>
    <t>Chi tiền cho Hiếu Lê- Gửi hàng Ninh Bình</t>
  </si>
  <si>
    <t>Chi thanh toan tien qua tet con lai</t>
  </si>
  <si>
    <t>39.575.862</t>
  </si>
  <si>
    <t>5.831.850</t>
  </si>
  <si>
    <t>Thu tiền của VietSoul5 T12</t>
  </si>
  <si>
    <t>Thu tiền của Tropical Home Craft Beer</t>
  </si>
  <si>
    <t>Thu tiền của A6 Garden T12</t>
  </si>
  <si>
    <t>Thu tiền của Loft SGN</t>
  </si>
  <si>
    <t>Thu tiền của Danang Rooftop Craft Beer T12</t>
  </si>
  <si>
    <t>Thu tiền của Craftbeerbox T12</t>
  </si>
  <si>
    <t>Chi tiền cho NGUYEN MINH HIEN</t>
  </si>
  <si>
    <t>TM0712M dong bhxh th12</t>
  </si>
  <si>
    <t>TM0712M dong bhxh th01</t>
  </si>
  <si>
    <t>Trả lương nhân viên Tiến- mad thanh toan luong lan 1 thang 1</t>
  </si>
  <si>
    <t>Trả lương nhân viên chú Hùng- mad thanh toan luong lan 1 thang 1</t>
  </si>
  <si>
    <t>Trả lương nhân viên Khôi GH- mad thanh toan luong lan 1 thang 1</t>
  </si>
  <si>
    <t>Trả lương nhân viên Ngọc- mad thanh toan luong lan 1 thang 1</t>
  </si>
  <si>
    <t>Trả lương nhân viên Chi Cao- mad thanh toan luong lan 1 thang 1</t>
  </si>
  <si>
    <t>Trả lương nhân viên Hậu sale - mad thanh toan luong lan 1 thang 1</t>
  </si>
  <si>
    <t>Trả lương nhân viên Hiếu Lê- mad thanh toan luong lan 1 thang 1</t>
  </si>
  <si>
    <t>Thu tiền của Crazy Duck=&gt;Donation or charity Chris=&gt; Gia công Crazy Duck</t>
  </si>
  <si>
    <t>Thu tiền của Crazy Duck=&gt; Donation or charity Chris=&gt; Gia công Crazy Duck</t>
  </si>
  <si>
    <t>Thu tiền của Mr Mac T12</t>
  </si>
  <si>
    <t>Thu tiền của Mơi DaLat T12</t>
  </si>
  <si>
    <t>Thu tiền của H- Pub 26/12</t>
  </si>
  <si>
    <t>Thu tiền của Hem Chill 27/12</t>
  </si>
  <si>
    <t>Thu tiền của Bearloga - Shisha Place 17/1</t>
  </si>
  <si>
    <t>Chi tiền cho anh Thanh mua thùng giấy + phí ship + phí thu keg rỗng</t>
  </si>
  <si>
    <t>1.105.000</t>
  </si>
  <si>
    <t>Thu tiền của CÔNG TY TNHH THƯƠNG MẠI VÀ DỊCH VỤ IRON WHEEL T12</t>
  </si>
  <si>
    <t>Tnr tra lemon 23 12 30 12 4 1</t>
  </si>
  <si>
    <t>Thu tiền của NEO T12</t>
  </si>
  <si>
    <t>Thu tiền của Hoppy Daze Bar</t>
  </si>
  <si>
    <t>Thu tiền của Banana T12</t>
  </si>
  <si>
    <t>Thu tiền của DuSam Dalat T12</t>
  </si>
  <si>
    <t>Thu tiền của Union Jack 13/1</t>
  </si>
  <si>
    <t>Thu tiền của CÔNG TY TNHH THƯƠNG MẠI DỊCH VỤ NÔNG TRẠI KHOAI 13/1</t>
  </si>
  <si>
    <t>Mua đồ cúng xưởng + gia công khuôn máy đóng lon + phí ship cho anh Nguyên ký</t>
  </si>
  <si>
    <t>Thu tiền của Turtle Lake (a Hiếu ck 14/1)</t>
  </si>
  <si>
    <t>Thu tiền của Charlie (a Hiếu ck 14/1/25)</t>
  </si>
  <si>
    <t>Thu tiền của Minimart (a Hiếu ck 14/1/25)</t>
  </si>
  <si>
    <t>Thu tiền của Windbeast Sapa (a Hiếu ck 14/1/25)</t>
  </si>
  <si>
    <t>Thu tiền của Mose and Roo XD (a Hiếu ck 1/1/25)</t>
  </si>
  <si>
    <t>Thu tiền của Arch T12  (a Hiếu ck 1/1/25)</t>
  </si>
  <si>
    <t>Thu tiền của Par Lane Mini Goft  (a Hiếu ck 1/1/25) - Giảm `15%</t>
  </si>
  <si>
    <t>Chi tiền cho NGUYEN THI THANH TUYEN- esim</t>
  </si>
  <si>
    <t>Thu tiền của CÔNG TY TNHH NHÀ HÀNG THIÊN AN T12</t>
  </si>
  <si>
    <t>Thu tiền của Gringo Taco 10/1</t>
  </si>
  <si>
    <t>Thu tiền của Jimmy's New York Pizza D1</t>
  </si>
  <si>
    <t>Thu tiền của chú Hùng Fuzzy 13/1</t>
  </si>
  <si>
    <t>Phí book Lalamove bia cho Boosh + đơn HN + phí bốc xếp 11/1</t>
  </si>
  <si>
    <t>mad thanh toan hoa don so 8095 đơn DN NT 19/12</t>
  </si>
  <si>
    <t>Thu tiền của anh Danh sale-CK nhầm</t>
  </si>
  <si>
    <t>Thu tiền của Nhà hàng Chuồn Chuồn Bistro &amp; Bar T12</t>
  </si>
  <si>
    <t>Thu tiền của The Hoianian - wine bar &amp; restaurant T12</t>
  </si>
  <si>
    <t>Thu tiền của The Noodle House - Signature</t>
  </si>
  <si>
    <t>Thu tiền của CÔNG TY TNHH DỊCH VỤ KINH DOANH HOÀN HẢO T12</t>
  </si>
  <si>
    <t>Thu tiền của Stroll In Da Nang T12</t>
  </si>
  <si>
    <t>Thu tiền của CÔNG TY TNHH RUINS- The Junkyard Nha Trang T12</t>
  </si>
  <si>
    <t>Chi tiền cho anh Danh sale  CK nhầm</t>
  </si>
  <si>
    <t>Trả lương nhân viên anh Danh sale T12</t>
  </si>
  <si>
    <t>Trả lương nhân viên anh Thanh tháng 12. - Pay employee Mr. Thanh for December.</t>
  </si>
  <si>
    <t>Thu tiền của Choi Oi Noodle 7/1</t>
  </si>
  <si>
    <t>Phí ship Mơi DL 7/1</t>
  </si>
  <si>
    <t>Hoàn quỹ COD T12 2024</t>
  </si>
  <si>
    <t>Thu tiền của Pi Boutique Đà Lạt T11</t>
  </si>
  <si>
    <t>mad thanh toan tien ly</t>
  </si>
  <si>
    <t>Thu tiền của Nhà hàng S&amp;B T5 (a Hiếu ck 6/1/25)</t>
  </si>
  <si>
    <t>Chi tiền cho CT CP GIAI PHAP THANH TOAN VIET NAM- TMUCDD1 - 117719290 - 117719290-109877465180-HTMUCDD1</t>
  </si>
  <si>
    <t>mad thanh toan don hang chanh ngay 24th12</t>
  </si>
  <si>
    <t>mad thanh toan tien thu hoi 89keg tu ha noi ngay 20th12</t>
  </si>
  <si>
    <t>Thu tiền của Cham Whiskey + Craft Beer T12</t>
  </si>
  <si>
    <t>Thu tiền của SOMA T12</t>
  </si>
  <si>
    <t>Thu tiền của Commune Sai Gon T12</t>
  </si>
  <si>
    <t>Thu tiền của Pizza Belga T11 (a Hiếu ck 6/1/25)</t>
  </si>
  <si>
    <t>Thu tiền của Smoke house HBT (a Hiếu ck 6/1/25)</t>
  </si>
  <si>
    <t>Thu tiền của The Hide Out T11 + T12 (a Hiếu ck 6/1/25)</t>
  </si>
  <si>
    <t>Thu tiền của Longwaits (a Hiếu ck 6/1/25)</t>
  </si>
  <si>
    <t>Thu tiền của Sprortivo (a Hiếu ck 6/1/25)</t>
  </si>
  <si>
    <t>Thu tiền của Pluzzle (a Hiếu ck 6/1/25)</t>
  </si>
  <si>
    <t>Thu tiền của Hanoi Taco (a Hiếu ck 6/1/25)</t>
  </si>
  <si>
    <t>Thu tiền của The 100 Garden T11 phần còn lại (a Hiếu ck 6/1/25)</t>
  </si>
  <si>
    <t>Chi tiền cho Hiếu Lê- chuyển dư Ms Thuy và gửi bia Ninh Bình</t>
  </si>
  <si>
    <t>Thu tiền của Ongbalo T12</t>
  </si>
  <si>
    <t>Thu tiền của Imperial Craft Bia T12 và đơn 3/1</t>
  </si>
  <si>
    <t>Chi tiền mua vpp, nước lau sàn, rửa chén, rửa tay, phí ship, bưu điện hotline T112</t>
  </si>
  <si>
    <t>Thu tiền của CÔNG TY CỔ PHẦN THƯƠNG MẠI VÀ DỊCH VỤ NEW HOPS T11</t>
  </si>
  <si>
    <t>Thu tiền của Mê Beer T12</t>
  </si>
  <si>
    <t>Thu tiền của CÔNG TY CỔ PHẦN GIẢI PHÁP MUA HÀNG ƯU VIỆT TPS T12</t>
  </si>
  <si>
    <t>Thu tiền của Moc Craft T12</t>
  </si>
  <si>
    <t>Thu tiền của Unique Craft Beer T12</t>
  </si>
  <si>
    <t>Thu tiền của Sip Bar - Phu Quoc T12</t>
  </si>
  <si>
    <t>Thu tiền của Quán SAAY T12</t>
  </si>
  <si>
    <t>Thu tiền của Boosh Rooftop T12</t>
  </si>
  <si>
    <t>Thu tiền của Steerman taproom</t>
  </si>
  <si>
    <t>Chi tiền cho Khôi mua gà + cháo + gỏi cúng xưởng và ăn tất niên 31/12, mua hoa, trái cây</t>
  </si>
  <si>
    <t>Tnr tra lemon 7 12 pale 12 12 lemon 16 12</t>
  </si>
  <si>
    <t>Mad thưởng tết dương lịch cho chú Hùng</t>
  </si>
  <si>
    <t>Mad thưởng tết dương lịch cho  anh Tiến</t>
  </si>
  <si>
    <t>Mad thưởng tết dương lịch cho Ngọc</t>
  </si>
  <si>
    <t>Mad thưởng tết dương lịch cho  Khôi GH</t>
  </si>
  <si>
    <t>Mad thưởng tết dương lịch cho  Chi Cao</t>
  </si>
  <si>
    <t>Trả lương nhân viên Chi Cao T12</t>
  </si>
  <si>
    <t>Trả lương nhân viên chú Hùng T12</t>
  </si>
  <si>
    <t>Trả lương nhân viên anh Tiến T12</t>
  </si>
  <si>
    <t>Trả lương nhân viên Ngọc T12</t>
  </si>
  <si>
    <t>Trả lương nhân viên Khôi GH T12</t>
  </si>
  <si>
    <t>Trả lương nhân viên Ricky sale T12</t>
  </si>
  <si>
    <t>Trả lương nhân viên Hiếu Lê T12</t>
  </si>
  <si>
    <t>Nộp tiền vào tài khoản</t>
  </si>
  <si>
    <t>Thu tiền của Imperial Craft Bia- phi vc gui bia ra Nha Trang, Hoi An =&gt; Gia công Imperial</t>
  </si>
  <si>
    <t>Thu tiền của Crazy Duck- Apartment management fee Chris=&gt; Gia công Crazy Duck</t>
  </si>
  <si>
    <t>Thu tiền của Crazy Duck=&gt; Gia công Crazy Duck-</t>
  </si>
  <si>
    <t>CONG TY TNHH MTV TRAMICKAR ck Fuzzy Logic bill 01/11/2024</t>
  </si>
  <si>
    <t>Thu tiền của Khách Phuong Bui</t>
  </si>
  <si>
    <t>Chi tiền cho Barefoot Beach Club Hoi An -CK trả  phần CK nhầm</t>
  </si>
  <si>
    <t>mad thanh toan tien vc hd so 7700 đơn HN 3/12</t>
  </si>
  <si>
    <t>Chi tiền cho CÔNG TY XĂNG DẦU LONG AN</t>
  </si>
  <si>
    <t>3.800.000</t>
  </si>
  <si>
    <t>Chuyển tiền mua dầu</t>
  </si>
  <si>
    <t>8.000.000</t>
  </si>
  <si>
    <t>Thu tiền của SVVIFT MANUFACTUFING- king cong 1 box pale ale</t>
  </si>
  <si>
    <t>Thu tiền của Standing bar T11</t>
  </si>
  <si>
    <t>Thu tiền của CÔNG TY TNHH KITCHEN GOLD T11</t>
  </si>
  <si>
    <t>Thu tiền của Hoppy Daze Bar T11</t>
  </si>
  <si>
    <t>Thu tiền của Saigon Hot Wings 24/12</t>
  </si>
  <si>
    <t>Thu tiền của Bottle Shop T11</t>
  </si>
  <si>
    <t>Chi tiền cho CÔNG TY TNHH MỘT THÀNH VIÊN IN ẤN BA VINH- mad thanh toan don hang 360 ly lan 1</t>
  </si>
  <si>
    <t>Chi tiền phí ship Chuồn Chuồn + phí book grab + mua tay phập</t>
  </si>
  <si>
    <t>Thu tiền của Barefoot Beach Club Hoi An-CK nhầm</t>
  </si>
  <si>
    <t>Chi tiền cho Kho bạc NN quận 1 - chuyen dong tien thue SCT mad Pro nam 23</t>
  </si>
  <si>
    <t>35.000.000</t>
  </si>
  <si>
    <t>Trả lương nhân viên Hậu sale T12</t>
  </si>
  <si>
    <t>mad thanh toan ohi dich vu het th12 24</t>
  </si>
  <si>
    <t>Thu tiền của Khách HANNAHS WEDDING Buy lager</t>
  </si>
  <si>
    <t>Thu tiền của Craftbeerbox  T8 và T11</t>
  </si>
  <si>
    <t>Thu tiền của Anh Tiến Fuzzy 20/12</t>
  </si>
  <si>
    <t>Thu tiền của CÔNG TY TNHH THƯƠNG MẠI DỊCH VỤ NÔNG TRẠI KHOAI QH 21/12</t>
  </si>
  <si>
    <t>chuyen tien duong</t>
  </si>
  <si>
    <t>Thu tiền của Pizza Belga T10  (a Hiếu ck 22/12/24)</t>
  </si>
  <si>
    <t>Thu tiền của Pelo Pelo  (a Hiếu ck 22/12/24)</t>
  </si>
  <si>
    <t>Thu tiền của Minimart ( a Hiếu ck 22/12/24)</t>
  </si>
  <si>
    <t>Thu tiền của Los Fuegos T2 + T8  ( a Hiếu ck 22/12/24)</t>
  </si>
  <si>
    <t>Thu tiền của Kali T11  ( a Hiếu ck 22/12/24)</t>
  </si>
  <si>
    <t>Thu tiền của Hanoi Taco T11  ( a Hiếu ck 22/12/24)</t>
  </si>
  <si>
    <t>Thu tiền của Arch T11 (a Hiếu ck 22/12/24)</t>
  </si>
  <si>
    <t>Thu tiền của Longwaits  (a Hiếu ck 22/12/24)</t>
  </si>
  <si>
    <t>Thu tiền của The Snug T11  (a Hiếu ck 22/12/24)</t>
  </si>
  <si>
    <t>Thu tiền của Sprortivo  (a Hiếu ck 22/12/24)</t>
  </si>
  <si>
    <t>Thu tiền của Pluzzle T12  (a Hiếu ck 22/12/24)</t>
  </si>
  <si>
    <t>Thu tiền của Turtle Lake (a Hiếu ck 22/12/24)</t>
  </si>
  <si>
    <t>Chi tiền cho Hiếu Lê- Thu 54 vỏ keg Ninh Bình về</t>
  </si>
  <si>
    <t>Thu tiền của Rehab Station</t>
  </si>
  <si>
    <t>Thu tiền của Rehab Station=&gt; Gia công Rehab</t>
  </si>
  <si>
    <t>15.247.498</t>
  </si>
  <si>
    <t>Thu tiền của CÔNG TY CỔ PHẦN THƯƠNG MẠI VÀ DỊCH VỤ NEW HOPS- T8</t>
  </si>
  <si>
    <t>Thu tiền của Soul Pizza &amp; Burger T12</t>
  </si>
  <si>
    <t>dat coc qua tet</t>
  </si>
  <si>
    <t>Trả tiền nhà cung cấp CÔNG TY CỔ PHẦN KIZUNA JV- Mad thanh toan phi dich vu th11</t>
  </si>
  <si>
    <t>mad thanh toan vc hd 7456 (HN 23/11), 7559 (DN 29/11), 7806 (DN 9/12)</t>
  </si>
  <si>
    <t>final payment Down Under Hoppy Pilsner =&gt; gia công Imperial</t>
  </si>
  <si>
    <t>Thu tiền của 7 Bridges Hoi An- Nov - HD: 196 TRHA</t>
  </si>
  <si>
    <t>Thu tiền của Indika Sai Gon T11</t>
  </si>
  <si>
    <t>Thu tiền của HOPS Coffee &amp; Craft Beer T11</t>
  </si>
  <si>
    <t>Thu tiền của Chookies hideaway Ninh Binh-  Garden t8-11 fuzy</t>
  </si>
  <si>
    <t>Thu tiền của Section 30 Da Nang T11</t>
  </si>
  <si>
    <t>Thu tiền của CÔNG TY TNHH THƯƠNG MẠI DỊCH VỤ NÔNG TRẠI KHOAI 14/12</t>
  </si>
  <si>
    <t>Chi tiền cho phí ship + Mua đồ cúng xưởng + tiền bưu điện T11+ Tiền hotline T11+ sao y GPDK</t>
  </si>
  <si>
    <t>Chi tiền cho LE HOANG LONG- CAO THI KIM CHI chuyen tien</t>
  </si>
  <si>
    <t>Tnr tra 25 11 lemo 3011 palea TnR</t>
  </si>
  <si>
    <t>Jimmys tt Fuzzy Logic HD 182 ngay 19.11.24 HD186 ngay 26.11.24 HD187 ngay 26.11.24</t>
  </si>
  <si>
    <t>Trả tiền nhà cung cấp CÔNG TY TNHH THƯƠNG MẠI VÀ VẬN TẢI THÁI TÂN- mad thanh toan don hang ngay 10th12</t>
  </si>
  <si>
    <t>Trả lương nhân viên anh Danh Sale T11</t>
  </si>
  <si>
    <t>Trả lương nhân viên anh Thanh T11</t>
  </si>
  <si>
    <t>mad thanh toan phi vc T11 T12</t>
  </si>
  <si>
    <t>CAO THI KIM CHI hoc phi lop CertlIFR</t>
  </si>
  <si>
    <t>Thu tiền của Khách MIURA AYAKA</t>
  </si>
  <si>
    <t>Thu tiền của Poké Wow T11</t>
  </si>
  <si>
    <t>Thu tiền của Quán SAAY T11</t>
  </si>
  <si>
    <t>Trả lương nhân viên Đạt giao hàng T11</t>
  </si>
  <si>
    <t>Đóng thuế TNCN</t>
  </si>
  <si>
    <t>4.200.000</t>
  </si>
  <si>
    <t>Trả lương nhân viên Ricky sale T11</t>
  </si>
  <si>
    <t>Trả lương nhân viên Tiến T11</t>
  </si>
  <si>
    <t>Trả lương nhân viên chú Hùng T11</t>
  </si>
  <si>
    <t>Trả lương nhân viên Ngọc T11</t>
  </si>
  <si>
    <t>Trả lương nhân viên Khôi giao hàng t11</t>
  </si>
  <si>
    <t>Thu tiền của Cambodia- NGUOI GUI PATRICK MICHAEL DAVENPORT</t>
  </si>
  <si>
    <t>mad thanh toan tien vc may moc tu lao sang</t>
  </si>
  <si>
    <t>Thu tiền của Bistro KAZ Đà Nẵng- bill 21/10/2024.</t>
  </si>
  <si>
    <t>Trả lương nhân viên Chi Cao T10 T11</t>
  </si>
  <si>
    <t>Mad thanh toan hoa don 482 cho HMG ngày 29/10</t>
  </si>
  <si>
    <t>Thu tiền của DuSam Dalat T11</t>
  </si>
  <si>
    <t>Thu tiền của Crazy Duck - Car purchase Chris=&gt; Gia công Crzay Duck</t>
  </si>
  <si>
    <t>Thu tiền của Crazy Duck- ar purchase Chris=&gt; Gia công Crzay Duck</t>
  </si>
  <si>
    <t>Thu tiền của SOMA T11</t>
  </si>
  <si>
    <t>Hoan quỹ COD tháng 11 2024</t>
  </si>
  <si>
    <t>Thu tiền của A6 Garden  T11</t>
  </si>
  <si>
    <t>Thu tiền của NEO T11</t>
  </si>
  <si>
    <t>Thu tiền của Imperial Craft Bia T11</t>
  </si>
  <si>
    <t>Tnr tra bill lemon 1 11 va 16 11 va pale 9 11</t>
  </si>
  <si>
    <t>Mua đồ cúng xưởng 2/12</t>
  </si>
  <si>
    <t>Thu tiền của CÔNG TY CỔ PHẦN THƯƠNG MẠI VÀ DỊCH VỤ NEW HOPS T10</t>
  </si>
  <si>
    <t>Thu tiền của CÔNG TY CỔ PHẦN ỤT ỤT - CHI NHÁNH BIACRAFT XUÂN THỦY T10 (Tổng trả 19.123.117đ)</t>
  </si>
  <si>
    <t>Thu tiền của CÔNG TY CỔ PHẦN ỤT ỤT - CHI NHÁNH BIACRAFT LÊ NGÔ CÁT  T10 (Tổng trả 19.123.117đ)</t>
  </si>
  <si>
    <t>Thu tiền của CÔNG TY CỔ PHẦN ỤT ỤT Chi nhánh 300TS  T10 (Tổng trả 19.123.117đ)</t>
  </si>
  <si>
    <t>Thu tiền của CÔNG TY CỔ PHẦN ỤT ỤT - CHI NHÁNH BIACRAFT NGUYỄN ĐỨC CẢNH  T10 (Tổng trả 19.123.117đ)</t>
  </si>
  <si>
    <t>Thu tiền của CÔNG TY CỔ PHẦN ỤT ỤT - CHI NHÁNH 47XT  T10 (Tổng trả 19.123.117đ)</t>
  </si>
  <si>
    <t>Thu tiền của Mr Mac T10</t>
  </si>
  <si>
    <t>Thu tiền của Khách Tina 26/10</t>
  </si>
  <si>
    <t>Thu tiền của Choi Oi Noodle 29/10</t>
  </si>
  <si>
    <t>Thu tiền của CÔNG TY TNHH THƯƠNG MẠI DỊCH VỤ NÔNG TRẠI KHOAI 2/11</t>
  </si>
  <si>
    <t>Thu tiền của Big Daddy 15/11</t>
  </si>
  <si>
    <t>Thu hoàn ứng của anh Thanh mua đồ cho xưởng 18/10</t>
  </si>
  <si>
    <t>Thu hoàn ứng của anh Thanh 1tr tiền trả ship đơn Ricky 14/11</t>
  </si>
  <si>
    <t>Thu tiền của Khách Tina 28/11</t>
  </si>
  <si>
    <t>mad thanh toan tien collar</t>
  </si>
  <si>
    <t>1.800.000</t>
  </si>
  <si>
    <t>Chi tiền cho anh Thanh 4 cái van 27 inox 304 cho van nước  và 30 thùng giấy</t>
  </si>
  <si>
    <t>Chi tiền cho anh Thanh thu keg rỗng DN + mua ron cho đồng hồ CO2+ tăm bông+ đèn pha</t>
  </si>
  <si>
    <t>Chi tiền cho anh Thanh trả phí ship cho Ricky + phí ship Mơi +Phí ship Hoppy 14/11</t>
  </si>
  <si>
    <t>chi phi nhan vo keg</t>
  </si>
  <si>
    <t>Thu tiền của Gringo Taco 25/11</t>
  </si>
  <si>
    <t>Thu tiền của CÔNG TY TNHH THƯƠNG MẠI DỊCH VỤ NÔNG TRẠI KHOAI 26/11</t>
  </si>
  <si>
    <t>mad thanh toan tien thung carton</t>
  </si>
  <si>
    <t>5.995.727</t>
  </si>
  <si>
    <t>Chi tiền phí ship Mơi DL 25/11 và 26/11</t>
  </si>
  <si>
    <t>CHRISTOPH GLOOR Transfers=&gt; Gia công Crazy Duck</t>
  </si>
  <si>
    <t>Thanh toan dot 2 - cty Tung Tho</t>
  </si>
  <si>
    <t>Chi tiền cho CT TNHH TU VAN TINLAW- BG-023254</t>
  </si>
  <si>
    <t>Thu tiền của Midway Cafe 23/11</t>
  </si>
  <si>
    <t>Thu tiền của Barefoot Beach Club Hoi An T10</t>
  </si>
  <si>
    <t>Tnr tra bill lemon 26 10 pale 31 10</t>
  </si>
  <si>
    <t>Thu tiền của Minimart (a Hiếu ck 23/11) T10 và T11 lần 1</t>
  </si>
  <si>
    <t>Thu tiền của Charlie (a Hiếu ck 23/11) T9</t>
  </si>
  <si>
    <t>Thu tiền của NYC Pizza (a Hiếu ck 23/11)</t>
  </si>
  <si>
    <t>Thu tiền của Pelo Pelo (a Hiếu ck 23/11)</t>
  </si>
  <si>
    <t>Thu tiền của The Snug T10 (a Hiếu ck 23/11)</t>
  </si>
  <si>
    <t>Thu tiền của Pale Ale (a Hiếu ck 23/11)</t>
  </si>
  <si>
    <t>Thu tiền của Pluzzle (a Hiếu ck 23/11)</t>
  </si>
  <si>
    <t>Thu tiền của Smoke house HBT (a Hiếu ck 23/11)</t>
  </si>
  <si>
    <t>Thu tiền của Mose and Roo XD T10 (a Hiếu ck 23/11)</t>
  </si>
  <si>
    <t>Thu tiền của Sprortivo (a Hiếu ck 23/11)</t>
  </si>
  <si>
    <t>Thu tiền của Hops&amp;Chops T11 (a Hiếu ck 23/11)</t>
  </si>
  <si>
    <t>Thu tiền của Wecked Burger T9 và T10 (a Hiếu ck 23/11)</t>
  </si>
  <si>
    <t>Thu tiền của Kali (a Hiếu ck 23/11)</t>
  </si>
  <si>
    <t>Thu tiền của Soul Pizza &amp; Burger T10</t>
  </si>
  <si>
    <t>mad thanh toan phi dich vu th11</t>
  </si>
  <si>
    <t>thanh toan in label mash</t>
  </si>
  <si>
    <t>thanh toan in colar imperial</t>
  </si>
  <si>
    <t>1.200.000</t>
  </si>
  <si>
    <t>Chi tiền cho CT LUAT TNHH VIET AN- chuyen tien lam hs chuyen nhuong</t>
  </si>
  <si>
    <t>THANH TOAN LON RONG VA NAP- Công ty Cổ phần Cậu Hai</t>
  </si>
  <si>
    <t>Payment for beer from Mad Alchemist s in Oct - HD: 174</t>
  </si>
  <si>
    <t>mad thanh toan tien nvl mad thanh toan tien nvl hđ 536 ngày 22/11 dư 5265k</t>
  </si>
  <si>
    <t>TM0712M dong bhxh th11</t>
  </si>
  <si>
    <t>Thu tiền của Hoppy Daze Bar T10</t>
  </si>
  <si>
    <t>mad thanh toan chi phi vc hd 6559 đơn DN 22/10</t>
  </si>
  <si>
    <t>mad thanh toan chi phi vc hd 6676 đơn HN 26/10</t>
  </si>
  <si>
    <t>Thu tiền của NEO T10 và 1 phần T11</t>
  </si>
  <si>
    <t>mad thanh toan phan con lai coaster</t>
  </si>
  <si>
    <t>33.521.112</t>
  </si>
  <si>
    <t>Thu tiền của Banana T8, T9, T10</t>
  </si>
  <si>
    <t>Thu tiền của ISK JACOB CLAYTON=&gt; Gia công CITRA IPA BATCH</t>
  </si>
  <si>
    <t>Thu tiền của Midway Cafe 16/11</t>
  </si>
  <si>
    <t>Thu tiền của Stroll In Da Nang T10</t>
  </si>
  <si>
    <t>Thu tiền của Indika Sai Gon 1 phần T10</t>
  </si>
  <si>
    <t>Thu tiền của Imperial Craft Bia- 1000 keg collars gia công</t>
  </si>
  <si>
    <t>Thu tiền của CÔNG TY TNHH RUINS- The Junkyard Nha Trang</t>
  </si>
  <si>
    <t>Thu tiền của Khách Sang 14/11</t>
  </si>
  <si>
    <t>mad ck dat coc tien thung</t>
  </si>
  <si>
    <t>5.000.000</t>
  </si>
  <si>
    <t>Chi tiền phí ship Mơi DL + Hoppy Daze</t>
  </si>
  <si>
    <t>Thu tiền của Loft SGN T10</t>
  </si>
  <si>
    <t>Thu tiền của Hem Chill 13/11</t>
  </si>
  <si>
    <t>Trả lương nhân viên anh Thanh T10</t>
  </si>
  <si>
    <t>Mua kẹp nhựa, VPP + đồ cúng xưởng 15/11</t>
  </si>
  <si>
    <t>mad thanh toan phi dich vu th10 Kizuna</t>
  </si>
  <si>
    <t>24.311.902</t>
  </si>
  <si>
    <t>Thu tiền của Section 30 Da Nang T10</t>
  </si>
  <si>
    <t>coc tien me Down Under Hoppy Pilsner =&gt; Gia công Imperial</t>
  </si>
  <si>
    <t>Thu tiền của Bearloga - Shisha Place 9/11</t>
  </si>
  <si>
    <t>Chi tiền Gửi thư dịch vụ thuế 7/11 + Phí ship bản sao gpkd, KQTN, bản công bố sp cho anh Danh 11/11</t>
  </si>
  <si>
    <t>Thu tiền của Pizza Belga  T8 + T9 (a Hiếu ck 10/11)</t>
  </si>
  <si>
    <t>Thu tiền của Kali T9  (a Hiếu ck 10/11)</t>
  </si>
  <si>
    <t>Thu tiền của Arch T10 (a Hiếu ck 10/11)</t>
  </si>
  <si>
    <t>Thu tiền của The Hide Out T10 (a Hiếu ck 10/11)</t>
  </si>
  <si>
    <t>Thu tiền của Longwaits T10 (a Hiếu ck 10/11)</t>
  </si>
  <si>
    <t>Hoàn quỹ COD tháng 10</t>
  </si>
  <si>
    <t>mad thanh toan 500kg chanh ngay 29th10</t>
  </si>
  <si>
    <t>dat coc tien in 5k coaster</t>
  </si>
  <si>
    <t>Rút tiền</t>
  </si>
  <si>
    <t>Trả lương nhân viên Tiến T10</t>
  </si>
  <si>
    <t>Trả lương nhân viên Khôi GH tháng 10</t>
  </si>
  <si>
    <t>Trả lương nhân viên Đạt tháng 10</t>
  </si>
  <si>
    <t>Trả lương nhân viên Ngọc tháng 10</t>
  </si>
  <si>
    <t>mad thanh toan cong no in tem con lai</t>
  </si>
  <si>
    <t>Trả lương nhân viên chú Hùng tháng 10</t>
  </si>
  <si>
    <t>Trả lương nhân viên Ricky tháng 10</t>
  </si>
  <si>
    <t>Trả lương nhân viên Hậu sale tháng 10</t>
  </si>
  <si>
    <t>Trả lương nhân viên Hiếu Lê tháng 10</t>
  </si>
  <si>
    <t>Trả lương nhân viên anh Danh sale T10</t>
  </si>
  <si>
    <t>Thu tiền của RESHAPE SAIGON T10</t>
  </si>
  <si>
    <t>Thu tiền của Sip Bar - Phu Quoc</t>
  </si>
  <si>
    <t>Thu tiền của Quán Bia Đức BON</t>
  </si>
  <si>
    <t>Thu tiền của Bia Thủ Công Torro 143 T10</t>
  </si>
  <si>
    <t>BSD tt cong no fuzy T9</t>
  </si>
  <si>
    <t>dịch thuật và công chứng hộ chiếu</t>
  </si>
  <si>
    <t>Thu tiền của DuSam Dalat T10</t>
  </si>
  <si>
    <t>Tnr tra pale 14 10 va lemon 18 10</t>
  </si>
  <si>
    <t>Thu tiền của Alco Room T10</t>
  </si>
  <si>
    <t>Thu tiền của Ongbalo T10</t>
  </si>
  <si>
    <t>mad thanh toan cuoc vc hd 6309 HN 12/10</t>
  </si>
  <si>
    <t>dat coc tien in nhan Montersmash</t>
  </si>
  <si>
    <t>Chi tiền mua đồ cúng xưởng 4/11 + phí ship + Công chứng 4/11</t>
  </si>
  <si>
    <t>chuyen tien mua dau</t>
  </si>
  <si>
    <t>Thu tiền của Poké Wow T10</t>
  </si>
  <si>
    <t>Đạt ứng lương 1 triệu đồng 31/10</t>
  </si>
  <si>
    <t>mad thanh toan cuoc vc 36keg rong tu hn vao k14 ngay 16th10</t>
  </si>
  <si>
    <t>mad thanh toan cuoc vc 56keg rong tu hn di k14 ngay 25th10</t>
  </si>
  <si>
    <t>Thanh toán tiền mua dầu chạy máy</t>
  </si>
  <si>
    <t>Thu tiền của Sprortivo (a Hiếu ck 29/10)</t>
  </si>
  <si>
    <t>Thu tiền của Smoke house HBT  T7 (a Hiếu ck 29/10)</t>
  </si>
  <si>
    <t>Thu tiền của Mose and Roo XD T8 (a Hiếu ck 29/10)</t>
  </si>
  <si>
    <t>Thu tiền của Pelo Pelo (a Hiếu ck 29/10)</t>
  </si>
  <si>
    <t>Chi phí thu 50 vỏ keg Ninh Bình về HN</t>
  </si>
  <si>
    <t>mad chuyen tien ethanol</t>
  </si>
  <si>
    <t>mad thanh toan 200kg duong</t>
  </si>
  <si>
    <t>mad thanh toan tien nvl thai tan</t>
  </si>
  <si>
    <t>Trả lương nhân viên Chi Cao T10 lần 1</t>
  </si>
  <si>
    <t>11.263.700</t>
  </si>
  <si>
    <t>mad thanh toan tien vc th8910 a Viet</t>
  </si>
  <si>
    <t>Tnr tra 5 10 pale 10 10 lemon</t>
  </si>
  <si>
    <t>Standing Bar thanh toan cong no thang 9.2024 cho Fuzzy</t>
  </si>
  <si>
    <t>The Bottle Shop thanh toan cong no thang 9.2024 cho Fuzzy</t>
  </si>
  <si>
    <t>UT UT THANH TOAN TIEN BIA THANG 09.2024 (Tổng trả 24.039.913đ)</t>
  </si>
  <si>
    <t>UT UT THANH TOAN TIEN BIA THANG 09.2024  (Tổng trả 24.039.913đ)</t>
  </si>
  <si>
    <t>APARTMENT MANAGEMENT FEECHRIS GLOOR=&gt; Gia công Crazy</t>
  </si>
  <si>
    <t>Thu tiền của Bistro KAZ Đà Nẵng T9</t>
  </si>
  <si>
    <t>Thu tiền của NEO T9</t>
  </si>
  <si>
    <t>Thu tiền của 7 Bridges Saigon- Payment for beer from Mad Alchemist s in Sep - HD: 149</t>
  </si>
  <si>
    <t>Thu tiền của Matildas Restobar</t>
  </si>
  <si>
    <t>Thu hoàn ứng của Anh Thanh của ngày 9/10</t>
  </si>
  <si>
    <t>Thu tiền của CÔNG TY TNHH THƯƠNG MẠI DỊCH VỤ NÔNG TRẠI KHOAI 16/9</t>
  </si>
  <si>
    <t>Thu tiền của Choi Oi Noodle 24/9</t>
  </si>
  <si>
    <t>Thu tiền của Saigon Hot Wings 30/9</t>
  </si>
  <si>
    <t>Thu tiền của Gringo Taco 12/10</t>
  </si>
  <si>
    <t>Mua thùng giấy + sơn+ tẩy sơn+ ổ cắm công nghiệp</t>
  </si>
  <si>
    <t>Phí ship Mơi, khách VT + thu vỏ DN+ cân điện tử + sủ bào+ quạt block +chuỗi 3 pha</t>
  </si>
  <si>
    <t>Tạm ứng cho nhân viên anh Thanh</t>
  </si>
  <si>
    <t>Phí ship Mr Mac 18/10 + Mua băng keo, VPP 22/10+ Tiền sửa điện K14</t>
  </si>
  <si>
    <t>Payment for beer from Mad Alchemist s in Sep - HD: 150</t>
  </si>
  <si>
    <t>Trả lương nhân viên ĐỖ DUY BẢO T9</t>
  </si>
  <si>
    <t>Thanh toán lương cho CNV</t>
  </si>
  <si>
    <t>Chuyen khoan dat coc in nhan Blonde và Pale</t>
  </si>
  <si>
    <t>Thu tiền của Pelo Pelo (a Hiếu ck 16/10)</t>
  </si>
  <si>
    <t>Thu tiền của Kali  (a Hiếu ck 16/10)</t>
  </si>
  <si>
    <t>Thu tiền của Đồng Chí T8 (a Hiếu ck 16/10)</t>
  </si>
  <si>
    <t>Thu tiền của Khách Ms Thủy  (a Hiếu ck 16/10)</t>
  </si>
  <si>
    <t>Thu tiền của Minimart  (a Hiếu ck 16/10) T9 lần 2</t>
  </si>
  <si>
    <t>Thu tiền của Hops&amp;Chops T10 (a Hiếu ck 16/10)</t>
  </si>
  <si>
    <t>Thu tiền của Pluzzle  (a Hiếu ck 16/10)</t>
  </si>
  <si>
    <t>Thu tiền của The Hide Out T9 (a Hiếu ck 16/10)</t>
  </si>
  <si>
    <t>Thu tiền của Wecked Burger  T8 (a Hiếu ck 16/10)</t>
  </si>
  <si>
    <t>Thu tiền của The Snug  (a Hiếu ck 16/10)</t>
  </si>
  <si>
    <t>Thu tiền của Longwaits  (a Hiếu ck 16/10)</t>
  </si>
  <si>
    <t>Thu tiền của CÔNG TY TNHH BIA THỦ CÔNG ĐẤT ĐỎ=&gt; Gia công Bazan</t>
  </si>
  <si>
    <t>Sửa máy lạnh S&amp;B mất lạnh (cấn trừ chi phí a Hiếu ck 16/10)</t>
  </si>
  <si>
    <t>TM0712M dong bhxh th10</t>
  </si>
  <si>
    <t>Mad thanh toan dot cuoi hd sua chua ong lam lanh cho SAng An</t>
  </si>
  <si>
    <t>30.626.604</t>
  </si>
  <si>
    <t>30.026.386</t>
  </si>
  <si>
    <t>Trả lương nhân viên anh Danh sale T9</t>
  </si>
  <si>
    <t>Phí ship Soul VT 15/10 + Mua đồ cúng xưởng 18/10</t>
  </si>
  <si>
    <t>rút tiền</t>
  </si>
  <si>
    <t>Bán 25 000 USD chuyển vào TK thanh toán tỷ giá 24.685</t>
  </si>
  <si>
    <t>Thu tiền của Indika Sai Gon T9 lần 1</t>
  </si>
  <si>
    <t>Thu tiền của Quán Bia Đức BON T8 lần 1</t>
  </si>
  <si>
    <t>Tuition fee Wheat Beer=&gt; Gia công Crazy Duck</t>
  </si>
  <si>
    <t>Thu tiền của Soul Pizza &amp; Burger T9</t>
  </si>
  <si>
    <t>Thu tiền của Choi Oi Noodle 11/10</t>
  </si>
  <si>
    <t>Thu tiền của Union Jack 11/10</t>
  </si>
  <si>
    <t>mad thanh toan tien vc hoa don 5744 (HN 21/9), 5788 (DN 21/9)</t>
  </si>
  <si>
    <t>mad thanh toan phi thue xuong quy 4</t>
  </si>
  <si>
    <t>Trả lương nhân viên Ricky T9</t>
  </si>
  <si>
    <t>mad thanh toan luong tang ca th9 Tien</t>
  </si>
  <si>
    <t>mad thanh toan luong tang ca th9 chu Hung</t>
  </si>
  <si>
    <t>Thu tiền của Tippy's Mexican 7/10</t>
  </si>
  <si>
    <t>Thu tiền của BIA ÔNG KẸ T9</t>
  </si>
  <si>
    <t>UT UT THANH TOAN TIEN BIA THANG 08.2024 (Tổng trả 21.989.000)</t>
  </si>
  <si>
    <t>Green Box pay Mad Alchemists Fuzzy Logic 4.9</t>
  </si>
  <si>
    <t>Tnr tra bill 20 9 va 28 9 lemon</t>
  </si>
  <si>
    <t>Thu tiền của CÔNG TY TNHH NHÀ HÀNG THIÊN AN T9</t>
  </si>
  <si>
    <t>Hg 9.10 fuzy</t>
  </si>
  <si>
    <t>Thu tiền của A6 Garden T9</t>
  </si>
  <si>
    <t>Thu tiền của Craftbeerbox T9 và T10 (1 phần)</t>
  </si>
  <si>
    <t>Trả lương nhân viên Khôi Tháng 9</t>
  </si>
  <si>
    <t>Trả lương nhân viên Đạt tháng 9</t>
  </si>
  <si>
    <t>Trả lương nhân viên Ngọc tháng 9</t>
  </si>
  <si>
    <t>Thu tiền của Quán SAAY T9</t>
  </si>
  <si>
    <t>mad thanh toan phi nang cong hd 20374 cty Bach viet</t>
  </si>
  <si>
    <t>Mad thanh toan hd so 4010 cty ngoi sao xanh</t>
  </si>
  <si>
    <t>Thu tiền của Tacos Fuego T8</t>
  </si>
  <si>
    <t>Thu tiền của Khách Tina 4/10</t>
  </si>
  <si>
    <t>Tiền bưu điện + Hotline T9 + Mua nước lau sàn, bao tay, nước rửa tay, cây lau 7/10</t>
  </si>
  <si>
    <t>Thu tiền của Hoppy Daze Bar T8</t>
  </si>
  <si>
    <t>Hoàn quỹ COD tháng 9 2024</t>
  </si>
  <si>
    <t>Thu tiền của Section 30 Da Nang T9</t>
  </si>
  <si>
    <t>Thu tiền của Mơi DaLat T9 và phần còn lại T8</t>
  </si>
  <si>
    <t>Thu tiền của Dreibar Craftbeer &amp; Cocktail T8</t>
  </si>
  <si>
    <t>Phí thông quan lô hàng Filltration machine</t>
  </si>
  <si>
    <t>mad thanh toan phan con lai nhan lemon</t>
  </si>
  <si>
    <t>mad thanh toan 500kg chanh</t>
  </si>
  <si>
    <t>phi dich vu th10 _ Minh</t>
  </si>
  <si>
    <t>Thu tiền của CÔNG TY TNHH THƯƠNG MẠI DỊCH VỤ NÔNG TRẠI KHOAI 1/10</t>
  </si>
  <si>
    <t>phi chuyen</t>
  </si>
  <si>
    <t>Mua bạt phủ + đồ cúng xưởng + phí ship Mơi DL + phí ship cho Minh</t>
  </si>
  <si>
    <t>rehab station tt mot phan cong no Mad Alchemist.</t>
  </si>
  <si>
    <t>MAD ALCHEMISTS THANH TOAN PHI LOCAL SNBU8285526</t>
  </si>
  <si>
    <t>ĐÓng thuế GTGT nhập khẩu Filltration machine</t>
  </si>
  <si>
    <t>28.238.100</t>
  </si>
  <si>
    <t>CK NGUOI GUI PATRICK MICHAEL DAVENPORT MS 12281308438 - Order NVL</t>
  </si>
  <si>
    <t>Thu tiền của Loft SGN  T7 T8</t>
  </si>
  <si>
    <t>Thu tiền của Pelo Pelo (a Hiếu ck  1/10/24)</t>
  </si>
  <si>
    <t>Thu tiền của Kali (a Hiếu ck  1/10/24)</t>
  </si>
  <si>
    <t>Thu tiền của Đồng Chí T7(a Hiếu ck  1/10/24)</t>
  </si>
  <si>
    <t>Thu tiền của Sprortivo (a Hiếu ck  1/10/24)</t>
  </si>
  <si>
    <t>Thu tiền của Khách Ms Thủy (a Hiếu ck  1/10/24)</t>
  </si>
  <si>
    <t>Thu tiền của Minimart (a Hiếu ck  1/10/24) T9 lần 1</t>
  </si>
  <si>
    <t>Thu tiền của Hops&amp;Chops HL T8 (a Hiếu ck  1/10/24)</t>
  </si>
  <si>
    <t>THANHHANGQUAN - 102804250 - 102804250-109877465180-THHANG01</t>
  </si>
  <si>
    <t>Thu tiền của Khách Ricky 6/9</t>
  </si>
  <si>
    <t>Thu tiền của Imperial Craft Bia T9</t>
  </si>
  <si>
    <t>Thu tiền của Mulligans sai gon</t>
  </si>
  <si>
    <t>Thu tiền của Midway Cafe T9</t>
  </si>
  <si>
    <t>Thu tiền của 5to9 T9</t>
  </si>
  <si>
    <t>Tra lai so du tren tai khoan - thang 09/2024</t>
  </si>
  <si>
    <t>Thanh toán dụng cụ cho thợ nấu bia +Đồng hồ nhiệt và oxy+ Cân+ Bơm mỡ</t>
  </si>
  <si>
    <t>mad thanh toan cuoc vc hd so 5250 (DN 29/08) 5446 (HN 7/9)</t>
  </si>
  <si>
    <t>mad ck phi dich vu th6 den th9</t>
  </si>
  <si>
    <t>mad thanh toan nvl cho HMG hd so 364 ngày 9/8</t>
  </si>
  <si>
    <t>Car purchase Fuzzy =&gt; Gia công Crazy Duck (trừ 4 keg Lager 5920k)</t>
  </si>
  <si>
    <t>Thu tiền của The 100 Garden T8</t>
  </si>
  <si>
    <t>Thu tiền của BONDRUNK- Car purchase Fuzzy =&gt; Gia công Crazy Duck</t>
  </si>
  <si>
    <t>thanh toan hoa don nvl 365 ngày 9/8</t>
  </si>
  <si>
    <t>Thu tiền của CÔNG TY TNHH ONE LOVE T8</t>
  </si>
  <si>
    <t>Thu tiền của Mơi DaLat T8 lần 1</t>
  </si>
  <si>
    <t>dusam 4 keg thunder</t>
  </si>
  <si>
    <t>Thu tiền của Smoke house HBT T6 (a Hiếu ck 24/9)</t>
  </si>
  <si>
    <t>Thu tiền của Nhà hàng S&amp;B  (a Hiếu ck 24/9)</t>
  </si>
  <si>
    <t>Thu tiền của Pelo Pelo  (a Hiếu ck 24/9)</t>
  </si>
  <si>
    <t>Thu tiền của Mose and Roo XD T7  (a Hiếu ck 24/9)</t>
  </si>
  <si>
    <t>Thu tiền của Minimart  (a Hiếu ck 24/9) T8 lần 2</t>
  </si>
  <si>
    <t>Thu tiền của Barefoot Beach Club Hoi An T8</t>
  </si>
  <si>
    <t>Trả lương nhân viên Chi Cao T9 lần 1</t>
  </si>
  <si>
    <t>Tnr tra lemon 9 9 va 18 9</t>
  </si>
  <si>
    <t>Thu tiền của Bazaar Restaurant</t>
  </si>
  <si>
    <t>SD TT T7</t>
  </si>
  <si>
    <t>Payment for beer from Mad Alchemist s in Aug - HD 123,126-HA,DD</t>
  </si>
  <si>
    <t>Payment for beer from Mad Alchemist s in Aug - HD 103 HN,</t>
  </si>
  <si>
    <t>BMADGENI-UT UT THANH TOAN TIEN BIA THANG 07.2024 (Tổng trả 30.940.251đ)</t>
  </si>
  <si>
    <t>BMADGENI-UT UT THANH TOAN TIEN BIA THANG 07.2024 ũ (Tổng trả 30.940.251đ)</t>
  </si>
  <si>
    <t>Thu tiền của Bistro KAZ Đà Nẵng 2/7</t>
  </si>
  <si>
    <t>Thu tiền của Big Bird Beer &amp; DJ 11/9</t>
  </si>
  <si>
    <t>Thu tiền của H- Pub 18/9</t>
  </si>
  <si>
    <t>mad thanh toán đặt cọc in 1.000 nhãn chanh - mad payment for printing 1,000 lemon labels</t>
  </si>
  <si>
    <t>Mad chuyen thanh toan lan 2 he thong ong nuoc lam lanh cho cty Sang An</t>
  </si>
  <si>
    <t>Tnr tra lemon 30 8 va pale 4 9</t>
  </si>
  <si>
    <t>Chi tiền mua đồ cúng xưởng + phí ship hđ + mua pin</t>
  </si>
  <si>
    <t>Nộp tiền mặt</t>
  </si>
  <si>
    <t>Thu tiền của Indika Sai Gon T8 lần 1</t>
  </si>
  <si>
    <t>Mad alchemists thanh toan phi dich vu hai quan theo hoa don so 3689</t>
  </si>
  <si>
    <t>Mad chuyen tien dat coc cho cty Tung Tho (hệ nấu)</t>
  </si>
  <si>
    <t>Thu tiền của Section 30 Da Nang T8</t>
  </si>
  <si>
    <t>mua hộp bao tay y tế + Mua chổi, cây quét trần nhà 16/9+ Gửi thư bưu điện hđ newhops</t>
  </si>
  <si>
    <t>Thu tiền của Bluish Coffee &amp; Beer T8</t>
  </si>
  <si>
    <t>Tnr ple lemon 23 8</t>
  </si>
  <si>
    <t>Mad thanh toan cong no cho 3BM T8</t>
  </si>
  <si>
    <t>phi hai quan</t>
  </si>
  <si>
    <t>2.000.000</t>
  </si>
  <si>
    <t>ad thanh toan don vc ngay 24th8 hd so 5438</t>
  </si>
  <si>
    <t>Chi tiền cho Chi Cao refund</t>
  </si>
  <si>
    <t>mad thanh toan comis cho Mr Hau</t>
  </si>
  <si>
    <t>Mad thanh toan tien mua NVL cho HMG hd so 336 ngày 22/7</t>
  </si>
  <si>
    <t>mad thanh toan cuoc vc 22keg bia rong tu hn vao K14 ngay 6th9</t>
  </si>
  <si>
    <t>Trả lương nhân viên Mike T9</t>
  </si>
  <si>
    <t>Mad chuyen thanh toan phi local charge hoa don SIMS24090002 cho cty Cargoway</t>
  </si>
  <si>
    <t>TM0712M dong bhxh th09</t>
  </si>
  <si>
    <t>Mad chuyen thanh toan lan 1 he thong ong nuoc lam lanh cho cty Sang An</t>
  </si>
  <si>
    <t>Thanh toán Thuế NK và GTGT lô hàng 300kegs</t>
  </si>
  <si>
    <t>27.308.380</t>
  </si>
  <si>
    <t>24.825.800</t>
  </si>
  <si>
    <t>Property purchase Chris=&gt; Gia công bia Lager</t>
  </si>
  <si>
    <t>Thu tiền của Soul Pizza &amp; Burger T8</t>
  </si>
  <si>
    <t>Thu tiền của Kali T6+ T7 (a Hiếu ck 10/9)</t>
  </si>
  <si>
    <t>Thu tiền của Pluzzle (a Hiếu ck 10/9)</t>
  </si>
  <si>
    <t>Thu tiền của Longwaits T9 (a Hiếu ck 10/9)</t>
  </si>
  <si>
    <t>Thu tiền của Charlie (a Hiếu ck 10/9)</t>
  </si>
  <si>
    <t>Thu tiền của NYC Pizza (a Hiếu ck 10/9)</t>
  </si>
  <si>
    <t>Thu tiền của Pelo Pelo (a Hiếu ck 10/9)</t>
  </si>
  <si>
    <t>Thu tiền của Minimart (a Hiếu ck 10/9) T8 lần 1</t>
  </si>
  <si>
    <t>Gus CK =&gt; 4062,98 USD</t>
  </si>
  <si>
    <t>100.000.000</t>
  </si>
  <si>
    <t>Thu tiền của Khách Sang 23/8</t>
  </si>
  <si>
    <t>Thu tiền của Big Bird Beer &amp; DJ 8/9</t>
  </si>
  <si>
    <t>Thu tiền của Hem Chill 7/9</t>
  </si>
  <si>
    <t>Thu tiền của Big Daddy 7/9</t>
  </si>
  <si>
    <t>Thu tiền của Khách Tina 6/9</t>
  </si>
  <si>
    <t>Thu tiền của Jimmy's Pizza (New) D1</t>
  </si>
  <si>
    <t>Hàn tay nắp đậy bồn nấu + Trụ 2 vòi + Điện trở nhiệt đun nước 21/8</t>
  </si>
  <si>
    <t>7.700.000</t>
  </si>
  <si>
    <t>Thu tiền của Chi Cao tạm ứng mua dầu</t>
  </si>
  <si>
    <t>Thu tiền của Ongbalo T8</t>
  </si>
  <si>
    <t>Thu tiền của VietSoul5</t>
  </si>
  <si>
    <t>Thu tiền của Khách Trinh Tran</t>
  </si>
  <si>
    <t>Chi tiền mua dầu + chi phí chở bã 9/9</t>
  </si>
  <si>
    <t>7.870.000</t>
  </si>
  <si>
    <t>Thu tiền của Cham Whiskey + Craft Beer T8</t>
  </si>
  <si>
    <t>mad thanh toan tien vc hd so 4821 HN 13/8</t>
  </si>
  <si>
    <t>mad thanh toan tien vc hd so 4999 đơn DN 20/8</t>
  </si>
  <si>
    <t>Thu tiền của Jimmy's New York Pizza 5/9</t>
  </si>
  <si>
    <t>Tiền bưu điện + Hotline T8 + Tiền ship anh Minh ký + Đồ cúng xưởng 4/9</t>
  </si>
  <si>
    <t>mperial Craft Bia CK 2 keg Lemon 2 thung lon</t>
  </si>
  <si>
    <t>Thu tiền của Bearloga - Shisha Place T8</t>
  </si>
  <si>
    <t>Thu tiền của Gordon's Pizza Da Nang T8</t>
  </si>
  <si>
    <t>mad thanh toan 500kg chanh ngay 28th8</t>
  </si>
  <si>
    <t>phi dich vu th9 Minh</t>
  </si>
  <si>
    <t>Tnr tra lemon 15 8</t>
  </si>
  <si>
    <t>Trả lương nhân viên anh Thanh tháng 8 lần 2</t>
  </si>
  <si>
    <t>Mad thanh toan hoa don so 60 cho cty Nhan Su Viet</t>
  </si>
  <si>
    <t>Mad thanh toan phan con lai sua chua he Glycol cho sang An</t>
  </si>
  <si>
    <t>Tnr tra pale 12 8</t>
  </si>
  <si>
    <t>Trả lương nhân viên anh Thanh tháng 8 lần 1</t>
  </si>
  <si>
    <t>mad thuong le</t>
  </si>
  <si>
    <t>Hoan quy COD thang 08 2024</t>
  </si>
  <si>
    <t>Thu tiền của Choi Oi Noodle 29/8</t>
  </si>
  <si>
    <t>Thu tiền của Saigon Hot Wings 30/8</t>
  </si>
  <si>
    <t>Tuition fee Chris Kegs=&gt; Gia công</t>
  </si>
  <si>
    <t>Thu tiền của Mini House - Kon Tum 2 keg lager</t>
  </si>
  <si>
    <t>Thu tiền của Khách Hậu sale</t>
  </si>
  <si>
    <t>Trả lương nhân viên Phan Thanh Danh tháng 8</t>
  </si>
  <si>
    <t>Trả lương nhân viên ĐỖ DUY BẢO tháng 8 lần 2</t>
  </si>
  <si>
    <t>Gus CK =&gt; 6025,97 USD</t>
  </si>
  <si>
    <t>150.000.000</t>
  </si>
  <si>
    <t>Trả lương nhân viên Mike tháng 8</t>
  </si>
  <si>
    <t>Ongbalo bill ngay 1408</t>
  </si>
  <si>
    <t>mad chi thuong le</t>
  </si>
  <si>
    <t>mad thanh toan tien vc th7 th8 cho a Viet</t>
  </si>
  <si>
    <t>mad ck tien ship ems</t>
  </si>
  <si>
    <t>Thu tiền của The Hide Out T7 (a Hiếu ck 27/8)</t>
  </si>
  <si>
    <t>Thu tiền của Los Fuegos T7 (a Hiếu ck 27/8)</t>
  </si>
  <si>
    <t>Thu tiền của Charlie T8  (a Hiếu ck 27/8)</t>
  </si>
  <si>
    <t>Thu tiền của NYC Pizza 26  (a Hiếu ck 27/8)</t>
  </si>
  <si>
    <t>Thu tiền của Pizza Belga T7  (a Hiếu ck 27/8)</t>
  </si>
  <si>
    <t>Thu tiền của Pluzzle T8  (a Hiếu ck 27/8)</t>
  </si>
  <si>
    <t>Thu tiền của Pale Ale T7 (a Hiếu ck 27/8)</t>
  </si>
  <si>
    <t>Mad thanh toan phi dich vu th08 K14</t>
  </si>
  <si>
    <t>Mad thanh toan phi dich vu hoa don so 61</t>
  </si>
  <si>
    <t>OT17247436819860 ty gia 24965 so tien mua 5050 USD noi dung thanh toan: the last payment of PI SHF240808</t>
  </si>
  <si>
    <t>the last payment of PI SHF240808</t>
  </si>
  <si>
    <t>Trả lương nhân viên Ngọc tháng 8</t>
  </si>
  <si>
    <t>Trả lương nhân viên Phúc tháng 8</t>
  </si>
  <si>
    <t>Trả lương nhân viên Hậu sale tháng 8</t>
  </si>
  <si>
    <t>Trả lương nhân viên Tiến tháng 8</t>
  </si>
  <si>
    <t>Trả lương nhân viên Chú Hùng tháng 8</t>
  </si>
  <si>
    <t>Trả lương nhân viên ĐỖ DUY BẢO tháng 8 lần 1</t>
  </si>
  <si>
    <t>Trả lương nhân viên Hiếu Lê tháng 8</t>
  </si>
  <si>
    <t>Trả lương nhân viên Ricky sale tháng 8 lần 2</t>
  </si>
  <si>
    <t>Thưởng lễ 2 9</t>
  </si>
  <si>
    <t>thanh toan bs tien duong</t>
  </si>
  <si>
    <t>Gus CK =&gt; 12087,75 USD</t>
  </si>
  <si>
    <t>300.000.000</t>
  </si>
  <si>
    <t>Gus CK =&gt; 4029,25 USD</t>
  </si>
  <si>
    <t>Trả lương nhân viên Ricky tháng 8 lần 1</t>
  </si>
  <si>
    <t>Chi tiền mua VPP, giấy a4, màng co 30/8  + phí ship Mini KT 24/8</t>
  </si>
  <si>
    <t>Tnr tra pale va lemon 1 8</t>
  </si>
  <si>
    <t>UT UT THANH TOAN TIEN BIA THANG 06- T5.2024 (tổng 49.093.000đ)</t>
  </si>
  <si>
    <t>UT UT THANH TOAN TIEN BIA THANG 06.2024 (tổng 49.093.000đ)</t>
  </si>
  <si>
    <t>Thu tiền của Khách Scott 13/8</t>
  </si>
  <si>
    <t>Thu tiền của anh Thanh 13/8</t>
  </si>
  <si>
    <t>Thu tiền của CÔNG TY TNHH THƯƠNG MẠI DỊCH VỤ NÔNG TRẠI KHOAI 19/8</t>
  </si>
  <si>
    <t>Trả lương nhân viên Chi Cao T8 lần 1</t>
  </si>
  <si>
    <t>Chuyen thanh toan sua chua he Glycol cho Sang An</t>
  </si>
  <si>
    <t>Chi tiền phí ship Soul VT, Vietsoul5, Mơi DL 14/8 + Mua pizza cúng xưởng 19/8</t>
  </si>
  <si>
    <t>Thu tiền của Steerman taproom T6</t>
  </si>
  <si>
    <t>mad thanh toan in namecard cua MR Danh</t>
  </si>
  <si>
    <t>Trả tiền nhà cung cấp CÔNG TY TNHH THƯƠNG MẠI VÀ VẬN TẢI THÁI TÂN 3 keg men US</t>
  </si>
  <si>
    <t>Thu tiền của CÔNG TY TNHH COOLABAH 15/8</t>
  </si>
  <si>
    <t>Thu tiền của Choi Oi Noodle 15/8</t>
  </si>
  <si>
    <t>Thu tiền của Quán Xịn</t>
  </si>
  <si>
    <t>Thu tiền của Khách Lumiere</t>
  </si>
  <si>
    <t>Thu tiền của Khách LeifLarsonLemonade</t>
  </si>
  <si>
    <t>Thu tiền của Pelo Pelo</t>
  </si>
  <si>
    <t>ale expenses to Ricky at Danang event</t>
  </si>
  <si>
    <t>Thu tiền của Indika Sai Gon T7 và nợ cũ</t>
  </si>
  <si>
    <t>mad thanh toan cuoc van chuyen di hn ngay 23th7</t>
  </si>
  <si>
    <t>Thu tiền của Olivers Pizza</t>
  </si>
  <si>
    <t>Thu tiền của 7 Bridges Saigon HATR HĐ 105</t>
  </si>
  <si>
    <t>Chi tiền đăng ký BHXH 3 năm</t>
  </si>
  <si>
    <t>TM0712M dong bhxh th08</t>
  </si>
  <si>
    <t>Mua pin+ đồ cúng xưởng 19/8+ phí ship bản tự công bố sp 16/8</t>
  </si>
  <si>
    <t>Thu tiền của Minimart (a Hiếu ck 14/08/24)</t>
  </si>
  <si>
    <t>Thu tiền của Windbeast Sapa T6  (a Hiếu ck 14/08/24)</t>
  </si>
  <si>
    <t>Thu tiền của Hops&amp;Chops T6 (a Hiếu ck 14/08/24)</t>
  </si>
  <si>
    <t>Thu tiền của Sprortivo (a Hiếu ck 14/08/24)</t>
  </si>
  <si>
    <t>Thu tiền của Chấu Vỏ (a Hiếu ck 14/08/24)</t>
  </si>
  <si>
    <t>Thu tiền của NYC Pizza 13/8 (a Hiếu ck 14/08/24)</t>
  </si>
  <si>
    <t>mad thanh toan cong no in label</t>
  </si>
  <si>
    <t>Thu tiền của CÔNG TY TNHH NHÀ HÀNG THIÊN AN T7</t>
  </si>
  <si>
    <t>Thu tiền của Khách Tuấn Anh đơn 5/8</t>
  </si>
  <si>
    <t>Chi tiền bưu điện và hotline T7 13/8</t>
  </si>
  <si>
    <t>Tnr tra lemon 27 7</t>
  </si>
  <si>
    <t>OT17234337802086 ty gia 25227 so tien mua 5050 USD noi dung thanh toan: Deposit 50persent PI SHF240808</t>
  </si>
  <si>
    <t>Chi tiền cho SHIN HAN INDUSTRIAL CO., LTD. 67, NAMDONGSEO-RO 316BEON-GIL,NAMDO NG-GU, INCHEON, REPUBLIC OF KOREA</t>
  </si>
  <si>
    <t>Phí ship HĐ Ụt Ụt, Sang An, K11 Kizuna cho Minh 12/8</t>
  </si>
  <si>
    <t>Thu tiền của Bistro KAZ Đà Nẵng đơn 26/6</t>
  </si>
  <si>
    <t>Thu tiền của Bistro Sapa T7</t>
  </si>
  <si>
    <t>Thu tiền của Dreibar Craftbeer &amp; Cocktail T7</t>
  </si>
  <si>
    <t>Thu tiền sự kiện DN 4/7 và 27/7 lần 1</t>
  </si>
  <si>
    <t>Thu tiền sự kiện DN 4/7 và 27/7 lần 2</t>
  </si>
  <si>
    <t>Thu tiền sự kiện DN 4/7 và 27/7 lần 3</t>
  </si>
  <si>
    <t>Thu tiền của Apic Cafe</t>
  </si>
  <si>
    <t>Thu tiền của SOMA 11/7</t>
  </si>
  <si>
    <t>Thu tiền của Mixtape Drinks T7</t>
  </si>
  <si>
    <t>Phí ship + phí dô bãi xe + Phí thu keg rỗng DN</t>
  </si>
  <si>
    <t>Thu tiền của 5to9 T7</t>
  </si>
  <si>
    <t>Thu tiền của Craftbeerbox T7</t>
  </si>
  <si>
    <t>mad thanh toan quotation ngay 07th8</t>
  </si>
  <si>
    <t>Thu tiền của Danang Rooftop Craft Beer T7 phần còn lại</t>
  </si>
  <si>
    <t>Thu tiền của The Local T4 (a Hiếu ck 7/8/24)</t>
  </si>
  <si>
    <t>Thu tiền của Charlie T6+T7 (a Hiếu ck 7/8/24)</t>
  </si>
  <si>
    <t>Thu tiền của Hops&amp;Chops T7 (a Hiếu ck 7/8/24)</t>
  </si>
  <si>
    <t>Thu tiền của Wecked Burger T7 (a Hiếu ck 7/8/24)</t>
  </si>
  <si>
    <t>Thu tiền của Pizza Belga T6 ( a Hiếu ck 7/8/24)</t>
  </si>
  <si>
    <t>Thu tiền của Evenstar T6 + T7</t>
  </si>
  <si>
    <t>Thu tiền của Pelo Pelo (a Hiếu ck 7/8/24)</t>
  </si>
  <si>
    <t>Thu tiền của NYC Pizza T7 (a Hiếu ck 7/8/24)</t>
  </si>
  <si>
    <t>Thu tiền của Hanoi Taco T6 (a Hiếu ck 7/8/24)</t>
  </si>
  <si>
    <t>Thu tiền của Mose and Roo XD T6 (a Hiếu ck 7/8/24)</t>
  </si>
  <si>
    <t>Thu tiền của Sprortivo T6 (a Hiếu ck 7/8/24)</t>
  </si>
  <si>
    <t>Thu tiền của Minimart (a Hiếu ck 7/8/24) T7 lần 2</t>
  </si>
  <si>
    <t>mad thanh toan cuoc vc 59 keg rong tu hn ve k14 ngay 06th8</t>
  </si>
  <si>
    <t>Nạp 4 bình Co2 và thu 34 keg Ninh Bình</t>
  </si>
  <si>
    <t>Thu tiền của Banana T7</t>
  </si>
  <si>
    <t>Thu tiền của CÔNG TY TNHH COOLABAH</t>
  </si>
  <si>
    <t>phi dich vu th8 Minh</t>
  </si>
  <si>
    <t>mad thanh toan 300 lit ethanol</t>
  </si>
  <si>
    <t>mad thanh toan phi thue kho K11 25th7 den 24th10</t>
  </si>
  <si>
    <t>Mad thanh toan Phi dich vu Kizuna th07</t>
  </si>
  <si>
    <t>Hoan quy COD T7</t>
  </si>
  <si>
    <t>Gus CK=&gt;6446,8 USD</t>
  </si>
  <si>
    <t>160.000.000</t>
  </si>
  <si>
    <t>Thu tiền của Quán SAAY T7 phần còn lại</t>
  </si>
  <si>
    <t>CHUYEN LAI TIEN DO CK NHAM</t>
  </si>
  <si>
    <t>mad thanh toan tien duong</t>
  </si>
  <si>
    <t>Trả lương nhân viên Phúc T7</t>
  </si>
  <si>
    <t>Trả lương nhân viên Ricky T7</t>
  </si>
  <si>
    <t>Trả lương nhân viên Ngọc T7</t>
  </si>
  <si>
    <t>Trả lương nhân viên Tiến T7</t>
  </si>
  <si>
    <t>Trả lương nhân viên Chú Hùng T7</t>
  </si>
  <si>
    <t>Trả lương nhân viên Mike T7</t>
  </si>
  <si>
    <t>Trả lương nhân viên Hậu T7</t>
  </si>
  <si>
    <t>Trả lương nhân viên anh Thanh T7</t>
  </si>
  <si>
    <t>mad thanh toan tien nc may tu Cam ve k14</t>
  </si>
  <si>
    <t>Chi tiền cho NGUYEN VU TUYEN</t>
  </si>
  <si>
    <t>mad thanh toan don hang 2-8</t>
  </si>
  <si>
    <t>Thu tiền của The 100 Garden T7</t>
  </si>
  <si>
    <t>Phí ship + Mua đồ cúng xưởng 5/8</t>
  </si>
  <si>
    <t>Tnr tra Leom  15 7   23 7 pale</t>
  </si>
  <si>
    <t>Chuyen khoan dat coc sua chua he Glycol cho Sang An</t>
  </si>
  <si>
    <t>Thu tiền của CÔNG TY TNHH THƯƠNG MẠI DỊCH VỤ NÔNG TRẠI KHOAI 11/7</t>
  </si>
  <si>
    <t>Thu tiền của Saigon Hot Wings 22/7</t>
  </si>
  <si>
    <t>Cty New Hops tt bia T6 theo hd 60+66+67 cho NCC MAD Alchemists</t>
  </si>
  <si>
    <t>Thu tiền của Hem Chill 31/7</t>
  </si>
  <si>
    <t>Thu tiền của Gringo Taco 31/7</t>
  </si>
  <si>
    <t>Chi tiền mua 20 thùng carton+ Phí ship+ ccdc ở xưởng+ đồ dùng gắn đèn cho Boosh</t>
  </si>
  <si>
    <t>Phí ship Mơi DL 31/7</t>
  </si>
  <si>
    <t>Thanh toán tiền in tem trồng cổ 1/8</t>
  </si>
  <si>
    <t>1.560.000</t>
  </si>
  <si>
    <t>thanh toan tien mua may loc nuoc</t>
  </si>
  <si>
    <t>Gus CK =&gt; 11.865,33 USD</t>
  </si>
  <si>
    <t>Gus CK =&gt; 2.657,83 USD</t>
  </si>
  <si>
    <t>67.200.000</t>
  </si>
  <si>
    <t>THANH TOAN PHAN CON LAI LON RONG VA NAP</t>
  </si>
  <si>
    <t>Thu tiền của Funk Factocry T7</t>
  </si>
  <si>
    <t>Thanh toán tiền mua máy lọc nước 30/7</t>
  </si>
  <si>
    <t>Thanh toán 100% đơn hàng nhập máy móc Filltration machine (OT17223211775361 ty gia 25408 so tien mua 14400 USD noi dung thanh toan: 100 PERSENT PI YX-S0729)</t>
  </si>
  <si>
    <t>100 PERSENT PI YX-S0729</t>
  </si>
  <si>
    <t>34.727.942</t>
  </si>
  <si>
    <t>Thu tiền của Pi Boutique Đà Lạt</t>
  </si>
  <si>
    <t>Thu tiền 1075 lon và nắp lần 1</t>
  </si>
  <si>
    <t>Thu tiền của CÔNG TY TNHH KITCHEN GOLD T6 T7</t>
  </si>
  <si>
    <t>Thu tiền của Quán SAAY T7 lần 1</t>
  </si>
  <si>
    <t>thanh toan tien mua may in</t>
  </si>
  <si>
    <t>Thu tiền của Bluish Coffee &amp; Beer T6</t>
  </si>
  <si>
    <t>Gift Crazy Duck Brewing- Gia công bia Lager</t>
  </si>
  <si>
    <t>phi thong quan</t>
  </si>
  <si>
    <t>1.500.000</t>
  </si>
  <si>
    <t>mad thanh toan tien vc hoa don so  3922 đơn HN 9/7</t>
  </si>
  <si>
    <t>Thanh toán tiền mua máy in 25/7</t>
  </si>
  <si>
    <t>Trả tiền ship 10 coupler</t>
  </si>
  <si>
    <t>Chi tiền ship cho 3 keg nhựa</t>
  </si>
  <si>
    <t>phi dich thuat cong chung hso</t>
  </si>
  <si>
    <t>Chi tiền cho CÔNG TY TNHH VẬN TẢI BÁCH VIỆT</t>
  </si>
  <si>
    <t>mad dat coc in tem</t>
  </si>
  <si>
    <t>1.000.000</t>
  </si>
  <si>
    <t>Tnr tra lemon va pale 6 7</t>
  </si>
  <si>
    <t>Thu tiền của CÔNG TY CỔ PHẦN CALEDONIA VIỆT NAM T5</t>
  </si>
  <si>
    <t>Trả tiền nhà cung cấp Xe kéo đẩy Lê Minh phần còn lại</t>
  </si>
  <si>
    <t>ricky ticket to Danang event</t>
  </si>
  <si>
    <t>Hau ticket to danang event</t>
  </si>
  <si>
    <t>Ricky comission from Feb to Jun</t>
  </si>
  <si>
    <t>Thuế GTGT / VAT tax</t>
  </si>
  <si>
    <t>19.958.034</t>
  </si>
  <si>
    <t>mad thanh toan tien mua may xit</t>
  </si>
  <si>
    <t>Trả tiền nhà cung cấp Anh Nhựt chạy xe tải Tháng 6</t>
  </si>
  <si>
    <t>Phí local charge lô hàng nhập lon rỗng</t>
  </si>
  <si>
    <t>Mad Thanh toan phi dich vu hai quan theo hoa don so 00014145</t>
  </si>
  <si>
    <t>Thu tiền của Danang Rooftop Craft Beer T6 phần còn lại</t>
  </si>
  <si>
    <t>phi bao tri he thong chiler</t>
  </si>
  <si>
    <t>mad thanh toan phi test mau nuoc/ Testing water</t>
  </si>
  <si>
    <t>TM0712M dong bhxh th07</t>
  </si>
  <si>
    <t>Mad thanh toan phi thay loi loc RO hd 25</t>
  </si>
  <si>
    <t>OT17212746131567 ty gia 25410 so tien mua 5555.6 USD noi dung thanh toan: THE REST PAYMENT PI MA24062702</t>
  </si>
  <si>
    <t>THE REST PAYMENT PI MA24062702</t>
  </si>
  <si>
    <t>Phí ship hồ sơ cho Minh + Công chứng+ đồ cúng xưởng + phí ship cho khách+ vpp+ gửi hồ sơ VP luật</t>
  </si>
  <si>
    <t>Tnr tra lemon va pale 25 6</t>
  </si>
  <si>
    <t>Thu tiền của Bistro Sapa T6</t>
  </si>
  <si>
    <t>Thu tiền của Soul Pizza &amp; Burger T6</t>
  </si>
  <si>
    <t>Thu tiền của Indika Sai Gon T6 lần 1</t>
  </si>
  <si>
    <t>Trả lương nhân viên Hậu sale T6</t>
  </si>
  <si>
    <t>Lương BS T6 Tiến</t>
  </si>
  <si>
    <t>17.854.199</t>
  </si>
  <si>
    <t>Thu tiền của Mơi DaLat</t>
  </si>
  <si>
    <t>Thu tiền của The Saga Hoi An Hotel T6</t>
  </si>
  <si>
    <t>mad thanh toan phi bao hanh hop dong he Glycol</t>
  </si>
  <si>
    <t>Phí book ship sample cho Ricky</t>
  </si>
  <si>
    <t>Thu tiền của CÔNG TY TNHH ONE LOVE T6</t>
  </si>
  <si>
    <t>Thu tiền của BONDRUNK</t>
  </si>
  <si>
    <t>Thu tiền của Bearloga - Shisha Place 7/6</t>
  </si>
  <si>
    <t>Trả tiền nhà cung cấp CÔNG TY TNHH XÂY DỰNG VÀ MÔI TRƯỜNG NHẬT Ý</t>
  </si>
  <si>
    <t>Trả tiền nhà cung cấp Nước suối Satori 20 bình</t>
  </si>
  <si>
    <t>RICHARD GINIS transfer</t>
  </si>
  <si>
    <t>Gus CK=&gt; 5.534,06 USD</t>
  </si>
  <si>
    <t>140.205.387</t>
  </si>
  <si>
    <t>mad dat coc tien xe day hang</t>
  </si>
  <si>
    <t>Mad thanh toan phi dich vu th06 cho Kizuna</t>
  </si>
  <si>
    <t>Mad thanh toan tien thue xuong quy 3 cho Kizuna</t>
  </si>
  <si>
    <t>mad thanh toan cuoc vc 23 keg rong tu hn Vao Long An ngay 01 th7</t>
  </si>
  <si>
    <t>mad thanh toan cuoc vc keg rong tu hn di Long an ngay 05th7</t>
  </si>
  <si>
    <t>mad thanh toan hd van chuyen so 3524 (DN 22/6)  va 3576 (DN 25/6)</t>
  </si>
  <si>
    <t>Thu tiền của Section 30 Da Nang T6</t>
  </si>
  <si>
    <t>Trả lương nhân viên Hiếu Lê T6</t>
  </si>
  <si>
    <t>thanh toan vc tien mu</t>
  </si>
  <si>
    <t>Thu tiền của The Basket Boat Cafe &amp; Restaurant</t>
  </si>
  <si>
    <t>Thu tiền của Nhà hàng S&amp;B T5 (a Hiếu ck 7/7)</t>
  </si>
  <si>
    <t>Thu tiền của Minimart T7 (a Hiếu ck 7/7)</t>
  </si>
  <si>
    <t>Thu tiền của Fabric T6 (a Hiếu ck 7/7)</t>
  </si>
  <si>
    <t>Thu tiền của Nhà hàng S&amp;B T6 (a Hiếu ck 7/7)</t>
  </si>
  <si>
    <t>Thu tiền của The Snug T6 (a Hiếu ck 7/7)</t>
  </si>
  <si>
    <t>Thu tiền của Los Fuegos T6 (a Hiếu ck 7/7)</t>
  </si>
  <si>
    <t>Chi phí Hà Nội =&gt; Cấn trừ thu COD  (a Hiếu ck 7/7)</t>
  </si>
  <si>
    <t>Thu tiền của Cham Whiskey + Craft Beer T6</t>
  </si>
  <si>
    <t>Thu tiền của Hem Chill 28/6</t>
  </si>
  <si>
    <t>Thu tiền của Choi Oi Noodle 25/6</t>
  </si>
  <si>
    <t>Thu tiền của Bearloga - Shisha Place 1/7</t>
  </si>
  <si>
    <t>Thu tiền của H- Pub 2/7</t>
  </si>
  <si>
    <t>mad dat coc tien in 50 mu cho su kien da nang</t>
  </si>
  <si>
    <t>Phí thu keg + hotline+ bưu điện + gửi hồ sơ cho Minh</t>
  </si>
  <si>
    <t>dusam 4keg +1 thunderslap T7</t>
  </si>
  <si>
    <t>mad thanh toan 500kg chanh ko hat</t>
  </si>
  <si>
    <t>Trả lương nhân viên Mike T6 lần 1</t>
  </si>
  <si>
    <t>Thu tiền của A6 Garden  T6</t>
  </si>
  <si>
    <t>Thu tiền của 5to9 T6</t>
  </si>
  <si>
    <t>Thu tiền của Unique Craft Beer</t>
  </si>
  <si>
    <t>Thu tiền của Gordon's Pizza Da Nang T6</t>
  </si>
  <si>
    <t>Thu tiền của Quán SAAY T6</t>
  </si>
  <si>
    <t>Thu tiền của Midway Cafe T6</t>
  </si>
  <si>
    <t>TR PSBC Ly Tu Trong Hoa don Thunderslap IPA 24.6.24</t>
  </si>
  <si>
    <t>hotel fee at Danang beer fest</t>
  </si>
  <si>
    <t>Trả lương nhân viên Ricky tháng 6 lần 2</t>
  </si>
  <si>
    <t>Trả lương nhân viên Phúc tháng 6</t>
  </si>
  <si>
    <t>BG-018998 dat coc Tinlaw - depoosit to switch ownership to Gus</t>
  </si>
  <si>
    <t>Hoàn quỹ COD tháng 6</t>
  </si>
  <si>
    <t>Thu tiền của CÔNG TY TNHH COOLABAH 29/6</t>
  </si>
  <si>
    <t>phi dich vu th7 - Minh</t>
  </si>
  <si>
    <t>Phí ship + mua lá và phao cơ</t>
  </si>
  <si>
    <t>Thu tiền của The Hide Out T5 ( a Hiếu ck 30/6)</t>
  </si>
  <si>
    <t>Thu tiền của Minimart T6  ( a Hiếu ck 30/6)</t>
  </si>
  <si>
    <t>Thu tiền của Đồng Chí T6  ( a Hiếu ck 30/6)</t>
  </si>
  <si>
    <t>Thu tiền của Longwaits ( a Hiếu ck 30/6)</t>
  </si>
  <si>
    <t>Thu tiền của Turtle Lake T5  ( a Hiếu ck 30/6)</t>
  </si>
  <si>
    <t>thanh toan ve may bay Ricky SG-DN</t>
  </si>
  <si>
    <t>ve may bay Hieu HN DN</t>
  </si>
  <si>
    <t>Thu tiền của Hanoi Cider T5</t>
  </si>
  <si>
    <t>hanh toan cuoc vc di hn ngay 8-6 hd so 3199</t>
  </si>
  <si>
    <t>CKCTY 5c63d796- Testing water nước RO</t>
  </si>
  <si>
    <t>Trả lương nhân viên Chú Hùng T6</t>
  </si>
  <si>
    <t>Trả lương nhân viên Tiến T6</t>
  </si>
  <si>
    <t>Trả lương nhân viên Ngọc T6</t>
  </si>
  <si>
    <t>Trả lương nhân viên anh Thanh T6</t>
  </si>
  <si>
    <t>Trả lương nhân viên Mike Tháng 6 lần 1</t>
  </si>
  <si>
    <t>Trả lương nhân viên Ricky tháng 6 lần 1</t>
  </si>
  <si>
    <t>Thanh toán 30% cho đơn hàng lon. - Pay 30% of the order for cans.</t>
  </si>
  <si>
    <t>Phí chuyển khoản 30% đơn hàng lon - Transaction fee 30% of can order</t>
  </si>
  <si>
    <t>Thu tiền của SVVIFT MANUFACTUFING lần 2</t>
  </si>
  <si>
    <t>Gus CK=&gt; 2.539,70 USD</t>
  </si>
  <si>
    <t>64.343.210</t>
  </si>
  <si>
    <t>Thu tiền của CÔNG TY CỔ PHẦN ỤT ỤT - CHI NHÁNH BIACRAFT LÊ NGÔ CÁT T4 (Tổng trả17.138.000đ)</t>
  </si>
  <si>
    <t>Thu tiền của CÔNG TY CỔ PHẦN ỤT ỤT - CHI NHÁNH BIACRAFT XUÂN THỦY  T4 (Tổng trả17.138.000đ)</t>
  </si>
  <si>
    <t>Thu tiền của CÔNG TY CỔ PHẦN ỤT ỤT - CHI NHÁNH BIACRAFT Chi nhánh 300TS T4 (Tổng trả17.138.000đ)</t>
  </si>
  <si>
    <t>thanh toan phan con lai 5k coaster</t>
  </si>
  <si>
    <t>mad pro thanh toan phi bao hanh hd KMCHDCT-20211221</t>
  </si>
  <si>
    <t>CONG TY TNHH MTV TRAMICKAR ck Fuzzy Logic bill 03,04/2024</t>
  </si>
  <si>
    <t>Đặt cọc tiền in mũ</t>
  </si>
  <si>
    <t>BEER UNITED -option A - Fuzzy Logic</t>
  </si>
  <si>
    <t>Mad Alchemists transfer deposit K14</t>
  </si>
  <si>
    <t>Rent</t>
  </si>
  <si>
    <t>TM0712M dong bhxh th06</t>
  </si>
  <si>
    <t>Chuyen dat coc bao tri RO cho cty Nhat Y</t>
  </si>
  <si>
    <t>Phí gửi hồ sơ cho 3BM + Bảng kê mua đồ cúng ở xưởng 26/6</t>
  </si>
  <si>
    <t>Gửi tiền</t>
  </si>
  <si>
    <t>Tnr tra lemon 7 6 va 14 6 plae 19 6</t>
  </si>
  <si>
    <t>Gus CK=&gt; 11.841,33 USD</t>
  </si>
  <si>
    <t>Gus CK=&gt;3.947,11 USD</t>
  </si>
  <si>
    <t>Phí ship khách VT sample</t>
  </si>
  <si>
    <t>nhân viên Chi Cao ứng lương T6</t>
  </si>
  <si>
    <t>thanh toan cuoc vc hoa don so 3065 đơn HN 1/6</t>
  </si>
  <si>
    <t>Thu tiền của Ongbalo</t>
  </si>
  <si>
    <t>Thu tiền của The Pasteur Street Tap Room</t>
  </si>
  <si>
    <t>Thu tiền của Aloha Poke and Beer T5</t>
  </si>
  <si>
    <t>Phí ship VT Craft Beer 21/6</t>
  </si>
  <si>
    <t>Phí gửi hồ sơ cho Minh ký (đi-về) 21/6 + Tiền hotline T5</t>
  </si>
  <si>
    <t>Thu tiền của Charlie (a Hiếu ck 20/6)</t>
  </si>
  <si>
    <t>Thu tiền của Pale Ale T5 (a Hiếu ck 20/6)</t>
  </si>
  <si>
    <t>Thu tiền của Sprortivo (a Hiếu ck 20/6)</t>
  </si>
  <si>
    <t>Thu tiền của Đồng Chí (a Hiếu ck 20/6)</t>
  </si>
  <si>
    <t>Thu tiền của NYC Pizza 17/5 (a Hiếu ck 20/6)</t>
  </si>
  <si>
    <t>Thu tiền của Smoke house HBT T5 (a Hiếu ck 20/6)</t>
  </si>
  <si>
    <t>Thu tiền của Chấu Vỏ T5 (a Hiếu ck 20/6)</t>
  </si>
  <si>
    <t>Thu tiền của Safeway Market T6 (a Hiếu ck 20/6)</t>
  </si>
  <si>
    <t>Thu tiền của Pizza Belga T5 (a Hiếu ck 20/6)</t>
  </si>
  <si>
    <t>Thu tiền của Kali T5 (a Hiếu ck 20/6)</t>
  </si>
  <si>
    <t>Thu tiền của Indika Sai Gon T5 lần 1</t>
  </si>
  <si>
    <t>Trả tiền nhà cung cấp Anh Nhựt chạy xe tải T5</t>
  </si>
  <si>
    <t>Trả lương nhân viên Hậu sale T5</t>
  </si>
  <si>
    <t>Thu tiền của Whale Pizza</t>
  </si>
  <si>
    <t>Tạm ứng in coaster fuzzy</t>
  </si>
  <si>
    <t>Phí ship Soul VT 18/6</t>
  </si>
  <si>
    <t>Payment for beer from Mad Alchemist s in April, May - HD: 38,54,55 - TR HA and TRDD</t>
  </si>
  <si>
    <t>Thu tiền của Jimmy's New York Pizza</t>
  </si>
  <si>
    <t>Thu tiền của Soul Pizza &amp; Burger T5</t>
  </si>
  <si>
    <t>Tnr tra 27 5 pale va lemon</t>
  </si>
  <si>
    <t>Thu tiền của Beer Studio T4</t>
  </si>
  <si>
    <t>Trả tiền nhà cung cấp Lê Sport/ Lê Flag phần còn lại</t>
  </si>
  <si>
    <t>Tiền vc</t>
  </si>
  <si>
    <t>Transfer to hoa chat cho NCL</t>
  </si>
  <si>
    <t>Chi tiền mua sủ bào và lưới kệ móc tư 14/6 - 17/6</t>
  </si>
  <si>
    <t>Phí ship của Khói Craft</t>
  </si>
  <si>
    <t>Thu tiền của Red Bison T5</t>
  </si>
  <si>
    <t>TM0712M dong bhxh T5 phần còn lại - lãi chậm đóng</t>
  </si>
  <si>
    <t>Thu tiền của The 100 Garden T5 lần 2</t>
  </si>
  <si>
    <t>mad thanh toan tien NVL</t>
  </si>
  <si>
    <t>16.700.750</t>
  </si>
  <si>
    <t>nop thue cho Mad Genius</t>
  </si>
  <si>
    <t>12.700.000</t>
  </si>
  <si>
    <t>Danang Beer fest 2024 - Fuzzy Logic</t>
  </si>
  <si>
    <t>Mad thanh toan phi dich vu thue 3,4,5</t>
  </si>
  <si>
    <t>Phúc ck lại tiền lương dư T5</t>
  </si>
  <si>
    <t>Thu tiền của Craftbeerbox T5</t>
  </si>
  <si>
    <t>Thanh toan NVL cho HMG hoa don so 165</t>
  </si>
  <si>
    <t>Thanh toan NVL cho HMG hoa don so 228 ngày 3/5</t>
  </si>
  <si>
    <t>Thanh toan phi dich vu thang 3 cho Kizuna</t>
  </si>
  <si>
    <t>Thanh toan tien label cho Hiep Phuoc hoa don 287</t>
  </si>
  <si>
    <t>Thu tiền của Chấu Vỏ T4 (a Hiếu ck 10/6)</t>
  </si>
  <si>
    <t>Thu tiền của Hanoi Taco T4 (a Hiếu ck 10/6)</t>
  </si>
  <si>
    <t>Thu tiền của The Snug T4 và T5 (a Hiếu ck 10/6)</t>
  </si>
  <si>
    <t>Thu tiền của Kali T4 (a Hiếu ck 10/6)</t>
  </si>
  <si>
    <t>Thu tiền của Đồng Chí (a Hiếu ck 10/6)</t>
  </si>
  <si>
    <t>Thu tiền của Minimart T5 (a Hiếu ck 10/6)</t>
  </si>
  <si>
    <t>Thu tiền của Los Fuegos T5 (a Hiếu ck 10/6)</t>
  </si>
  <si>
    <t>Thu tiền của TnR lemon 20/5</t>
  </si>
  <si>
    <t>Hoan quy thang 5 lan 1</t>
  </si>
  <si>
    <t>Hoan quy thang 5 lan 2</t>
  </si>
  <si>
    <t>Phí ship Khói Craft</t>
  </si>
  <si>
    <t>Trả lương nhân viên Mike T3 và T4 lần 2</t>
  </si>
  <si>
    <t>Trả lương nhân viên Mike T5</t>
  </si>
  <si>
    <t>Trả lương nhân viên Phúc deliver T5</t>
  </si>
  <si>
    <t>Phí dịch vụ tháng 4.5</t>
  </si>
  <si>
    <t>Thu tiền của SVVIFT MANUFACTUFING lần 1</t>
  </si>
  <si>
    <t>Gus ck=&gt; 11.841,33 USD</t>
  </si>
  <si>
    <t>Trả lương nhân viên Mike T4</t>
  </si>
  <si>
    <t>Trả lương nhân viên Mike T3</t>
  </si>
  <si>
    <t>Trả lương nhân viên Ricky T5</t>
  </si>
  <si>
    <t>Trả lương nhân viên Chú Hùng T5</t>
  </si>
  <si>
    <t>Trả lương nhân viên Tiến T5</t>
  </si>
  <si>
    <t>Mad thanh toan cuoc vc hcn ha noi ngay 11 th5 hdon so 2532</t>
  </si>
  <si>
    <t>kegerator - lan 1 thanh toan ngay 16th10n23</t>
  </si>
  <si>
    <t>thanh toan tien 150keg con lai nam 23</t>
  </si>
  <si>
    <t>Mad thanh toan bao hanh kho lanh</t>
  </si>
  <si>
    <t>Mad thanh toan phi dich vu thang 5 cho Kizuna</t>
  </si>
  <si>
    <t>Mad thanh toan tien thue xuong quy 2 con lai cho Kizuna</t>
  </si>
  <si>
    <t>TM0712M Thanh toan BHXh thang 5</t>
  </si>
  <si>
    <t>Thuế - C:755-TM:1754-KT:00/04/202</t>
  </si>
  <si>
    <t>9.200.597</t>
  </si>
  <si>
    <t>Thuế - C:755-TM:1758-KT:00/04/202</t>
  </si>
  <si>
    <t>10.370.476</t>
  </si>
  <si>
    <t>Thuế TnCN</t>
  </si>
  <si>
    <t>Thu tiền của Khách Tuấn Anh</t>
  </si>
  <si>
    <t>mad dat coc in an</t>
  </si>
  <si>
    <t>thue keg su kien Event Sai Gon Outcat th2 24</t>
  </si>
  <si>
    <t>thanh toan tien vat tu ong chuyen bia</t>
  </si>
  <si>
    <t>thanh toan lan 2 kegerator - thanh toan lan 1 thang 11 23</t>
  </si>
  <si>
    <t>Thu tiền của Bistro Sapa T5</t>
  </si>
  <si>
    <t>Thu tiền của Mơi DaLat T5</t>
  </si>
  <si>
    <t>Thu tiền của Danang Rooftop Craft Beer T5</t>
  </si>
  <si>
    <t>thanh toán phí thay máy nén  4hp và dan nong ngày 28/3</t>
  </si>
  <si>
    <t>Luong Th1 Nhật Minh</t>
  </si>
  <si>
    <t>Minh Cambo trip Expenses</t>
  </si>
  <si>
    <t>Minh service April</t>
  </si>
  <si>
    <t>Thanh toán tiền thuê keg Henry tại Boosh từ tháng 10/23 đến tháng 6/23</t>
  </si>
  <si>
    <t>Thanh toán tiền in 360 ly còn lại</t>
  </si>
  <si>
    <t>Thanh toán tiền vc 24 keg rỗng từ HN vào K14 ngày 27/5</t>
  </si>
  <si>
    <t>thanh toán phí test mẫu nước/ Testing water</t>
  </si>
  <si>
    <t>Thu tiền của KUC</t>
  </si>
  <si>
    <t>Chi tiền thay bình CO2 + hàn bít + phí ship từ 3/6 - 8/6</t>
  </si>
  <si>
    <t>Thu tiền của CÔNG TY CỔ PHẦN GIẢI PHÁP MUA HÀNG ƯU VIỆT TPS T4 + T5</t>
  </si>
  <si>
    <t>Trả lương nhân viên Henry</t>
  </si>
  <si>
    <t>thanh toan hoa don vc di ha noi ngay 4th5 hd so 2341</t>
  </si>
  <si>
    <t>Trả lương nhân viên Chi Cao tháng 5 lần 1</t>
  </si>
  <si>
    <t>Trả tiền nhà cung cấp Anh Nhựt chạy xe tải T4</t>
  </si>
  <si>
    <t>Chi tiền phí ship và bảng đen Event  từ 1/6 - 11/6</t>
  </si>
  <si>
    <t>Thu tiền của CÔNG TY TNHH ONE LOVE</t>
  </si>
  <si>
    <t>Thu tiền của 5to9 T5</t>
  </si>
  <si>
    <t>Thu tiền của CÔNG TY TNHH COOLABAH T5</t>
  </si>
  <si>
    <t>Tra lai so du tren tai khoan - thang 05/2024</t>
  </si>
  <si>
    <t>mad thanh toan tien 360 cai ly</t>
  </si>
  <si>
    <t>Trả lương nhân viên Ricky sale T4 lần 2</t>
  </si>
  <si>
    <t>Chi tiền cho Biafest Vung Tau fee</t>
  </si>
  <si>
    <t>mad thanh toan phi xu ly gas nap gas may</t>
  </si>
  <si>
    <t>mad thanh toan hoa don chanh so 14 ngay 27 thang 5</t>
  </si>
  <si>
    <t>Chi tiền Jockey box</t>
  </si>
  <si>
    <t>Chi tiền phí ship + đổi bình CO2 cho Loft+ phí bưu điện T5</t>
  </si>
  <si>
    <t>Thu tiền của Sala Beach Club Camping / Vung Tau</t>
  </si>
  <si>
    <t>Thu tiền của Bottle Shop T4</t>
  </si>
  <si>
    <t>phi qli</t>
  </si>
  <si>
    <t>Thu tiền của Cambodia- Patrick</t>
  </si>
  <si>
    <t>Tnr tra lemon 8 5 13 5 lemon va pale</t>
  </si>
  <si>
    <t>Thu tiền của CÔNG TY TNHH KITCHEN GOLD T4</t>
  </si>
  <si>
    <t>Thu tiền của My Cay Ong Tay</t>
  </si>
  <si>
    <t>Madpro thanh toan phi bao hanh hop dong dien</t>
  </si>
  <si>
    <t>Trả lương nhân viên anh Hiếu sale T4 lần 2</t>
  </si>
  <si>
    <t>Trả lương nhân viên Nguyễn Vũ Nhật Minh T5 lần 1</t>
  </si>
  <si>
    <t>ck nhầm Thái Tân -Mad thanh toan cuoc vc hcn ha noi ngay 4 th5 hoa don so 2341</t>
  </si>
  <si>
    <t>Trả lương nhân viên Hậu sale T4</t>
  </si>
  <si>
    <t>mad thanh toan 4 keg nhua</t>
  </si>
  <si>
    <t>Trả lương nhân viên Ricky sale T4 lần 1</t>
  </si>
  <si>
    <t>Thu tiền của Nhà hàng S&amp;B T4 (a Hiếu ck 25/5)</t>
  </si>
  <si>
    <t>Thu tiền của Pizza Belga T4 (A Hiếu CK 25/05/24)</t>
  </si>
  <si>
    <t>Thu tiền của Khách Thư</t>
  </si>
  <si>
    <t>Trả tiền nhà cung cấp CÔNG TY TNHH THƯƠNG MẠI VÀ VẬN TẢI THÁI TÂN</t>
  </si>
  <si>
    <t>MAB thanh toan tien thue xuong quy 2 lần 3</t>
  </si>
  <si>
    <t>UT UT THANH TOAN TIEN BIA THANG 04.2024 - nợ cũ (Tổng trả 50tr)</t>
  </si>
  <si>
    <t>UT UT THANH TOAN TIEN BIA THANG 04.2024- TK cty (tổng trả 50tr)</t>
  </si>
  <si>
    <t>Trả lương nhân viên anh Hiếu sale T4 lần 1</t>
  </si>
  <si>
    <t>Thu tiền của Aloha Poke and Beer T4</t>
  </si>
  <si>
    <t>Thu tiền của Funk Factocry T4</t>
  </si>
  <si>
    <t>Thu tiền của Patrick</t>
  </si>
  <si>
    <t>Chi tiền cho Mad thanh toan gia hạn phi giam sat ISO</t>
  </si>
  <si>
    <t>Trả lương nhân viên Chi Cao T4 lần 3</t>
  </si>
  <si>
    <t>Mad thanh toan tien duong</t>
  </si>
  <si>
    <t>Phí ship keg nhựa đến K14</t>
  </si>
  <si>
    <t>Thu tiền của Chookies hideaway Ninh Binh T4</t>
  </si>
  <si>
    <t>Thu tiền của 7 Bridges Saigon- TK cty</t>
  </si>
  <si>
    <t>TM0712M - DONG BHXH T2,3,4</t>
  </si>
  <si>
    <t>Thu tiền của CÔNG TY CỔ PHẦN ỤT ỤT - 90XTT T1,2,3 (Tổng 51.189.000)</t>
  </si>
  <si>
    <t>Thu tiền của  ỤT ỤT - CHI NHÁNH BIACRAFT NGUYỄN ĐỨC CẢNH (Tổng 51.189.000)</t>
  </si>
  <si>
    <t>Thu tiền của CÔNG TY CỔ PHẦN ỤT ỤT Chi nhánh 300TS- (tổng 51,189,000)</t>
  </si>
  <si>
    <t>Thu tiền của CÔNG TY CỔ PHẦN ỤT ỤT - CHI NHÁNH K300 TÂN BÌNH  (Tổng 51.189.000)</t>
  </si>
  <si>
    <t>Thu tiền của CÔNG TY CỔ PHẦN ỤT ỤT - CHI NHÁNH BIACRAFT BÌNH CHÁNH -(Tổng 51.189.000)</t>
  </si>
  <si>
    <t>Ứng tiền mua dây nén khí 100m cho máy đóng lon</t>
  </si>
  <si>
    <t>MAB thanh toan tien thue xuong quy 2 lần 2</t>
  </si>
  <si>
    <t>Thu tiền của The 100 Garden T5 lần 1/ Craftbox</t>
  </si>
  <si>
    <t>MAB thanh toan tien thue xuong quy 2</t>
  </si>
  <si>
    <t>Chi tiền cho gửi chứng từ và phí ship quán Saay</t>
  </si>
  <si>
    <t>Tnr tra pale va lemon 2 5</t>
  </si>
  <si>
    <t>Thu tiền của CÔNG TY TNHH NHÀ HÀNG THIÊN AN T4/2024</t>
  </si>
  <si>
    <t>Thu tiền của CÔNG TY TNHH DỊCH VỤ KINH DOANH HOÀN HẢO T4/2024</t>
  </si>
  <si>
    <t>Thu tiền của Pelo Pelo T4/2024</t>
  </si>
  <si>
    <t>Thu tiền của FISK JACOB gia công</t>
  </si>
  <si>
    <t>Gus CK =&gt;997,40 USD</t>
  </si>
  <si>
    <t>25.269.237</t>
  </si>
  <si>
    <t>Ngoc chuyển khoản lại 3 triệu tiền lương do ck nhầm</t>
  </si>
  <si>
    <t>Trả lương nhân viên Nguyễn Vũ Nhật Minh T4</t>
  </si>
  <si>
    <t>Trả lương nhân viên Tiến T4</t>
  </si>
  <si>
    <t>Trả lương nhân viên Chú Hùng T4</t>
  </si>
  <si>
    <t>Trả lương nhân viên Anh Thanh T4</t>
  </si>
  <si>
    <t>Trả lương nhân viên Ngọc T4 lần 2</t>
  </si>
  <si>
    <t>Trả lương nhân viên Chi Cao T4 lần 2</t>
  </si>
  <si>
    <t>Thu tiền của Khách Sơn</t>
  </si>
  <si>
    <t>Thu tiền của Smoke house HBT T4 (a Hiếu ck 10/5)</t>
  </si>
  <si>
    <t>Thu tiền của Mose and Roo XD T4 (a Hiếu ck 10/5)</t>
  </si>
  <si>
    <t>Thu tiền của Arch T4 (a hiếu ck 10/5)</t>
  </si>
  <si>
    <t>Thu tiền của Đồng Chí T5 (a Hiếu ck 10/5)</t>
  </si>
  <si>
    <t>Thu tiền của Los Fuegos T4 (a Hiếu ck 10/5)</t>
  </si>
  <si>
    <t>Thu tiền của Charlie T5 (a hiếu ck 10/5)</t>
  </si>
  <si>
    <t>Thu tiền của Đồng Chí 29/04 (a Hiếu ck 10/5)</t>
  </si>
  <si>
    <t>Thu tiền của NYC Pizza 24/4 (a Hiếu ck 10/5)</t>
  </si>
  <si>
    <t>thanh toan phi van chuyen thang 3 A Nhut</t>
  </si>
  <si>
    <t>thanh toan cuoc van chuyen ngay 14 th4 hoa don so 1832</t>
  </si>
  <si>
    <t>Tra luong th4 lan 1 Yen Ngoc</t>
  </si>
  <si>
    <t>Chi tiền cho CÔNG TY TRÁCH NHIỆM HỮU HẠN THƯƠNG MẠI VĂN PHÒNG PHẨM TRẦN LÊ</t>
  </si>
  <si>
    <t>Banana T4 Fuzzy</t>
  </si>
  <si>
    <t>Thu tiền của Gringo Taco T4</t>
  </si>
  <si>
    <t>Thu tiền của Jimmy's Pizza (New) D1 T4</t>
  </si>
  <si>
    <t>Thu tiền của Saigon Hot Wings T4</t>
  </si>
  <si>
    <t>Chi tiền theo danh sách chi của anh Thanh (3/4-19/4)</t>
  </si>
  <si>
    <t>Chi tiền 2 cuốc xe từ K3-&gt; 2 Bà Trưng (đi và về) ngày 20/4</t>
  </si>
  <si>
    <t>Chi tiền thu 4 vỏ DN và sửa xe anh Thanh</t>
  </si>
  <si>
    <t>Ứng tiền mua xô cho chú và mua trấu cho Minh</t>
  </si>
  <si>
    <t>1.100.000</t>
  </si>
  <si>
    <t>Nop tien</t>
  </si>
  <si>
    <t>Tnr tra bill lemon26 4</t>
  </si>
  <si>
    <t>Thu tiền của SOMA</t>
  </si>
  <si>
    <t>Tra luong lan 2 thang 3 Mr Thanh</t>
  </si>
  <si>
    <t>March Ricky salary 2nd</t>
  </si>
  <si>
    <t>phi dvu th3 mr Minh</t>
  </si>
  <si>
    <t>Thuế - C:755-TM:1758-KT:00/03/202</t>
  </si>
  <si>
    <t>4.873.031</t>
  </si>
  <si>
    <t>Thuế - C:755-TM:1754-KT:00/03/202</t>
  </si>
  <si>
    <t>13.605.408</t>
  </si>
  <si>
    <t>Thu tiền của Tippys Nha Trang</t>
  </si>
  <si>
    <t>Thu tiền của Danang Rooftop Craft Beer</t>
  </si>
  <si>
    <t>SDTT2</t>
  </si>
  <si>
    <t>Thu tiền của Mì Ramen PECO PECO</t>
  </si>
  <si>
    <t>phi chuyen keg rong tu hn ve k14 31keg ngay 3 may</t>
  </si>
  <si>
    <t>Nop tien mat</t>
  </si>
  <si>
    <t>Hoàn quỹ 6/5 (lần 2) - theo bảng kê - cấn lương tháng 4</t>
  </si>
  <si>
    <t>Hoàn quỹ 6/5 lần 2 - theo bảng kê=&gt; Hoàn 103k</t>
  </si>
  <si>
    <t>Thu tiền của Bistro Sapa</t>
  </si>
  <si>
    <t>Thu tiền của DuSam Dalat T5</t>
  </si>
  <si>
    <t>Luong th4 lan 1 Kim Chi</t>
  </si>
  <si>
    <t>Ứng tiền mua dầu cho Minh</t>
  </si>
  <si>
    <t>Chi theo list DS hoàn 6/5=&gt; hoàn về 103.624đ</t>
  </si>
  <si>
    <t>Chi tiền theo list thống kê 6/5 =&gt; hoàn 345k</t>
  </si>
  <si>
    <t>Thu tiền của Bluish Coffee &amp; Beer T4</t>
  </si>
  <si>
    <t>Feb Mike salary 2nd</t>
  </si>
  <si>
    <t>March Hieu sale salary</t>
  </si>
  <si>
    <t>March Hau salary</t>
  </si>
  <si>
    <t>Thu tiền của Commune Sai Gon</t>
  </si>
  <si>
    <t>Thu tiền của Sandy Shores Bar + Grill</t>
  </si>
  <si>
    <t>March salary Yen Ngoc 2nd</t>
  </si>
  <si>
    <t>March salary Minh 2nd</t>
  </si>
  <si>
    <t>March Mr Hung salary 2nd</t>
  </si>
  <si>
    <t>March Mr Tien salary 2nd</t>
  </si>
  <si>
    <t>Luong th3 lan 2 Huyen</t>
  </si>
  <si>
    <t>Thuế - C:755-TM:1758-KT:00/02/202</t>
  </si>
  <si>
    <t>3.313.031</t>
  </si>
  <si>
    <t>Thuế - C:757-TM:1001-KT:02/05/202</t>
  </si>
  <si>
    <t>Thuế - C:755-TM:4917-KT:02/05/202</t>
  </si>
  <si>
    <t>5to9 thanh toan cong no t4</t>
  </si>
  <si>
    <t>Thu tiền của Khách Quốc Bảo</t>
  </si>
  <si>
    <t>Rogue Payment April 24 and debit 2023 The end</t>
  </si>
  <si>
    <t>Thu tiền của Hừng Hoa Beer T4</t>
  </si>
  <si>
    <t>Trả tiền nhà cung cấp CÔNG TY TNHH THƯƠNG MẠI - DỊCH VỤ - QUẢNG CÁO THẠNH THẮNG</t>
  </si>
  <si>
    <t>Trả tiền nhà cung cấp CÔNG TY CỔ PHẦN KIZUNA JV- Phi dich vu thang 4</t>
  </si>
  <si>
    <t>Tnr tra bill 19 4 lemon va pale</t>
  </si>
  <si>
    <t>Thu tiền của  NEW HOPS T3</t>
  </si>
  <si>
    <t>Thu tiền của Hanoi Cider t3</t>
  </si>
  <si>
    <t>Highway Kim Ma tt cong no t3.24</t>
  </si>
  <si>
    <t>Thu tiền của Standing bar T2</t>
  </si>
  <si>
    <t>Thu tiền của Standing bar T3</t>
  </si>
  <si>
    <t>1.955.135</t>
  </si>
  <si>
    <t>MAD THANH TOAN PHI DICH  VU HAI QUAN HD</t>
  </si>
  <si>
    <t>MAD THANH TOAN CUOC VAN  TAI BIEN</t>
  </si>
  <si>
    <t>Chi tiền cho Khách lẻ Hồ Chí Minh</t>
  </si>
  <si>
    <t>Trả lương nhân viên Hiếu GH lần 1</t>
  </si>
  <si>
    <t>Trả lương nhân viên Hiếu GH lần 2</t>
  </si>
  <si>
    <t>chuyen thong quan</t>
  </si>
  <si>
    <t>nop tien</t>
  </si>
  <si>
    <t>Thu tiền của IRON WHEEL T3</t>
  </si>
  <si>
    <t>Iron Wheel ck fuzzy logic T2</t>
  </si>
  <si>
    <t>Thu tiền của The 100 Garden-T4</t>
  </si>
  <si>
    <t>Thu tiền của hệ thống Ụt Ụt - tk cty - tổng 40tr</t>
  </si>
  <si>
    <t>Trả lương nhân viên NGỌC tháng 3 - lần 1</t>
  </si>
  <si>
    <t>MAB thanh toan nvl hoa don so  33</t>
  </si>
  <si>
    <t>AB ck tien nhan</t>
  </si>
  <si>
    <t>Thu tiền của Turtle Lake</t>
  </si>
  <si>
    <t>Trả tiền nhà cung cấp Anh Nhựt chạy xe tải</t>
  </si>
  <si>
    <t>Thu tiền của Arch T3 ( a. Hiếu ck 23/4)</t>
  </si>
  <si>
    <t>Thu tiền của Safeway Market 30/3  ( a. Hiếu ck 23/4)</t>
  </si>
  <si>
    <t>Thu tiền của Quinza 21/3  ( a. Hiếu ck 23/4)</t>
  </si>
  <si>
    <t>Thu tiền của Đồng Chí T4  ( a. Hiếu ck 23/4)</t>
  </si>
  <si>
    <t>Thu tiền của Minimart T4  ( a. Hiếu ck 23/4)</t>
  </si>
  <si>
    <t>Thu tiền của Kali T3  ( a. Hiếu ck 23/4)</t>
  </si>
  <si>
    <t>Thu tiền của Pizza Belga T3  ( a. Hiếu ck 23/4)</t>
  </si>
  <si>
    <t>Thu tiền của Smoke house HBT T3  ( a. Hiếu ck 23/4)</t>
  </si>
  <si>
    <t>Thu tiền của Saigon Outcast</t>
  </si>
  <si>
    <t>Payment for beer from Mad  Alchemist s in march - HD:  31 32-HA,DD</t>
  </si>
  <si>
    <t>thanh toan cuoc vc 33keg rong tu Ha noi ve Long An ngay 08 th4</t>
  </si>
  <si>
    <t>mad thanh toan cuoc vc 46keg rong tu ha noi ve long an ngay 12 th4</t>
  </si>
  <si>
    <t>mad thanh toan cuoc viet Nhat hd so 1505 ngay 30 th3</t>
  </si>
  <si>
    <t>Thu tiền của TnR Tnr tra lemon 6 4 12 4</t>
  </si>
  <si>
    <t>Phí ship bia</t>
  </si>
  <si>
    <t>Thu tiền của Choi Oi Noodle 17/4</t>
  </si>
  <si>
    <t>Thu tiền của Bearloga - Shisha Place 17/4</t>
  </si>
  <si>
    <t>Thu tiền của Beer Studio thu trc 4tr</t>
  </si>
  <si>
    <t>advance Jockey Box to Ricky - cho sự kiện 20/4</t>
  </si>
  <si>
    <t>Thu tiền của The Local - Social Craft Beer Hub</t>
  </si>
  <si>
    <t>Thu tiền của O Tinh House 11/4</t>
  </si>
  <si>
    <t>mad thanh toan cuoc van chuyen ha noi hoa don 1573</t>
  </si>
  <si>
    <t>Thu tiền của MOZZIES: Gia công Mozzies ( IPA AND PILOT  BATCH</t>
  </si>
  <si>
    <t>Thu tiền của CÔNG TY TNHH DỊCH VỤ KINH DOANH HOÀN HẢO</t>
  </si>
  <si>
    <t>Thu tiền của The Local SG</t>
  </si>
  <si>
    <t>tien luong th3 lan 2 Kim Chi</t>
  </si>
  <si>
    <t>phi dich vu th2  Minh</t>
  </si>
  <si>
    <t>thanh toan tien luong lan 1 th03 ms Huyen</t>
  </si>
  <si>
    <t>MAB thanh toan tien chanh  26.03.24</t>
  </si>
  <si>
    <t>14.500.000</t>
  </si>
  <si>
    <t>mad thanh toan cuoc van chuyen hd 1343</t>
  </si>
  <si>
    <t>Thu tiền của Saigon Beer Lab</t>
  </si>
  <si>
    <t>Thu tiền của HOMIE BEER</t>
  </si>
  <si>
    <t>Thu tiền của CÔNG TY TNHH NHÀ HÀNG THIÊN AN</t>
  </si>
  <si>
    <t>Thu tiền của Minimart 19/3 + 2/4 ( a. Hiếu ck 10/4 )</t>
  </si>
  <si>
    <t>Thu tiền của Đồng Chí 19, 27/3, 1/4 ( a. Hiếu ck 10/4 )</t>
  </si>
  <si>
    <t>Thu tiền của Craftbeerbox T3 ( a. Hiếu ck 10/4 )</t>
  </si>
  <si>
    <t>Thu tiền của Los Fuegos T3 ( a. Hiếu ck 10/4 )</t>
  </si>
  <si>
    <t>Thu tiền của The Local T2 +T3 ( a. Hiếu ck 10/4 )</t>
  </si>
  <si>
    <t>Thu tiền của TnR:  Pale 26 3 va 5 4</t>
  </si>
  <si>
    <t>Thu tiền của CÔNG TY TNHH BIA THỦ CÔNG ĐẤT ĐỎ</t>
  </si>
  <si>
    <t>Chi phí ở HÀ NỘI -&gt; cấn trừ ck 10/ 4 ( a. Hiếu ck 10/4 )</t>
  </si>
  <si>
    <t>thanh toan luong lan 1  th3 Mr Thanh</t>
  </si>
  <si>
    <t>Tien beer cua Hoppy Daze Bar PQ (Mitsh)</t>
  </si>
  <si>
    <t>Thu tiền của The Local - Social Craft Beer Hub ( nợ cũ )</t>
  </si>
  <si>
    <t>Thu tiền của Boosh Rooftop - phần còn lại của T3</t>
  </si>
  <si>
    <t>Thu tiền của Cham Whiskey + Craft Beer</t>
  </si>
  <si>
    <t>Chi tiền cho HENRY thanh toan phi cong tac Da Nang th1</t>
  </si>
  <si>
    <t>thanh toan luong lan 1 Mr Hung</t>
  </si>
  <si>
    <t>thanh toan luong th3 lan 1 Tien</t>
  </si>
  <si>
    <t>Thu tiền của Bluish Coffee &amp; Beer</t>
  </si>
  <si>
    <t>Thu tiền của Top of the Loop t3</t>
  </si>
  <si>
    <t>MAB thanh toan order 05.04.24</t>
  </si>
  <si>
    <t>Thu tiền của TnR  Lemon 11 3 va 20 3</t>
  </si>
  <si>
    <t>Thu tiền của Aloha Poke and Beer T3</t>
  </si>
  <si>
    <t>thanh toan luong th3 Hieu delivery</t>
  </si>
  <si>
    <t>luong th13 lan 1 Minh</t>
  </si>
  <si>
    <t>luong th3 lan 1  Kim chi</t>
  </si>
  <si>
    <t>thanh toan luong lan 2 thang 2  Nhat Minh</t>
  </si>
  <si>
    <t>Thu tiền của Bistro KAZ Đà Nẵng bill 27/2</t>
  </si>
  <si>
    <t>Thu tiền của Banana tháng 3</t>
  </si>
  <si>
    <t>Thu tiền của RICKY - AI Marketing Event</t>
  </si>
  <si>
    <t>OT17122151159227 ty gia  25088 so tien mua 495 USD noi  dung thanh toan: Full payment  PI number. JM23A-2257 ( Nắp lon - Can lid)</t>
  </si>
  <si>
    <t>12.418.560</t>
  </si>
  <si>
    <t>Full payment PI number. JM23A 2257</t>
  </si>
  <si>
    <t>Thu tiền của Mơi DaLat ( cấn phí vc vỏ keg ) 250k</t>
  </si>
  <si>
    <t>Thu tiền của Loft SGN - CHRISTOPHER MARK HATCHARD HORDEN transfer</t>
  </si>
  <si>
    <t>Thu tiền của CÔNG TY TNHH ROGUE SAIGON -  pay debit 23 and bill to 310324</t>
  </si>
  <si>
    <t>Thu tiền của Saigon Outcast -  pay debit 23 and bill to 310324</t>
  </si>
  <si>
    <t>Chi tiền cho Mơi DaLat ( thu hồi keg rỗng</t>
  </si>
  <si>
    <t>meeting fee to Mike</t>
  </si>
  <si>
    <t>phi vc hoa don so 2000</t>
  </si>
  <si>
    <t>Feb Mike salary</t>
  </si>
  <si>
    <t>MAB thanh toan 300L ethanol  2.4.24</t>
  </si>
  <si>
    <t>9.619.500</t>
  </si>
  <si>
    <t>MAB thanh toan DVTI 02.2024</t>
  </si>
  <si>
    <t>1.898.160</t>
  </si>
  <si>
    <t>MAB thanh toan tien thue  Q1.2024</t>
  </si>
  <si>
    <t>Thu tiền của 5to9 - thanh toan cong no t3</t>
  </si>
  <si>
    <t>Thu tiền  Mrcraft tt cong no T3.29 cty fuzzy</t>
  </si>
  <si>
    <t>Trả lương nhân viên RICKY - Ricky salary advance</t>
  </si>
  <si>
    <t>Thu tiền của Quy Nhơn Sports Bar</t>
  </si>
  <si>
    <t>Thu tiền của Indika Sai Gon - idk pay fuzzy</t>
  </si>
  <si>
    <t>Thu tiền của UNLIMITED VISIONS PTE. LTD - ck về mua nắp lon TQ</t>
  </si>
  <si>
    <t>MAB thanh toan thay may nen</t>
  </si>
  <si>
    <t>Thu tiền của The 100 Garden - perfect 100 tt 1 keg Hardlemon- T3</t>
  </si>
  <si>
    <t>Thu tiền của CÔNG TY TNHH KITCHEN GOLD - cong no t2.24</t>
  </si>
  <si>
    <t>phi dang ki tam ngung kd Mad Genius</t>
  </si>
  <si>
    <t>thanh toan tien 200kg duong</t>
  </si>
  <si>
    <t>Trả tiền nhà cung cấp CÔNG TY TNHH VẬN TẢI VIỆT NHẬT  21th2 hd 1310</t>
  </si>
  <si>
    <t>MAB thanh toan cong no</t>
  </si>
  <si>
    <t>Thu tiền của GIA CÔNG: Projekt Brews Kampot</t>
  </si>
  <si>
    <t>Thu tiền của PiuPiu HOUSE - ODA KAYOKO Transfer</t>
  </si>
  <si>
    <t>RICHARD GINIS transfer - FIXFIXFIX</t>
  </si>
  <si>
    <t>Trả lương nhân viên RICKY Feb Ricky salary basic</t>
  </si>
  <si>
    <t>19.789.259</t>
  </si>
  <si>
    <t>Thu tiền của Simon Weston</t>
  </si>
  <si>
    <t>Thu tiền của Bột Craft Beers Rooftop</t>
  </si>
  <si>
    <t>Thu tiền của KUC ( cấn chi 22/3)</t>
  </si>
  <si>
    <t>Thu tiền của KHÁCH ROBIN  ( cấn chi 22/3)</t>
  </si>
  <si>
    <t>Thu tiền Khách Vinhomes Golden River Aqua 1( cấn chi 22/3)</t>
  </si>
  <si>
    <t>Thu tiền của Tippy's Mexican ( cấn chi 22/3)</t>
  </si>
  <si>
    <t>Cấn trừ tiền hoàn về 22/3 - mua thùng + phí phong mã từ ĐN về</t>
  </si>
  <si>
    <t>Thu tiền của PiuPiu HOUSE ( a. Hiếu ck 21/3)</t>
  </si>
  <si>
    <t>Thu tiền của Pizza Belga ( a. Hiếu ck 21/3)</t>
  </si>
  <si>
    <t>Thu tiền của Arch T2 ( a. Hiếu ck 21/3)</t>
  </si>
  <si>
    <t>Thu tiền của NYC Pizza T2 +T3 ( a. Hiếu ck 21/3)</t>
  </si>
  <si>
    <t>Thu tiền của EVENT DRAGON 15/3 ( a. Hiếu ck 21/3) 11540k=&gt; cấn rừ 10tr ck rước 18/3</t>
  </si>
  <si>
    <t>Thu tiền của DuSam Dalat 2 keg thunderslap</t>
  </si>
  <si>
    <t>Thu tiền của Boosh Rooftop 50%</t>
  </si>
  <si>
    <t>Thu tiền của O Tinh House 21/3</t>
  </si>
  <si>
    <t>Đi Hạ Long bảo trì máy bia ( Cấn trừ ck về 21/3)</t>
  </si>
  <si>
    <t>Ricky Visa</t>
  </si>
  <si>
    <t>thanh toan luong th2 cho Hieu sale</t>
  </si>
  <si>
    <t>thanh toan tien in Co Canvat vaf Mica 2 mat</t>
  </si>
  <si>
    <t>Thu tiền của Tnr tra lemon 9 3</t>
  </si>
  <si>
    <t>Trả tiền nhà cung cấp Anh Nhựt chạy xe tải t1</t>
  </si>
  <si>
    <t>Thu tiền của Loft SGN ( CHRISTOPHER MARK HATCHARD HORDEN)</t>
  </si>
  <si>
    <t>Rogue TT debit 2602 16 03 24</t>
  </si>
  <si>
    <t>Thu tiền của Chookies hideaway Ninh Binh Garden T2 Fuzzy</t>
  </si>
  <si>
    <t>Thu tiền của 7 Bridges Saigon - tk cty mới T2</t>
  </si>
  <si>
    <t>MAB thanh toan hd so 16.32.87</t>
  </si>
  <si>
    <t>MAB thanh toan tien chanh hd  05.03.24</t>
  </si>
  <si>
    <t>Thu tiền Red Bison ( Jackalope ck cong no T2 Fuzzi Logic beer)</t>
  </si>
  <si>
    <t>Thu tiền của Jackalope ( Jackalope ck cong no T2 Fuzzi Logic beer)</t>
  </si>
  <si>
    <t>tạm ck trc 10TR - cấn trừ tiền 21/3</t>
  </si>
  <si>
    <t>Trả lương nhân viên CHÚ HÙNG</t>
  </si>
  <si>
    <t>thanh toan hoa don van chuyen Viet Nhat 1167</t>
  </si>
  <si>
    <t>Thu tiền của Banana</t>
  </si>
  <si>
    <t>Thu tiền của Mosaic</t>
  </si>
  <si>
    <t>Thu tiền của Choi Oi Noodle 9/3</t>
  </si>
  <si>
    <t>Thu tiền của Gringo Taco 11/3</t>
  </si>
  <si>
    <t>Thu tiền của Khoai 11/3</t>
  </si>
  <si>
    <t>Thu tiền của CÔNG TY TNHH COOLABAH 13/3</t>
  </si>
  <si>
    <t>Thu tiền của CÔNG TY TNHH COOLABAH 11/3</t>
  </si>
  <si>
    <t>Thu tiền của SOMA 8/3</t>
  </si>
  <si>
    <t>Hoàn quỹ 12/3</t>
  </si>
  <si>
    <t>Thu tiền của Đồng Chí 4/3 ( a. Hiếu ck 12/3)</t>
  </si>
  <si>
    <t>Thu tiền Khách Minh Đức (a Hiếu ck 12/3/24)</t>
  </si>
  <si>
    <t>Thu tiền của Smoke house HBT ( a. Hiếu ck 12/3)</t>
  </si>
  <si>
    <t>Thu tiền của Craftbeerbox T2( a. Hiếu ck 12/3)</t>
  </si>
  <si>
    <t>Thu tiền của Kali ( a. Hiếu ck 12/3)</t>
  </si>
  <si>
    <t>Thu tiền của Minimart ( a. Hiếu ck 12/3)</t>
  </si>
  <si>
    <t>Thu tiền của Bistro KAZ Đà Nẵng bill 12,22/01/2024</t>
  </si>
  <si>
    <t>Thu tiền của Hana Beer Hard Lemonade</t>
  </si>
  <si>
    <t>Thu tiền của O Tinh House 12/3</t>
  </si>
  <si>
    <t>4 đồng hồ CO2 =&gt; cấn tiền thu tm 12/3</t>
  </si>
  <si>
    <t>Fuzzy thanh toan luong th2 Ngoc</t>
  </si>
  <si>
    <t>thanh toan luong th2 Huyen</t>
  </si>
  <si>
    <t>thanh toan cuoc vc tu ha noi vao xuong ngay 26 th2 32keg rong</t>
  </si>
  <si>
    <t>Phí ship trong tháng 2/2024 ( theo bảng kê hoàn 12/3)</t>
  </si>
  <si>
    <t>Chi tiền mua đồ dùng cho xưởng - cấn trừ ( hoàn tiền 12/3)</t>
  </si>
  <si>
    <t>AB thanh toan 200kg duong  12.3.24</t>
  </si>
  <si>
    <t>Trả lương nhân viên Nguyễn Vũ Nhật Minh-Salary Feb.24</t>
  </si>
  <si>
    <t>Thu tiền của TnR Tnr tra lemon 28 2 va 4 3</t>
  </si>
  <si>
    <t>Thu tiền của Mê Beer 4/3</t>
  </si>
  <si>
    <t>Thu tiền của KUC 12 CHANH 12 BLOND</t>
  </si>
  <si>
    <t>luong th2 Tien</t>
  </si>
  <si>
    <t>luong th2 Thanh</t>
  </si>
  <si>
    <t>thanh toan luong th2  Hieu delivery</t>
  </si>
  <si>
    <t>Thu tiền của Aloha Poke and Beer  tt t2</t>
  </si>
  <si>
    <t>Thu tiền của Boosh Rooftop</t>
  </si>
  <si>
    <t>Thu tiền của NEW HOPS t1</t>
  </si>
  <si>
    <t>phi kiem toan nam 2023 cho Mad Genius</t>
  </si>
  <si>
    <t>thanh toan Dapat Trip expenses</t>
  </si>
  <si>
    <t>Chi tiền cho MINH - thanh toan phi dich vu th01</t>
  </si>
  <si>
    <t>Trả lương nhân viên HẬU- thanh toan luong CB th02  Hau</t>
  </si>
  <si>
    <t>MAB thanh toan order 6.3.24</t>
  </si>
  <si>
    <t>Mad Alchemists thanh toan phi  dich vu t2.2024</t>
  </si>
  <si>
    <t>Chi tiền cho DẦU 385L + ship 100k</t>
  </si>
  <si>
    <t>8.100.000</t>
  </si>
  <si>
    <t>Thu tiền của Imperial Craft Bia ck 2 keg Thunderslap</t>
  </si>
  <si>
    <t>Thu tiền của Winston's Burger (Phú Quốc)</t>
  </si>
  <si>
    <t>Thu tiền của TnR bill pale va lenon 19 2</t>
  </si>
  <si>
    <t>Thu tiền KHOAI 2/3</t>
  </si>
  <si>
    <t>Chi tiền cho CÔNG TY CỔ PHẦN DỊCH VỤ WEBKETOAN Mad Alchem thanh toan phi dich vu th1 th2 cho Eketoan</t>
  </si>
  <si>
    <t>4.320.000</t>
  </si>
  <si>
    <t>Thu tiền của 5to9 thanh toan cong no t2 2024</t>
  </si>
  <si>
    <t>Thu tiền của CÔNG TY CỔ PHẦN GIẢI PHÁP MUA HÀNG ƯU VIỆT TPS</t>
  </si>
  <si>
    <t>Chi tiền cho BẢO HIỂM XÃ HỘI QUẬN 1=&gt; cty mad pro</t>
  </si>
  <si>
    <t>Trả lương nhân viên Chi Cao ung luong th2</t>
  </si>
  <si>
    <t>Thu tiền của Khách Tài Nguyễn</t>
  </si>
  <si>
    <t>Thu tiền của Crossroad Bar Da Nang</t>
  </si>
  <si>
    <t>thanh toan cuoc vc ngay 22-1 hd so 621</t>
  </si>
  <si>
    <t>Thu tiền của Choi Oi Noodle 24/2</t>
  </si>
  <si>
    <t>Thu tiền của CÔNG TY TNHH COOLABAH 24/2</t>
  </si>
  <si>
    <t>Thu tiền của Kali ( a. Hiếu ck 28/2)</t>
  </si>
  <si>
    <t>Thu tiền của Đồng Chí ( a. Hiếu ck 28/2)</t>
  </si>
  <si>
    <t>Thu tiền của Khách lẻ Hà Nội- Mua nón ( a. Hiếu ck 28/2)</t>
  </si>
  <si>
    <t>Thu tiền của TnR tra 2 lemon 5 2</t>
  </si>
  <si>
    <t>Thu tiền của Bia Trịnh 2</t>
  </si>
  <si>
    <t>Thu tiền của Nguyên Lagi BT ( phần còn lại )</t>
  </si>
  <si>
    <t>Thu tiền của CÔNG TY TNHH ROGUE SAIGON</t>
  </si>
  <si>
    <t>Mad Alchemists ck thanh toan  30k lon</t>
  </si>
  <si>
    <t>MAB thanh toan order 26.02.24</t>
  </si>
  <si>
    <t>Thu tiền của bsd T12</t>
  </si>
  <si>
    <t>Thu tiền của CÔNG TY TNHH COOLABAH 22/11</t>
  </si>
  <si>
    <t>Thu tiền của Seven Saigon 5/2</t>
  </si>
  <si>
    <t>Thu tiền KHOAI 20/2</t>
  </si>
  <si>
    <t>Thu tiền của MOZZIES: Gia công Mozzies-  DEPOSIT  AND INGREDIENT PAYMENT FOR IPA AND  WHEAT</t>
  </si>
  <si>
    <t>Thu tiền của Hừng Hoa Beer 21/2</t>
  </si>
  <si>
    <t>coc thue may Chiller tai Saigon Outcash</t>
  </si>
  <si>
    <t>phi chuyen hang tu DN ra Hn- Cty TNHH vận tải Việt Nhật</t>
  </si>
  <si>
    <t>Thu tiền của Saigon Outcast payment debit 01 02 15 02 24</t>
  </si>
  <si>
    <t>Thu tiền  Iron Wheel ck cong no T1</t>
  </si>
  <si>
    <t>Thu tiền của The Local</t>
  </si>
  <si>
    <t>thanh toan hoa don van chuyen ngay 09 va 19 th 01</t>
  </si>
  <si>
    <t>Thu tiền của TnR tra pale 2 2 lemon 27 1</t>
  </si>
  <si>
    <t>Thu tiền của Đồng Chí</t>
  </si>
  <si>
    <t>Thu tiền của CÔNG TY TNHH NHÀ HÀNG THIÊN AN CN-t1</t>
  </si>
  <si>
    <t>Mad Pro thanh toan cong no</t>
  </si>
  <si>
    <t>Mad Alchemists ck tien thue  xuong quy I</t>
  </si>
  <si>
    <t>Thu tiền của Điên Pub LX</t>
  </si>
  <si>
    <t>Thu tiền của Khách lẻ Hà Nội 5 PACK ( a. Hiếu ck 8/2)</t>
  </si>
  <si>
    <t>Thu tiền của Smoke house HBT ( a. Hiếu ck 8/2)</t>
  </si>
  <si>
    <t>Thu tiền của HAHN Beer club ( a. Hiếu ck 8/2)</t>
  </si>
  <si>
    <t>Thu tiền của Minimart ( a. Hiếu ck 8/2)</t>
  </si>
  <si>
    <t>Thu tiền của Pizza Belga ( a. Hiếu ck 8/2)</t>
  </si>
  <si>
    <t>Thu tiền của Ngân hàng Techcombank</t>
  </si>
  <si>
    <t>tiền TẾT 2024 - tet bonus</t>
  </si>
  <si>
    <t>Funk Factory night meeting</t>
  </si>
  <si>
    <t>Thu tiền của PiuPiu HOUSE</t>
  </si>
  <si>
    <t>Thu tiền của Craftbeerbox T1 (  ( a. Hiếu ck 7/2)</t>
  </si>
  <si>
    <t>Thu tiền của Los Fuegos T1  ( a. Hiếu ck 7/2)</t>
  </si>
  <si>
    <t>Thu tiền của GyuKaku ( a. Hiếu ck 7/2)</t>
  </si>
  <si>
    <t>Thu tiền của HAHN Beer club ( a. Hiếu ck 7/2)</t>
  </si>
  <si>
    <t>Thu tiền của Hanoi Taco ( a. Hiếu ck 7/2)</t>
  </si>
  <si>
    <t>Thu tiền của UNLIMITED VISIONS PTE. LTD</t>
  </si>
  <si>
    <t>Jan Minh salary</t>
  </si>
  <si>
    <t>Dec Minh service fee</t>
  </si>
  <si>
    <t>Jan Hau salary</t>
  </si>
  <si>
    <t>Jan Ricky salary</t>
  </si>
  <si>
    <t>Jan Chi salary</t>
  </si>
  <si>
    <t>Jan Henry salary</t>
  </si>
  <si>
    <t>Jan Hieu salary</t>
  </si>
  <si>
    <t>JaN Mike salary</t>
  </si>
  <si>
    <t>year end party</t>
  </si>
  <si>
    <t>Trả tiền nhà cung cấp Anh Nhựt chạy xe tải t11+ t12</t>
  </si>
  <si>
    <t>Chi tiền cho Nhâphi gia han pn nau bia va tien taxin viên</t>
  </si>
  <si>
    <t>Thu tiền của CÔNG TY TNHH ROGUE SAIGON ( có nợ cũ )</t>
  </si>
  <si>
    <t>Thu tiền của Saigon Outcast debit 16 01 31 01 24</t>
  </si>
  <si>
    <t>Thu tiền của 5to9</t>
  </si>
  <si>
    <t>Chi tiền Token</t>
  </si>
  <si>
    <t>Thu tiền của Mơi DaLat - cấn trừ tiền thu keg rỗng 287k =&gt; thu 11.513k</t>
  </si>
  <si>
    <t>Thu tiền của Section 30 Da Nang JAN DEBT FUZZY + 10 DOGS</t>
  </si>
  <si>
    <t>Thu tiền của Joy House - Homestay Đà Lạt</t>
  </si>
  <si>
    <t>Thu tiền của Mr Mac</t>
  </si>
  <si>
    <t>Thu tiền của Aloha Poke and Beer</t>
  </si>
  <si>
    <t>Chi tiền cho HOÀNG NHÂN KHÁNH ( tk 732) - Thanh toán Co2</t>
  </si>
  <si>
    <t>1.680.000</t>
  </si>
  <si>
    <t>Trả lương nhân viên MINH: Jan Minh salary 1st</t>
  </si>
  <si>
    <t>Jan Huyen salary</t>
  </si>
  <si>
    <t>Jan Hung salary</t>
  </si>
  <si>
    <t>Jan Tien salary</t>
  </si>
  <si>
    <t>Jan Ngoc salary</t>
  </si>
  <si>
    <t>Jan Thanh salary</t>
  </si>
  <si>
    <t>BHXH 103 00 TAE362A 07901 dong bhyt thang 12.23</t>
  </si>
  <si>
    <t>thanh toan phi van chuyen Viet Nhat hd 169 211</t>
  </si>
  <si>
    <t>Thu tiền của TnR</t>
  </si>
  <si>
    <t>Thu tiền của  Mrcraft tt cong no thang 1 2024</t>
  </si>
  <si>
    <t>Thu tiền của MOZZIES: Gia công - (Jacob - RAMAINDER PAYMENT)</t>
  </si>
  <si>
    <t>Thu tiền của Chez Vũ ( a. Hiếu ck 2/2)</t>
  </si>
  <si>
    <t>Thu tiền của Khách lẻ Hà Nội 6 pack ( a. Hiếu ck 2/2)</t>
  </si>
  <si>
    <t>Thu tiền của The Spot T10+ T11 ( a. Hiếu ck 2/2)</t>
  </si>
  <si>
    <t>HOAN LAI TIEN QUY T1-020224</t>
  </si>
  <si>
    <t>Thu tiền của CÔNG TY TNHH COOLABAH 30/1</t>
  </si>
  <si>
    <t>Thu tiền của Choi Oi Noodle 31/1</t>
  </si>
  <si>
    <t>Thu tiền của CÔNG TY CỔ PHẦN ỤT ỤT - CN theo hđ đợt 1 ( tk alchemist )</t>
  </si>
  <si>
    <t>Trả lương nhân viên Ricky</t>
  </si>
  <si>
    <t>Thu tiền của CÔNG TY TNHH THƯƠNG MẠI DỊCH VỤ VICHI</t>
  </si>
  <si>
    <t>Thu tiền của TopHill Craftbeer</t>
  </si>
  <si>
    <t>Thu tiền của FURBEW Furbrew tra tien thu vo keg</t>
  </si>
  <si>
    <t>Thu tiền của Nguyên Lagi BT</t>
  </si>
  <si>
    <t>Mad Alchemists thanh toan hd  so 204 - 30.1.24 (Phí dv th1)</t>
  </si>
  <si>
    <t>Mad Alchemists thanh toan hd  kinh  te so  4584.2023.ISOQ.HDKT</t>
  </si>
  <si>
    <t>Thu tiền của Wagon Wheel:  ck cong no bia Fuzzy</t>
  </si>
  <si>
    <t>Thu tiền của Banana: 17.1 Fuzzy</t>
  </si>
  <si>
    <t>Thu tiền của Chookies hideaway Ninh Binh: Garden 17.1 Fuzzy</t>
  </si>
  <si>
    <t>Chi tiền cho QUẢNG CÁO: Fuzzy transfer photoshoot fee</t>
  </si>
  <si>
    <t>Chi tiền cho ANH THANH mua vật tư: theo list</t>
  </si>
  <si>
    <t>Thu tiền của Hem Chill 29/1</t>
  </si>
  <si>
    <t>Chi tiền cho SỰ KIỆN: Fuzzy logic craft beer fest</t>
  </si>
  <si>
    <t>Mad Alchemists ck 500kg chanh  23.01.24</t>
  </si>
  <si>
    <t>Thu tiền của TnR bill pale 5 1</t>
  </si>
  <si>
    <t>Thu tiền của Tippy's Mexican 4/1</t>
  </si>
  <si>
    <t>Chi tiền cho NƯỚC SUỐI: 20 bình satori</t>
  </si>
  <si>
    <t>Thu tiền của Pizza Belga T12 ( anh Hiếu ck 25/1)</t>
  </si>
  <si>
    <t>Thu tiền của Kali T12: ( anh Hiếu ck 25/1)</t>
  </si>
  <si>
    <t>Thu tiền của CÔNG TY TNHH ONE LOVE chuyen tien Fuzzy T1</t>
  </si>
  <si>
    <t>Thu tiền của CÔNG TY TNHH KITCHEN GOLD: cong no t12.23</t>
  </si>
  <si>
    <t>Thu tiền của CÔNG TY TNHH COOLABAH 24/1</t>
  </si>
  <si>
    <t>Thu tiền của Standing bar- Bottle shop thanh toan cong no thang 12.2023 cho Fuzzy</t>
  </si>
  <si>
    <t>Thu tiền của Bottle Shop thang 12.2023 cho Fuzzy</t>
  </si>
  <si>
    <t>Thu tiền của Hana Beer C. Thoa thanh toan Fuzzy Logic</t>
  </si>
  <si>
    <t>Thu tiền của Nguyễn Vũ Nhật Minh</t>
  </si>
  <si>
    <t>Thu tiền của 7 Bridges Hoi An ( t12 - tk cty mới )</t>
  </si>
  <si>
    <t>Thu tiền của 7 Bridges Saigon ( t12 - nộp cty mới )</t>
  </si>
  <si>
    <t>Thuế môn bài năm 2024</t>
  </si>
  <si>
    <t>renfund to One Love</t>
  </si>
  <si>
    <t>Thu tiền của DuSam Dalat 2 keg thunder + 12 stout</t>
  </si>
  <si>
    <t>Chi tiền cho HENRY + RICKY : tiền vé máy bay  công tác DN</t>
  </si>
  <si>
    <t>thanh toan luong lan 2 cho Henry</t>
  </si>
  <si>
    <t>Thu tiền của SEAMAN: gia công</t>
  </si>
  <si>
    <t>Thu tiền của Mr Craft công nợ tháng 12</t>
  </si>
  <si>
    <t>Thu tiền của MOZZIE: gia công / BOXES AND  LABELS</t>
  </si>
  <si>
    <t>Mad Alchemists ck order 17-1 24</t>
  </si>
  <si>
    <t>Thu tiền của Rogue TT cong no 15 12 15 01 24</t>
  </si>
  <si>
    <t>Thu tiền của Saigon Outcast TT cong no 15 12 to 15 01 24</t>
  </si>
  <si>
    <t>Mad Alchemists ck thanh toan  300L ethanol</t>
  </si>
  <si>
    <t>Thu tiền của TnR  tra bill lemon 3 1</t>
  </si>
  <si>
    <t>Thu tiền của Saigon Craft 13/1</t>
  </si>
  <si>
    <t>Thu tiền của Big Daddy 10/1</t>
  </si>
  <si>
    <t>Thu tiền KHOAI 13/1</t>
  </si>
  <si>
    <t>Thu tiền của Los Fuegos T12 ( a. Hiếu ck 15/1 )</t>
  </si>
  <si>
    <t>Thu tiền của The Snug T12 ( a. Hiếu ck 15/1 )</t>
  </si>
  <si>
    <t>Thu tiền của Smoke house HBT T12 ( a. Hiếu ck 15/1 )</t>
  </si>
  <si>
    <t>Thu tiền của Arch t12 ( a. Hiếu ck 15/1 )</t>
  </si>
  <si>
    <t>Thu tiền của Hanoi Taco T12 ( a. Hiếu ck 15/1 )</t>
  </si>
  <si>
    <t>Mad Alchemists ck 300kg duong</t>
  </si>
  <si>
    <t>Laura tt 1 thùng lemon</t>
  </si>
  <si>
    <t>Thu tiền của CÔNG TY TNHH NHÀ HÀNG THIÊN AN công nợ T12</t>
  </si>
  <si>
    <t>Thu tiền của DuSam Dalat T1 L1</t>
  </si>
  <si>
    <t>4 cuộn màng co cho nhà máy ( tk 732 )</t>
  </si>
  <si>
    <t>Thu tiền của Gringo Taco  bill 10 1</t>
  </si>
  <si>
    <t>Thu tiền của Hừng Hoa Beer</t>
  </si>
  <si>
    <t>Thu tiền của SEAMAN</t>
  </si>
  <si>
    <t>Chi tiền cho Mơi DaLat:  thu hồi 10 keg rỗng về</t>
  </si>
  <si>
    <t>Chi tiền cho LY : 5thùng ( lần 2 ) nhập kho 8/1/24</t>
  </si>
  <si>
    <t>expenses Grap to Mui Ne of Ricky</t>
  </si>
  <si>
    <t>Dec Henry Salary first time</t>
  </si>
  <si>
    <t>Mad Alchemists ck thanh toan  co2</t>
  </si>
  <si>
    <t>Thu tiền của Boosh Rooftop Fuzzy Craft Beer 50-50</t>
  </si>
  <si>
    <t>Mad Alchemista ck 1 pallet lon</t>
  </si>
  <si>
    <t>Thu tiền của Khoai 6/1</t>
  </si>
  <si>
    <t>Thu tiền của Bearloga - Shisha Place công nợ</t>
  </si>
  <si>
    <t>Thu tiền của Vinhomes Golden River Aqua 1</t>
  </si>
  <si>
    <t>Thu tiền của Seven Saigon</t>
  </si>
  <si>
    <t>Mad Alchemists chuyen coc co2</t>
  </si>
  <si>
    <t>Mad Alchemists chuyen tien coc  30k lon CDL 202</t>
  </si>
  <si>
    <t>Thu tiền của TnR tra bill 26 12 pale va lemon</t>
  </si>
  <si>
    <t>December Mike salary</t>
  </si>
  <si>
    <t>Dec Minh salary</t>
  </si>
  <si>
    <t>Dec Tien salary</t>
  </si>
  <si>
    <t>Dec Hung salary</t>
  </si>
  <si>
    <t>Dec Thanh salary</t>
  </si>
  <si>
    <t>Dec Huyen salary</t>
  </si>
  <si>
    <t>Dec Hieu sale salary</t>
  </si>
  <si>
    <t>Dec Ngoc salary</t>
  </si>
  <si>
    <t>Dec Ricky salary</t>
  </si>
  <si>
    <t>Dec Hieu delivery salary</t>
  </si>
  <si>
    <t>Dec Hau sale salary</t>
  </si>
  <si>
    <t>Thu tiền của CÔNG TY TNHH COOLABAH 3/1</t>
  </si>
  <si>
    <t>selling fee to Michael</t>
  </si>
  <si>
    <t>Chi tiền Marketing</t>
  </si>
  <si>
    <t>Thu tiền của Choi Oi Noodle bill 30 12</t>
  </si>
  <si>
    <t>Thu tiền của CÔNG TY TNHH COOLABAH 30/12</t>
  </si>
  <si>
    <t>Thu tiền của Minimart T12 ( a. Hiếu ck 4/1 )</t>
  </si>
  <si>
    <t>Thu tiền của Safeway Market T12 ( a. Hiếu ck 4/1 )</t>
  </si>
  <si>
    <t>Thu tiền của Fabric T12  ( a. Hiếu ck 4/1 )</t>
  </si>
  <si>
    <t>Thu tiền của Craftbeerbox T12  ( a. Hiếu ck 4/1 )</t>
  </si>
  <si>
    <t>Thu tiền của 5to9 công nợ t11</t>
  </si>
  <si>
    <t>Thu tiền của TnR tra lemon 16 12</t>
  </si>
  <si>
    <t>Gus ck</t>
  </si>
  <si>
    <t>Chi tiền cho LY: đặt cọc ly nhỏ 330ml  lần 1 nhập kho 8/1/24</t>
  </si>
  <si>
    <t>mua phu gia nau bia Collab</t>
  </si>
  <si>
    <t>delivery fee K14 to ha noi on 09th Dec  invoice8832</t>
  </si>
  <si>
    <t>Thu tiền của Rehab Station nợ T10</t>
  </si>
  <si>
    <t>Thu tiền của QUỸ: hoan tien ung 19 12</t>
  </si>
  <si>
    <t>Thu tiền của CÔNG TY TNHH ONE LOVE chuyen tien steersman T12</t>
  </si>
  <si>
    <t>Chi tiền cho Co2</t>
  </si>
  <si>
    <t>2.940.000</t>
  </si>
  <si>
    <t>Madalchemists thanh toan 30kg chanh tuowi</t>
  </si>
  <si>
    <t xml:space="preserve">  Quality control checks for production batches.</t>
  </si>
  <si>
    <t>check_type</t>
  </si>
  <si>
    <t>value</t>
  </si>
  <si>
    <t>passed (1=pass, 0=fail)</t>
  </si>
  <si>
    <t>inspector</t>
  </si>
  <si>
    <t>Options: gravity, ph, temperature, color, turbidity</t>
  </si>
  <si>
    <t>Options: SG, pH, C, SRM, NTU</t>
  </si>
  <si>
    <t>gravity</t>
  </si>
  <si>
    <t>SG</t>
  </si>
  <si>
    <t>Khoi</t>
  </si>
  <si>
    <t>C</t>
  </si>
  <si>
    <t>carbonation</t>
  </si>
  <si>
    <t>vols</t>
  </si>
  <si>
    <t>Tien, Khoi</t>
  </si>
  <si>
    <t xml:space="preserve">  Current yeast stock. References Yeast Strains.</t>
  </si>
  <si>
    <t>lot_number</t>
  </si>
  <si>
    <t>viability (%)</t>
  </si>
  <si>
    <t>manufacture_date (YYYY-MM-DD)</t>
  </si>
  <si>
    <t>Options: packs, vials, mL, L</t>
  </si>
  <si>
    <t>LOT001</t>
  </si>
  <si>
    <t>Cold Storage</t>
  </si>
  <si>
    <t>Banana Split</t>
  </si>
  <si>
    <t xml:space="preserve">  Work schedules. References Staff.</t>
  </si>
  <si>
    <t>staff_name</t>
  </si>
  <si>
    <t>schedule_date (YYYY-MM-DD)</t>
  </si>
  <si>
    <t>shift</t>
  </si>
  <si>
    <t>start_time (HH:MM)</t>
  </si>
  <si>
    <t>end_time (HH:MM)</t>
  </si>
  <si>
    <t>Options: morning, afternoon, evening, night, full_day</t>
  </si>
  <si>
    <t>full_day</t>
  </si>
  <si>
    <t xml:space="preserve">  Staff training history. References Staff.</t>
  </si>
  <si>
    <t>training_date (YYYY-MM-DD)</t>
  </si>
  <si>
    <t>topic</t>
  </si>
  <si>
    <t>trainer</t>
  </si>
  <si>
    <t>duration_hours</t>
  </si>
  <si>
    <t>result</t>
  </si>
  <si>
    <t>Options: passed, excellent, failed, in_progress</t>
  </si>
  <si>
    <t>Bien Minh Khoi</t>
  </si>
  <si>
    <t>Safety and Compliance</t>
  </si>
  <si>
    <t>Internal</t>
  </si>
  <si>
    <t>passed</t>
  </si>
  <si>
    <t xml:space="preserve">Cleaning and Sanitation </t>
  </si>
  <si>
    <t>The Brewing Process</t>
  </si>
  <si>
    <t>Cellar Management</t>
  </si>
  <si>
    <t>Flavor Profiles</t>
  </si>
  <si>
    <t>Beer Styles</t>
  </si>
  <si>
    <t>Christophe Huynh Minh Tien</t>
  </si>
  <si>
    <t>Off-Flavor Identification</t>
  </si>
  <si>
    <t>Inventory &amp; Supply Chain Management</t>
  </si>
  <si>
    <t>Shift Scheduling:</t>
  </si>
  <si>
    <t>Packaging Equipment Usage</t>
  </si>
  <si>
    <t>Nguyen Huu Hien</t>
  </si>
  <si>
    <t xml:space="preserve">  Preventive &amp; corrective maintenance tasks. References Equipment and Staff.</t>
  </si>
  <si>
    <t>equipment_name</t>
  </si>
  <si>
    <t>task_name</t>
  </si>
  <si>
    <t>task_type</t>
  </si>
  <si>
    <t>frequency_days</t>
  </si>
  <si>
    <t>next_due (YYYY-MM-DD)</t>
  </si>
  <si>
    <t>assigned_to</t>
  </si>
  <si>
    <t>priority</t>
  </si>
  <si>
    <t>estimated_duration_min</t>
  </si>
  <si>
    <t>last_completed (YYYY-MM-DD)</t>
  </si>
  <si>
    <t>completion_notes</t>
  </si>
  <si>
    <t>Options: cleaning, inspection, calibration, lubrication, replacement</t>
  </si>
  <si>
    <t>Options: scheduled, overdue, completed, skipped, in_progress</t>
  </si>
  <si>
    <t>Options: critical, high, medium, low</t>
  </si>
  <si>
    <t>Cleaning + General check</t>
  </si>
  <si>
    <t>Sang An</t>
  </si>
  <si>
    <t>scheduled</t>
  </si>
  <si>
    <t>critical</t>
  </si>
  <si>
    <t>6-month check</t>
  </si>
  <si>
    <t>CIP Clean</t>
  </si>
  <si>
    <t>Khoi, Hien, Tien</t>
  </si>
  <si>
    <t>Acid + caustic cycle, aquadately check</t>
  </si>
  <si>
    <t>Glycol Level Check</t>
  </si>
  <si>
    <t>inspection</t>
  </si>
  <si>
    <t>Khoi, Hung</t>
  </si>
  <si>
    <t>Check Glycol level, refill if needed</t>
  </si>
  <si>
    <t>Cleaning and Check</t>
  </si>
  <si>
    <t>All team</t>
  </si>
  <si>
    <t>Khoi, Hien</t>
  </si>
  <si>
    <t>Canning Line Flush</t>
  </si>
  <si>
    <t>After canning</t>
  </si>
  <si>
    <t>Verification and Cleaning</t>
  </si>
  <si>
    <t>Mr Tan</t>
  </si>
  <si>
    <t>Yearly check</t>
  </si>
  <si>
    <t>Cleaning and Replacement</t>
  </si>
  <si>
    <t>replacement</t>
  </si>
  <si>
    <t>Mr Kien</t>
  </si>
  <si>
    <t>Brewhouse</t>
  </si>
  <si>
    <t>Glycol Chiller</t>
  </si>
  <si>
    <t xml:space="preserve">Canning Line </t>
  </si>
  <si>
    <t>RO System</t>
  </si>
  <si>
    <t>Floor Cleaning and General Check</t>
  </si>
  <si>
    <t xml:space="preserve">  All brewery physical assets (tanks, equipment, furniture, IT, vehicles, etc.)</t>
  </si>
  <si>
    <t>asset_name</t>
  </si>
  <si>
    <t>asset_type</t>
  </si>
  <si>
    <t>serial_number</t>
  </si>
  <si>
    <t>manufacturer</t>
  </si>
  <si>
    <t>model</t>
  </si>
  <si>
    <t>purchase_date (YYYY-MM-DD)</t>
  </si>
  <si>
    <t>purchase_cost (VND)</t>
  </si>
  <si>
    <t>current_value (VND)</t>
  </si>
  <si>
    <t>condition</t>
  </si>
  <si>
    <t>location</t>
  </si>
  <si>
    <t>warranty_expiry (YYYY-MM-DD)</t>
  </si>
  <si>
    <t>insurance_policy</t>
  </si>
  <si>
    <t>Options: production_equipment, packaging_equipment, cooling_system, storage, furniture</t>
  </si>
  <si>
    <t>Options: tangible_fixed_asset, current_asset, tool, fixture, consumable</t>
  </si>
  <si>
    <t>Options: new, excellent, good, fair, poor</t>
  </si>
  <si>
    <t>tangible_fixed_asset</t>
  </si>
  <si>
    <t>BRW-001</t>
  </si>
  <si>
    <t>COPERLAND - EMERSON</t>
  </si>
  <si>
    <t>ZR 190KCE-TFD-522</t>
  </si>
  <si>
    <t>good</t>
  </si>
  <si>
    <t>Brewing Floor</t>
  </si>
  <si>
    <t>BRW-002</t>
  </si>
  <si>
    <t>Dai Phat</t>
  </si>
  <si>
    <t>Plastic 3000L</t>
  </si>
  <si>
    <t>fair</t>
  </si>
  <si>
    <t>Plastic water tank with insulation jacket:</t>
  </si>
  <si>
    <t>BRW-003</t>
  </si>
  <si>
    <t>Thuan Tien Phap</t>
  </si>
  <si>
    <t>30RT</t>
  </si>
  <si>
    <t>BRW-004</t>
  </si>
  <si>
    <t>Hong Tuoi</t>
  </si>
  <si>
    <t>500kg</t>
  </si>
  <si>
    <t>From C13A brewery</t>
  </si>
  <si>
    <t>BRW-005</t>
  </si>
  <si>
    <t>BRW-006</t>
  </si>
  <si>
    <t>VN</t>
  </si>
  <si>
    <t>EPS 18-20kg/m3, 100mm</t>
  </si>
  <si>
    <t>BRW-007</t>
  </si>
  <si>
    <t>COPERLAND</t>
  </si>
  <si>
    <t>5GP</t>
  </si>
  <si>
    <t>BRW-008</t>
  </si>
  <si>
    <t>EPS 40-42kg/m3, 100mm</t>
  </si>
  <si>
    <t>BRW-009</t>
  </si>
  <si>
    <t>BRW-010</t>
  </si>
  <si>
    <t>BRW-011</t>
  </si>
  <si>
    <t>BRW-012</t>
  </si>
  <si>
    <t>BRW-013</t>
  </si>
  <si>
    <t>BRW-014</t>
  </si>
  <si>
    <t>BRW-015</t>
  </si>
  <si>
    <t>500L</t>
  </si>
  <si>
    <t>BRW-016</t>
  </si>
  <si>
    <t>2000L</t>
  </si>
  <si>
    <t>BRW-017</t>
  </si>
  <si>
    <t>Dai Thanh</t>
  </si>
  <si>
    <t>BRW-018</t>
  </si>
  <si>
    <t>BRW-019</t>
  </si>
  <si>
    <t>BRW-020</t>
  </si>
  <si>
    <t>BRW-021</t>
  </si>
  <si>
    <t>BRW-022</t>
  </si>
  <si>
    <t>BRW-023</t>
  </si>
  <si>
    <t>BRW-024</t>
  </si>
  <si>
    <t>BRW-025</t>
  </si>
  <si>
    <t>BRW-026</t>
  </si>
  <si>
    <t>BRW-027</t>
  </si>
  <si>
    <t>BRW-028</t>
  </si>
  <si>
    <t>Twin Monkey Yamba</t>
  </si>
  <si>
    <t>From Laos</t>
  </si>
  <si>
    <t>BRW-029</t>
  </si>
  <si>
    <t>out_of_service</t>
  </si>
  <si>
    <t>BRW-030</t>
  </si>
  <si>
    <t>BRW-031</t>
  </si>
  <si>
    <t>BRW-032</t>
  </si>
  <si>
    <t>YUXIN</t>
  </si>
  <si>
    <t>Manufactured</t>
  </si>
  <si>
    <t>excellent</t>
  </si>
  <si>
    <t>BRW-033</t>
  </si>
  <si>
    <t>Henan Yuanda</t>
  </si>
  <si>
    <t>LDR0.035-0.7</t>
  </si>
  <si>
    <t>new</t>
  </si>
  <si>
    <t>BRW-034</t>
  </si>
  <si>
    <t>BRW-035</t>
  </si>
  <si>
    <t>Tam Thai</t>
  </si>
  <si>
    <t>BRW-036</t>
  </si>
  <si>
    <t>BRW-037</t>
  </si>
  <si>
    <t>BRW-038</t>
  </si>
  <si>
    <t>tool</t>
  </si>
  <si>
    <t>BRW-039</t>
  </si>
  <si>
    <t>ABV</t>
  </si>
  <si>
    <t>Pre-existing</t>
  </si>
  <si>
    <t>BRW-040</t>
  </si>
  <si>
    <t>Ex-tech</t>
  </si>
  <si>
    <t>RF2</t>
  </si>
  <si>
    <t>BRW-041</t>
  </si>
  <si>
    <t>Nhơn Hoà</t>
  </si>
  <si>
    <t>500gram</t>
  </si>
  <si>
    <t>BRW-042</t>
  </si>
  <si>
    <t>2000gram</t>
  </si>
  <si>
    <t>BRW-043</t>
  </si>
  <si>
    <t>60kg</t>
  </si>
  <si>
    <t>BRW-044</t>
  </si>
  <si>
    <t>Bosch</t>
  </si>
  <si>
    <t>consumable</t>
  </si>
  <si>
    <t>BRW-045</t>
  </si>
  <si>
    <t>KCN Vạn Phát</t>
  </si>
  <si>
    <t>20L</t>
  </si>
  <si>
    <t>Provied by CO2 Supplier</t>
  </si>
  <si>
    <t>BRW-046</t>
  </si>
  <si>
    <t>10L</t>
  </si>
  <si>
    <t>BRW-047</t>
  </si>
  <si>
    <t>BRW-048</t>
  </si>
  <si>
    <t>Zahm&amp;Nagel</t>
  </si>
  <si>
    <t>1000D</t>
  </si>
  <si>
    <t>BRW-049</t>
  </si>
  <si>
    <t>BRW-050</t>
  </si>
  <si>
    <t>BRW-051</t>
  </si>
  <si>
    <t>MTG</t>
  </si>
  <si>
    <t>Hot Alichem -DN3250</t>
  </si>
  <si>
    <t>BRW-052</t>
  </si>
  <si>
    <t>Hot Alichem -DN3251</t>
  </si>
  <si>
    <t>BRW-053</t>
  </si>
  <si>
    <t>Hot Alichem -DN3252</t>
  </si>
  <si>
    <t>BRW-054</t>
  </si>
  <si>
    <t>Hot Alichem -DN3253</t>
  </si>
  <si>
    <t>BRW-055</t>
  </si>
  <si>
    <t>Hot Alichem -DN3254</t>
  </si>
  <si>
    <t>BRW-056</t>
  </si>
  <si>
    <t>Hot Alichem -DN3255</t>
  </si>
  <si>
    <t>BRW-057</t>
  </si>
  <si>
    <t>Hot Alichem -DN3256</t>
  </si>
  <si>
    <t>BRW-058</t>
  </si>
  <si>
    <t>Hot Alichem -DN3257</t>
  </si>
  <si>
    <t>BRW-059</t>
  </si>
  <si>
    <t>Hot Alichem -DN3258</t>
  </si>
  <si>
    <t>BRW-060</t>
  </si>
  <si>
    <t>BRW-061</t>
  </si>
  <si>
    <t>Talos</t>
  </si>
  <si>
    <t>BRW-062</t>
  </si>
  <si>
    <t>HP Printer</t>
  </si>
  <si>
    <t>IT_hardware</t>
  </si>
  <si>
    <t>current_asset</t>
  </si>
  <si>
    <t>OFC-001</t>
  </si>
  <si>
    <t>Office</t>
  </si>
  <si>
    <t xml:space="preserve">Office Table </t>
  </si>
  <si>
    <t>furniture</t>
  </si>
  <si>
    <t>OFC-002</t>
  </si>
  <si>
    <t>Office Chair</t>
  </si>
  <si>
    <t>OFC-003</t>
  </si>
  <si>
    <t>Office File Cabinet</t>
  </si>
  <si>
    <t>OFC-004</t>
  </si>
  <si>
    <t>Office RO Drinking Water System</t>
  </si>
  <si>
    <t>OFC-005</t>
  </si>
  <si>
    <t>Robot</t>
  </si>
  <si>
    <t>Office Sofa</t>
  </si>
  <si>
    <t>OFC-006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</si>
</sst>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yyyy&quot;-&quot;mm&quot;-&quot;dd"/>
    <numFmt numFmtId="166" formatCode="dd&quot;-&quot;mmm&quot;-&quot;yy"/>
  </numFmts>
  <fonts count="22">
    <font>
      <sz val="10.0"/>
      <color rgb="FF000000"/>
      <name val="Arial"/>
      <scheme val="minor"/>
    </font>
    <font>
      <b/>
      <sz val="14.0"/>
      <color theme="1"/>
      <name val="Arial"/>
      <scheme val="minor"/>
    </font>
    <font>
      <color theme="1"/>
      <name val="Arial"/>
      <scheme val="minor"/>
    </font>
    <font>
      <b/>
      <sz val="12.0"/>
      <color theme="1"/>
      <name val="Arial"/>
      <scheme val="minor"/>
    </font>
    <font>
      <b/>
      <sz val="11.0"/>
      <color rgb="FFFFFFFF"/>
      <name val="Arial"/>
      <scheme val="minor"/>
    </font>
    <font>
      <i/>
      <sz val="9.0"/>
      <color rgb="FFCC0000"/>
      <name val="Arial"/>
      <scheme val="minor"/>
    </font>
    <font>
      <sz val="9.0"/>
      <color rgb="FF666666"/>
      <name val="Arial"/>
      <scheme val="minor"/>
    </font>
    <font>
      <color rgb="FF550010"/>
      <name val="Arial"/>
      <scheme val="minor"/>
    </font>
    <font>
      <sz val="9.0"/>
      <color rgb="FFFF0000"/>
      <name val="Arial"/>
      <scheme val="minor"/>
    </font>
    <font>
      <sz val="9.0"/>
      <color rgb="FF980000"/>
      <name val="Arial"/>
      <scheme val="minor"/>
    </font>
    <font>
      <sz val="9.0"/>
      <color rgb="FF444746"/>
      <name val="&quot;Google Sans Text&quot;"/>
    </font>
    <font>
      <b/>
      <sz val="10.0"/>
      <color theme="1"/>
      <name val="Arial"/>
      <scheme val="minor"/>
    </font>
    <font>
      <sz val="10.0"/>
      <color theme="1"/>
      <name val="Arial"/>
      <scheme val="minor"/>
    </font>
    <font>
      <b/>
      <sz val="10.0"/>
      <color rgb="FFFFFFFF"/>
      <name val="Arial"/>
      <scheme val="minor"/>
    </font>
    <font>
      <i/>
      <sz val="10.0"/>
      <color rgb="FFCC0000"/>
      <name val="Arial"/>
      <scheme val="minor"/>
    </font>
    <font>
      <sz val="10.0"/>
      <color rgb="FF666666"/>
      <name val="Arial"/>
      <scheme val="minor"/>
    </font>
    <font>
      <u/>
      <sz val="10.0"/>
      <color theme="1"/>
      <name val="Arial"/>
      <scheme val="minor"/>
    </font>
    <font>
      <sz val="10.0"/>
      <color rgb="FF081B3A"/>
      <name val="Arial"/>
      <scheme val="minor"/>
    </font>
    <font>
      <sz val="10.0"/>
      <color rgb="FF202124"/>
      <name val="Arial"/>
      <scheme val="minor"/>
    </font>
    <font>
      <color theme="1"/>
      <name val="Arial"/>
    </font>
    <font>
      <sz val="8.0"/>
      <color theme="1"/>
      <name val="Arial"/>
    </font>
    <font>
      <sz val="9.0"/>
      <color theme="1"/>
      <name val="Arial"/>
    </font>
  </fonts>
  <fills count="7">
    <fill>
      <patternFill patternType="none"/>
    </fill>
    <fill>
      <patternFill patternType="lightGray"/>
    </fill>
    <fill>
      <patternFill patternType="solid">
        <fgColor rgb="FFD9E8F7"/>
        <bgColor rgb="FFD9E8F7"/>
      </patternFill>
    </fill>
    <fill>
      <patternFill patternType="solid">
        <fgColor rgb="FF336699"/>
        <bgColor rgb="FF336699"/>
      </patternFill>
    </fill>
    <fill>
      <patternFill patternType="solid">
        <fgColor rgb="FFF5F5F5"/>
        <bgColor rgb="FFF5F5F5"/>
      </patternFill>
    </fill>
    <fill>
      <patternFill patternType="solid">
        <fgColor rgb="FFFFFFFF"/>
        <bgColor rgb="FFFFFFFF"/>
      </patternFill>
    </fill>
    <fill>
      <patternFill patternType="solid">
        <fgColor rgb="FFD9EAD3"/>
        <bgColor rgb="FFD9EAD3"/>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2" fontId="3" numFmtId="0" xfId="0" applyAlignment="1" applyFill="1" applyFont="1">
      <alignment readingOrder="0" vertical="center"/>
    </xf>
    <xf borderId="0" fillId="0" fontId="2" numFmtId="0" xfId="0" applyAlignment="1" applyFont="1">
      <alignment vertical="center"/>
    </xf>
    <xf borderId="0" fillId="3" fontId="4" numFmtId="0" xfId="0" applyAlignment="1" applyFill="1" applyFont="1">
      <alignment horizontal="center" readingOrder="0" vertical="center"/>
    </xf>
    <xf borderId="0" fillId="3" fontId="4" numFmtId="0" xfId="0" applyAlignment="1" applyFont="1">
      <alignment horizontal="center"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shrinkToFit="0" vertical="center" wrapText="1"/>
    </xf>
    <xf borderId="0" fillId="0" fontId="5" numFmtId="0" xfId="0" applyAlignment="1" applyFont="1">
      <alignment readingOrder="0" shrinkToFit="0" vertical="center" wrapText="1"/>
    </xf>
    <xf borderId="0" fillId="4" fontId="6" numFmtId="0" xfId="0" applyAlignment="1" applyFill="1" applyFont="1">
      <alignment readingOrder="0" vertical="center"/>
    </xf>
    <xf borderId="0" fillId="4" fontId="6" numFmtId="0" xfId="0" applyAlignment="1" applyFont="1">
      <alignment readingOrder="0" shrinkToFit="0" vertical="center" wrapText="1"/>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3" xfId="0" applyAlignment="1" applyFont="1" applyNumberFormat="1">
      <alignment readingOrder="0" vertical="center"/>
    </xf>
    <xf borderId="0" fillId="0" fontId="2" numFmtId="0" xfId="0" applyAlignment="1" applyFont="1">
      <alignment shrinkToFit="0" vertical="center" wrapText="1"/>
    </xf>
    <xf borderId="0" fillId="0" fontId="7" numFmtId="0" xfId="0" applyAlignment="1" applyFont="1">
      <alignment readingOrder="0" vertical="center"/>
    </xf>
    <xf borderId="0" fillId="0" fontId="2" numFmtId="1" xfId="0" applyAlignment="1" applyFont="1" applyNumberFormat="1">
      <alignment shrinkToFit="0" vertical="center" wrapText="1"/>
    </xf>
    <xf borderId="0" fillId="2" fontId="3" numFmtId="0" xfId="0" applyAlignment="1" applyFont="1">
      <alignment readingOrder="0"/>
    </xf>
    <xf borderId="0" fillId="3" fontId="4" numFmtId="0" xfId="0" applyAlignment="1" applyFont="1">
      <alignment horizontal="center" readingOrder="0"/>
    </xf>
    <xf borderId="0" fillId="0" fontId="5" numFmtId="0" xfId="0" applyAlignment="1" applyFont="1">
      <alignment readingOrder="0"/>
    </xf>
    <xf borderId="0" fillId="0" fontId="5" numFmtId="0" xfId="0" applyFont="1"/>
    <xf borderId="0" fillId="4" fontId="6" numFmtId="0" xfId="0" applyAlignment="1" applyFont="1">
      <alignment readingOrder="0"/>
    </xf>
    <xf borderId="0" fillId="0" fontId="2" numFmtId="0" xfId="0" applyAlignment="1" applyFont="1">
      <alignment readingOrder="0"/>
    </xf>
    <xf borderId="0" fillId="0" fontId="2" numFmtId="164" xfId="0" applyAlignment="1" applyFont="1" applyNumberFormat="1">
      <alignment readingOrder="0"/>
    </xf>
    <xf borderId="0" fillId="0" fontId="2" numFmtId="0" xfId="0" applyFont="1"/>
    <xf borderId="0" fillId="0" fontId="2" numFmtId="3" xfId="0" applyAlignment="1" applyFont="1" applyNumberFormat="1">
      <alignment readingOrder="0"/>
    </xf>
    <xf borderId="0" fillId="4" fontId="8" numFmtId="0" xfId="0" applyAlignment="1" applyFont="1">
      <alignment readingOrder="0"/>
    </xf>
    <xf borderId="0" fillId="4" fontId="9" numFmtId="0" xfId="0" applyAlignment="1" applyFont="1">
      <alignment readingOrder="0"/>
    </xf>
    <xf borderId="0" fillId="0" fontId="2" numFmtId="10" xfId="0" applyAlignment="1" applyFont="1" applyNumberFormat="1">
      <alignment readingOrder="0"/>
    </xf>
    <xf quotePrefix="1" borderId="0" fillId="0" fontId="2" numFmtId="0" xfId="0" applyAlignment="1" applyFont="1">
      <alignment readingOrder="0"/>
    </xf>
    <xf borderId="0" fillId="0" fontId="2" numFmtId="3" xfId="0" applyAlignment="1" applyFont="1" applyNumberFormat="1">
      <alignment readingOrder="0"/>
    </xf>
    <xf borderId="0" fillId="0" fontId="2" numFmtId="3" xfId="0" applyFont="1" applyNumberFormat="1"/>
    <xf borderId="0" fillId="5" fontId="10" numFmtId="0" xfId="0" applyAlignment="1" applyFill="1" applyFont="1">
      <alignment readingOrder="0"/>
    </xf>
    <xf borderId="0" fillId="2" fontId="11" numFmtId="0" xfId="0" applyAlignment="1" applyFont="1">
      <alignment readingOrder="0" shrinkToFit="0" wrapText="1"/>
    </xf>
    <xf borderId="0" fillId="0" fontId="12" numFmtId="0" xfId="0" applyAlignment="1" applyFont="1">
      <alignment shrinkToFit="0" wrapText="1"/>
    </xf>
    <xf borderId="0" fillId="3" fontId="13" numFmtId="0" xfId="0" applyAlignment="1" applyFont="1">
      <alignment horizontal="center" readingOrder="0" shrinkToFit="0" wrapText="1"/>
    </xf>
    <xf borderId="0" fillId="3" fontId="13" numFmtId="0" xfId="0" applyAlignment="1" applyFont="1">
      <alignment horizontal="left" readingOrder="0" shrinkToFit="0" wrapText="1"/>
    </xf>
    <xf borderId="0" fillId="0" fontId="14" numFmtId="0" xfId="0" applyAlignment="1" applyFont="1">
      <alignment readingOrder="0" shrinkToFit="0" wrapText="1"/>
    </xf>
    <xf borderId="0" fillId="0" fontId="14" numFmtId="0" xfId="0" applyAlignment="1" applyFont="1">
      <alignment shrinkToFit="0" wrapText="1"/>
    </xf>
    <xf borderId="0" fillId="0" fontId="14" numFmtId="0" xfId="0" applyAlignment="1" applyFont="1">
      <alignment horizontal="center" shrinkToFit="0" wrapText="1"/>
    </xf>
    <xf borderId="0" fillId="0" fontId="14" numFmtId="0" xfId="0" applyAlignment="1" applyFont="1">
      <alignment horizontal="left" shrinkToFit="0" wrapText="1"/>
    </xf>
    <xf borderId="0" fillId="4" fontId="15" numFmtId="0" xfId="0" applyAlignment="1" applyFont="1">
      <alignment readingOrder="0" shrinkToFit="0" wrapText="1"/>
    </xf>
    <xf borderId="0" fillId="4" fontId="15" numFmtId="0" xfId="0" applyAlignment="1" applyFont="1">
      <alignment horizontal="center" readingOrder="0" shrinkToFit="0" wrapText="1"/>
    </xf>
    <xf borderId="0" fillId="4" fontId="15" numFmtId="0" xfId="0" applyAlignment="1" applyFont="1">
      <alignment horizontal="left" readingOrder="0" shrinkToFit="0" wrapText="1"/>
    </xf>
    <xf borderId="0" fillId="0" fontId="12" numFmtId="0" xfId="0" applyAlignment="1" applyFont="1">
      <alignment readingOrder="0" shrinkToFit="0" vertical="bottom" wrapText="1"/>
    </xf>
    <xf borderId="0" fillId="0" fontId="12" numFmtId="0" xfId="0" applyAlignment="1" applyFont="1">
      <alignment shrinkToFit="0" vertical="bottom" wrapText="1"/>
    </xf>
    <xf borderId="0" fillId="0" fontId="12" numFmtId="0" xfId="0" applyAlignment="1" applyFont="1">
      <alignment readingOrder="0" shrinkToFit="0" wrapText="1"/>
    </xf>
    <xf borderId="0" fillId="0" fontId="12" numFmtId="0" xfId="0" applyAlignment="1" applyFont="1">
      <alignment horizontal="center" shrinkToFit="0" vertical="bottom" wrapText="1"/>
    </xf>
    <xf borderId="0" fillId="0" fontId="12" numFmtId="49" xfId="0" applyAlignment="1" applyFont="1" applyNumberFormat="1">
      <alignment horizontal="center" shrinkToFit="0" vertical="bottom" wrapText="1"/>
    </xf>
    <xf borderId="0" fillId="0" fontId="12" numFmtId="0" xfId="0" applyAlignment="1" applyFont="1">
      <alignment horizontal="left" shrinkToFit="0" vertical="bottom" wrapText="1"/>
    </xf>
    <xf borderId="0" fillId="0" fontId="12" numFmtId="0" xfId="0" applyAlignment="1" applyFont="1">
      <alignment horizontal="center" readingOrder="0" shrinkToFit="0" vertical="bottom" wrapText="1"/>
    </xf>
    <xf borderId="0" fillId="0" fontId="12" numFmtId="0" xfId="0" applyAlignment="1" applyFont="1">
      <alignment readingOrder="0" shrinkToFit="0" vertical="center" wrapText="1"/>
    </xf>
    <xf borderId="0" fillId="5" fontId="12" numFmtId="49" xfId="0" applyAlignment="1" applyFont="1" applyNumberFormat="1">
      <alignment horizontal="center" shrinkToFit="0" vertical="bottom" wrapText="1"/>
    </xf>
    <xf borderId="0" fillId="0" fontId="12" numFmtId="49" xfId="0" applyAlignment="1" applyFont="1" applyNumberFormat="1">
      <alignment horizontal="center" readingOrder="0" shrinkToFit="0" vertical="bottom" wrapText="1"/>
    </xf>
    <xf borderId="0" fillId="0" fontId="12" numFmtId="49" xfId="0" applyAlignment="1" applyFont="1" applyNumberFormat="1">
      <alignment readingOrder="0" shrinkToFit="0" vertical="bottom" wrapText="1"/>
    </xf>
    <xf borderId="0" fillId="0" fontId="12" numFmtId="0" xfId="0" applyAlignment="1" applyFont="1">
      <alignment horizontal="center" shrinkToFit="0" wrapText="1"/>
    </xf>
    <xf quotePrefix="1" borderId="0" fillId="0" fontId="12" numFmtId="0" xfId="0" applyAlignment="1" applyFont="1">
      <alignment horizontal="center" shrinkToFit="0" wrapText="1"/>
    </xf>
    <xf quotePrefix="1" borderId="0" fillId="0" fontId="12" numFmtId="0" xfId="0" applyAlignment="1" applyFont="1">
      <alignment horizontal="center" shrinkToFit="0" vertical="bottom" wrapText="1"/>
    </xf>
    <xf borderId="0" fillId="0" fontId="0" numFmtId="49" xfId="0" applyAlignment="1" applyFont="1" applyNumberFormat="1">
      <alignment horizontal="center" readingOrder="0" shrinkToFit="0" vertical="bottom" wrapText="1"/>
    </xf>
    <xf borderId="0" fillId="0" fontId="16" numFmtId="0" xfId="0" applyAlignment="1" applyFont="1">
      <alignment horizontal="left" readingOrder="0" shrinkToFit="0" vertical="bottom" wrapText="1"/>
    </xf>
    <xf borderId="0" fillId="5" fontId="17" numFmtId="0" xfId="0" applyAlignment="1" applyFont="1">
      <alignment readingOrder="0" shrinkToFit="0" vertical="bottom" wrapText="1"/>
    </xf>
    <xf quotePrefix="1" borderId="0" fillId="0" fontId="12" numFmtId="49" xfId="0" applyAlignment="1" applyFont="1" applyNumberFormat="1">
      <alignment horizontal="center" shrinkToFit="0" vertical="bottom" wrapText="1"/>
    </xf>
    <xf borderId="0" fillId="0" fontId="12" numFmtId="49" xfId="0" applyAlignment="1" applyFont="1" applyNumberFormat="1">
      <alignment shrinkToFit="0" vertical="bottom" wrapText="1"/>
    </xf>
    <xf quotePrefix="1" borderId="0" fillId="0" fontId="12" numFmtId="49" xfId="0" applyAlignment="1" applyFont="1" applyNumberFormat="1">
      <alignment horizontal="center" readingOrder="0" shrinkToFit="0" vertical="bottom" wrapText="1"/>
    </xf>
    <xf borderId="0" fillId="5" fontId="18" numFmtId="0" xfId="0" applyAlignment="1" applyFont="1">
      <alignment readingOrder="0" shrinkToFit="0" vertical="bottom" wrapText="1"/>
    </xf>
    <xf borderId="0" fillId="6" fontId="12" numFmtId="0" xfId="0" applyAlignment="1" applyFill="1" applyFont="1">
      <alignment shrinkToFit="0" vertical="bottom" wrapText="1"/>
    </xf>
    <xf borderId="0" fillId="6" fontId="12" numFmtId="0" xfId="0" applyAlignment="1" applyFont="1">
      <alignment readingOrder="0" shrinkToFit="0" wrapText="1"/>
    </xf>
    <xf borderId="0" fillId="6" fontId="12" numFmtId="0" xfId="0" applyAlignment="1" applyFont="1">
      <alignment horizontal="center" shrinkToFit="0" vertical="bottom" wrapText="1"/>
    </xf>
    <xf borderId="0" fillId="6" fontId="12" numFmtId="49" xfId="0" applyAlignment="1" applyFont="1" applyNumberFormat="1">
      <alignment horizontal="center" shrinkToFit="0" vertical="bottom" wrapText="1"/>
    </xf>
    <xf borderId="0" fillId="6" fontId="12" numFmtId="0" xfId="0" applyAlignment="1" applyFont="1">
      <alignment horizontal="left" shrinkToFit="0" vertical="bottom" wrapText="1"/>
    </xf>
    <xf borderId="0" fillId="6" fontId="12" numFmtId="0" xfId="0" applyAlignment="1" applyFont="1">
      <alignment readingOrder="0" shrinkToFit="0" vertical="bottom" wrapText="1"/>
    </xf>
    <xf borderId="0" fillId="6" fontId="12" numFmtId="0" xfId="0" applyAlignment="1" applyFont="1">
      <alignment shrinkToFit="0" wrapText="1"/>
    </xf>
    <xf borderId="0" fillId="3" fontId="4" numFmtId="0" xfId="0" applyAlignment="1" applyFont="1">
      <alignment horizontal="center" readingOrder="0" shrinkToFit="0" wrapText="1"/>
    </xf>
    <xf borderId="0" fillId="0" fontId="5" numFmtId="0" xfId="0" applyAlignment="1" applyFont="1">
      <alignment shrinkToFit="0" wrapText="1"/>
    </xf>
    <xf borderId="0" fillId="4" fontId="6" numFmtId="0" xfId="0" applyAlignment="1" applyFont="1">
      <alignment readingOrder="0" shrinkToFit="0" wrapText="1"/>
    </xf>
    <xf borderId="0" fillId="0" fontId="0" numFmtId="0" xfId="0" applyAlignment="1" applyFont="1">
      <alignment horizontal="left" readingOrder="0" vertical="bottom"/>
    </xf>
    <xf borderId="0" fillId="0" fontId="12" numFmtId="0" xfId="0" applyAlignment="1" applyFont="1">
      <alignment readingOrder="0"/>
    </xf>
    <xf borderId="0" fillId="3" fontId="4" numFmtId="10" xfId="0" applyAlignment="1" applyFont="1" applyNumberFormat="1">
      <alignment horizontal="center" readingOrder="0"/>
    </xf>
    <xf borderId="0" fillId="0" fontId="5" numFmtId="10" xfId="0" applyFont="1" applyNumberFormat="1"/>
    <xf borderId="0" fillId="4" fontId="6" numFmtId="10" xfId="0" applyAlignment="1" applyFont="1" applyNumberFormat="1">
      <alignment readingOrder="0"/>
    </xf>
    <xf borderId="0" fillId="0" fontId="2" numFmtId="10" xfId="0" applyFont="1" applyNumberFormat="1"/>
    <xf borderId="0" fillId="2" fontId="11" numFmtId="0" xfId="0" applyAlignment="1" applyFont="1">
      <alignment readingOrder="0"/>
    </xf>
    <xf borderId="0" fillId="0" fontId="12" numFmtId="0" xfId="0" applyFont="1"/>
    <xf borderId="0" fillId="3" fontId="13" numFmtId="0" xfId="0" applyAlignment="1" applyFont="1">
      <alignment horizontal="center" readingOrder="0"/>
    </xf>
    <xf borderId="0" fillId="0" fontId="14" numFmtId="0" xfId="0" applyAlignment="1" applyFont="1">
      <alignment readingOrder="0"/>
    </xf>
    <xf borderId="0" fillId="0" fontId="14" numFmtId="0" xfId="0" applyFont="1"/>
    <xf borderId="0" fillId="4" fontId="15" numFmtId="0" xfId="0" applyAlignment="1" applyFont="1">
      <alignment readingOrder="0"/>
    </xf>
    <xf borderId="0" fillId="0" fontId="12" numFmtId="0" xfId="0" applyAlignment="1" applyFont="1">
      <alignment readingOrder="0" vertical="bottom"/>
    </xf>
    <xf borderId="0" fillId="0" fontId="12" numFmtId="0" xfId="0" applyAlignment="1" applyFont="1">
      <alignment horizontal="right" readingOrder="0" shrinkToFit="0" vertical="bottom" wrapText="1"/>
    </xf>
    <xf borderId="0" fillId="0" fontId="12" numFmtId="0" xfId="0" applyAlignment="1" applyFont="1">
      <alignment vertical="bottom"/>
    </xf>
    <xf borderId="0" fillId="0" fontId="12" numFmtId="165" xfId="0" applyAlignment="1" applyFont="1" applyNumberFormat="1">
      <alignment horizontal="right" readingOrder="0" shrinkToFit="0" vertical="bottom" wrapText="1"/>
    </xf>
    <xf borderId="0" fillId="0" fontId="12" numFmtId="165" xfId="0" applyAlignment="1" applyFont="1" applyNumberFormat="1">
      <alignment vertical="bottom"/>
    </xf>
    <xf borderId="0" fillId="0" fontId="12" numFmtId="0" xfId="0" applyAlignment="1" applyFont="1">
      <alignment horizontal="right" readingOrder="0" vertical="bottom"/>
    </xf>
    <xf borderId="0" fillId="0" fontId="12" numFmtId="165" xfId="0" applyAlignment="1" applyFont="1" applyNumberFormat="1">
      <alignment horizontal="right" shrinkToFit="0" vertical="bottom" wrapText="1"/>
    </xf>
    <xf borderId="0" fillId="0" fontId="12" numFmtId="165" xfId="0" applyAlignment="1" applyFont="1" applyNumberFormat="1">
      <alignment readingOrder="0" vertical="bottom"/>
    </xf>
    <xf borderId="0" fillId="0" fontId="12" numFmtId="0" xfId="0" applyAlignment="1" applyFont="1">
      <alignment horizontal="right" shrinkToFit="0" vertical="bottom" wrapText="1"/>
    </xf>
    <xf borderId="0" fillId="0" fontId="12" numFmtId="0" xfId="0" applyAlignment="1" applyFont="1">
      <alignment horizontal="right" vertical="bottom"/>
    </xf>
    <xf borderId="0" fillId="0" fontId="12" numFmtId="165" xfId="0" applyAlignment="1" applyFont="1" applyNumberFormat="1">
      <alignment horizontal="right" vertical="bottom"/>
    </xf>
    <xf borderId="0" fillId="0" fontId="19" numFmtId="0" xfId="0" applyAlignment="1" applyFont="1">
      <alignment horizontal="right" readingOrder="0" vertical="bottom"/>
    </xf>
    <xf borderId="0" fillId="0" fontId="19" numFmtId="3" xfId="0" applyAlignment="1" applyFont="1" applyNumberFormat="1">
      <alignment horizontal="right" readingOrder="0" vertical="bottom"/>
    </xf>
    <xf borderId="0" fillId="0" fontId="19" numFmtId="3" xfId="0" applyAlignment="1" applyFont="1" applyNumberFormat="1">
      <alignment readingOrder="0" vertical="bottom"/>
    </xf>
    <xf borderId="0" fillId="0" fontId="19" numFmtId="0" xfId="0" applyAlignment="1" applyFont="1">
      <alignment readingOrder="0" vertical="bottom"/>
    </xf>
    <xf borderId="0" fillId="0" fontId="2" numFmtId="3" xfId="0" applyFont="1" applyNumberFormat="1"/>
    <xf borderId="0" fillId="0" fontId="2" numFmtId="49" xfId="0" applyFont="1" applyNumberFormat="1"/>
    <xf borderId="0" fillId="0" fontId="19" numFmtId="3" xfId="0" applyAlignment="1" applyFont="1" applyNumberFormat="1">
      <alignment horizontal="right" vertical="bottom"/>
    </xf>
    <xf borderId="0" fillId="0" fontId="19" numFmtId="0" xfId="0" applyAlignment="1" applyFont="1">
      <alignment horizontal="right" vertical="bottom"/>
    </xf>
    <xf borderId="0" fillId="0" fontId="19" numFmtId="0" xfId="0" applyAlignment="1" applyFont="1">
      <alignment vertical="bottom"/>
    </xf>
    <xf borderId="0" fillId="0" fontId="2" numFmtId="4" xfId="0" applyAlignment="1" applyFont="1" applyNumberFormat="1">
      <alignment readingOrder="0"/>
    </xf>
    <xf borderId="0" fillId="0" fontId="2" numFmtId="0" xfId="0" applyFont="1"/>
    <xf borderId="0" fillId="0" fontId="20" numFmtId="166" xfId="0" applyAlignment="1" applyFont="1" applyNumberFormat="1">
      <alignment horizontal="right" vertical="bottom"/>
    </xf>
    <xf borderId="0" fillId="0" fontId="21" numFmtId="0" xfId="0" applyAlignment="1" applyFont="1">
      <alignment vertical="bottom"/>
    </xf>
    <xf borderId="0" fillId="0" fontId="19" numFmtId="0" xfId="0" applyAlignment="1" applyFont="1">
      <alignment vertical="bottom"/>
    </xf>
    <xf borderId="0" fillId="0" fontId="19" numFmtId="0" xfId="0" applyAlignment="1" applyFont="1">
      <alignment horizontal="right" vertical="bottom"/>
    </xf>
    <xf borderId="0" fillId="0" fontId="19" numFmtId="3" xfId="0" applyAlignment="1" applyFont="1" applyNumberFormat="1">
      <alignment horizontal="right" vertical="bottom"/>
    </xf>
    <xf borderId="0" fillId="0" fontId="19" numFmtId="3" xfId="0" applyAlignment="1" applyFont="1" applyNumberFormat="1">
      <alignment vertical="bottom"/>
    </xf>
    <xf borderId="0" fillId="0" fontId="21" numFmtId="49" xfId="0" applyAlignment="1" applyFont="1" applyNumberFormat="1">
      <alignment vertical="bottom"/>
    </xf>
    <xf borderId="0" fillId="0" fontId="2" numFmtId="3" xfId="0" applyAlignment="1" applyFont="1" applyNumberFormat="1">
      <alignment readingOrder="0"/>
    </xf>
    <xf borderId="0" fillId="3" fontId="4" numFmtId="165" xfId="0" applyAlignment="1" applyFont="1" applyNumberFormat="1">
      <alignment horizontal="center" readingOrder="0"/>
    </xf>
    <xf borderId="0" fillId="0" fontId="5" numFmtId="165" xfId="0" applyAlignment="1" applyFont="1" applyNumberFormat="1">
      <alignment readingOrder="0"/>
    </xf>
    <xf borderId="0" fillId="4" fontId="6" numFmtId="165" xfId="0" applyAlignment="1" applyFont="1" applyNumberFormat="1">
      <alignment readingOrder="0"/>
    </xf>
    <xf borderId="0" fillId="0" fontId="2" numFmtId="165" xfId="0" applyAlignment="1" applyFont="1" applyNumberFormat="1">
      <alignment readingOrder="0"/>
    </xf>
    <xf borderId="0" fillId="0" fontId="2" numFmtId="20" xfId="0" applyAlignment="1" applyFont="1" applyNumberFormat="1">
      <alignment readingOrder="0"/>
    </xf>
    <xf borderId="0" fillId="3" fontId="4" numFmtId="165" xfId="0" applyAlignment="1" applyFont="1" applyNumberFormat="1">
      <alignment horizontal="center" readingOrder="0"/>
    </xf>
    <xf borderId="0" fillId="0" fontId="5" numFmtId="165" xfId="0" applyFont="1" applyNumberFormat="1"/>
    <xf borderId="0" fillId="4" fontId="6" numFmtId="165" xfId="0" applyAlignment="1" applyFont="1" applyNumberFormat="1">
      <alignment readingOrder="0"/>
    </xf>
    <xf borderId="0" fillId="0" fontId="19" numFmtId="0" xfId="0" applyAlignment="1" applyFont="1">
      <alignment horizontal="left" shrinkToFit="0" vertical="bottom" wrapText="1"/>
    </xf>
    <xf borderId="0" fillId="0" fontId="2" numFmtId="0" xfId="0" applyAlignment="1" applyFont="1">
      <alignment horizontal="left" readingOrder="0"/>
    </xf>
    <xf borderId="0" fillId="0" fontId="2" numFmtId="165" xfId="0" applyFont="1" applyNumberFormat="1"/>
    <xf borderId="0" fillId="0" fontId="19" numFmtId="0" xfId="0" applyAlignment="1" applyFont="1">
      <alignment horizontal="left" readingOrder="0" shrinkToFit="0" vertical="bottom" wrapText="1"/>
    </xf>
    <xf borderId="0" fillId="0" fontId="2" numFmtId="165" xfId="0" applyAlignment="1" applyFont="1" applyNumberFormat="1">
      <alignment readingOrder="0"/>
    </xf>
    <xf borderId="0" fillId="0" fontId="19" numFmtId="165" xfId="0" applyAlignment="1" applyFont="1" applyNumberFormat="1">
      <alignment horizontal="right" shrinkToFit="0" vertical="bottom" wrapText="1"/>
    </xf>
    <xf borderId="0" fillId="0" fontId="19" numFmtId="0" xfId="0" applyAlignment="1" applyFont="1">
      <alignment horizontal="left" vertical="bottom"/>
    </xf>
    <xf borderId="0" fillId="0" fontId="19" numFmtId="165" xfId="0" applyAlignment="1" applyFont="1" applyNumberFormat="1">
      <alignment horizontal="right" readingOrder="0" vertical="bottom"/>
    </xf>
    <xf borderId="0" fillId="0" fontId="19" numFmtId="165" xfId="0" applyAlignment="1" applyFont="1" applyNumberFormat="1">
      <alignment vertical="bottom"/>
    </xf>
    <xf borderId="0" fillId="0" fontId="19" numFmtId="165" xfId="0" applyAlignment="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mailto:acc.thegreenbox@gmail.com"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13"/>
  </cols>
  <sheetData>
    <row r="1">
      <c r="A1" s="1" t="s">
        <v>0</v>
      </c>
    </row>
    <row r="2">
      <c r="A2" s="2"/>
    </row>
    <row r="3">
      <c r="A3" s="3" t="s">
        <v>1</v>
      </c>
    </row>
    <row r="4">
      <c r="A4" s="2"/>
    </row>
    <row r="5">
      <c r="A5" s="3" t="s">
        <v>2</v>
      </c>
    </row>
    <row r="6">
      <c r="A6" s="3" t="s">
        <v>3</v>
      </c>
    </row>
    <row r="7">
      <c r="A7" s="3" t="s">
        <v>4</v>
      </c>
    </row>
    <row r="8">
      <c r="A8" s="3" t="s">
        <v>5</v>
      </c>
    </row>
    <row r="9">
      <c r="A9" s="3" t="s">
        <v>6</v>
      </c>
    </row>
    <row r="10">
      <c r="A10" s="3" t="s">
        <v>7</v>
      </c>
    </row>
    <row r="11">
      <c r="A11" s="3" t="s">
        <v>8</v>
      </c>
    </row>
    <row r="12">
      <c r="A12" s="3" t="s">
        <v>9</v>
      </c>
    </row>
    <row r="13">
      <c r="A13" s="2"/>
    </row>
    <row r="14">
      <c r="A14" s="3" t="s">
        <v>10</v>
      </c>
    </row>
    <row r="15">
      <c r="A15" s="3" t="s">
        <v>11</v>
      </c>
    </row>
    <row r="16">
      <c r="A16" s="3" t="s">
        <v>12</v>
      </c>
    </row>
    <row r="17">
      <c r="A17" s="3" t="s">
        <v>13</v>
      </c>
    </row>
    <row r="18">
      <c r="A18" s="3" t="s">
        <v>14</v>
      </c>
    </row>
    <row r="19">
      <c r="A19" s="3" t="s">
        <v>15</v>
      </c>
    </row>
    <row r="20">
      <c r="A20" s="3" t="s">
        <v>16</v>
      </c>
    </row>
    <row r="21">
      <c r="A21" s="2"/>
    </row>
    <row r="22">
      <c r="A22" s="3" t="s">
        <v>17</v>
      </c>
    </row>
    <row r="23">
      <c r="A23" s="3" t="s">
        <v>18</v>
      </c>
    </row>
    <row r="24">
      <c r="A24" s="3" t="s">
        <v>19</v>
      </c>
    </row>
    <row r="25">
      <c r="A25" s="3" t="s">
        <v>20</v>
      </c>
    </row>
    <row r="26">
      <c r="A26" s="3" t="s">
        <v>21</v>
      </c>
    </row>
    <row r="27">
      <c r="A27" s="2"/>
    </row>
    <row r="28">
      <c r="A28" s="3" t="s">
        <v>22</v>
      </c>
    </row>
    <row r="29">
      <c r="A29" s="3" t="s">
        <v>23</v>
      </c>
    </row>
    <row r="30">
      <c r="A30" s="3" t="s">
        <v>24</v>
      </c>
    </row>
    <row r="31">
      <c r="A31" s="3" t="s">
        <v>25</v>
      </c>
    </row>
    <row r="32">
      <c r="A32" s="3" t="s">
        <v>26</v>
      </c>
    </row>
    <row r="33">
      <c r="A33" s="2"/>
    </row>
    <row r="34">
      <c r="A34" s="3" t="s">
        <v>27</v>
      </c>
    </row>
    <row r="35">
      <c r="A35" s="3" t="s">
        <v>28</v>
      </c>
    </row>
    <row r="36">
      <c r="A36" s="3" t="s">
        <v>29</v>
      </c>
    </row>
    <row r="37">
      <c r="A37" s="4"/>
    </row>
    <row r="38">
      <c r="A38" s="3" t="s">
        <v>30</v>
      </c>
    </row>
    <row r="39">
      <c r="A39" s="3" t="s">
        <v>31</v>
      </c>
    </row>
    <row r="40">
      <c r="A40" s="3" t="s">
        <v>32</v>
      </c>
    </row>
    <row r="41">
      <c r="A41" s="3" t="s">
        <v>33</v>
      </c>
    </row>
    <row r="42">
      <c r="A42" s="3" t="s">
        <v>34</v>
      </c>
    </row>
    <row r="43">
      <c r="A43" s="3" t="s">
        <v>35</v>
      </c>
    </row>
    <row r="44">
      <c r="A44" s="2"/>
    </row>
    <row r="45">
      <c r="A45" s="3" t="s">
        <v>36</v>
      </c>
    </row>
    <row r="46">
      <c r="A46" s="3" t="s">
        <v>37</v>
      </c>
    </row>
    <row r="47">
      <c r="A47" s="2"/>
    </row>
    <row r="48">
      <c r="A48" s="2"/>
    </row>
    <row r="49">
      <c r="A49" s="2"/>
    </row>
    <row r="50">
      <c r="A5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40.63"/>
    <col customWidth="1" min="2" max="2" width="9.38"/>
    <col customWidth="1" min="3" max="3" width="4.13"/>
    <col customWidth="1" min="4" max="4" width="3.75"/>
    <col customWidth="1" min="5" max="5" width="64.0"/>
    <col customWidth="1" min="6" max="6" width="23.38"/>
    <col customWidth="1" min="7" max="7" width="12.88"/>
    <col customWidth="1" min="8" max="8" width="23.38"/>
    <col customWidth="1" min="9" max="9" width="12.88"/>
    <col customWidth="1" min="10" max="10" width="13.0"/>
  </cols>
  <sheetData>
    <row r="1">
      <c r="A1" s="5" t="s">
        <v>38</v>
      </c>
      <c r="K1" s="6"/>
      <c r="L1" s="6"/>
      <c r="M1" s="6"/>
      <c r="N1" s="6"/>
      <c r="O1" s="6"/>
      <c r="P1" s="6"/>
      <c r="Q1" s="6"/>
      <c r="R1" s="6"/>
      <c r="S1" s="6"/>
      <c r="T1" s="6"/>
      <c r="U1" s="6"/>
      <c r="V1" s="6"/>
      <c r="W1" s="6"/>
      <c r="X1" s="6"/>
      <c r="Y1" s="6"/>
      <c r="Z1" s="6"/>
      <c r="AA1" s="6"/>
      <c r="AB1" s="6"/>
      <c r="AC1" s="6"/>
    </row>
    <row r="2">
      <c r="A2" s="7" t="s">
        <v>39</v>
      </c>
      <c r="B2" s="7" t="s">
        <v>40</v>
      </c>
      <c r="C2" s="7" t="s">
        <v>41</v>
      </c>
      <c r="D2" s="7" t="s">
        <v>42</v>
      </c>
      <c r="E2" s="8" t="s">
        <v>43</v>
      </c>
      <c r="F2" s="8" t="s">
        <v>44</v>
      </c>
      <c r="H2" s="8" t="s">
        <v>45</v>
      </c>
      <c r="J2" s="7" t="s">
        <v>46</v>
      </c>
      <c r="K2" s="6"/>
      <c r="L2" s="6"/>
      <c r="M2" s="6"/>
      <c r="N2" s="6"/>
      <c r="O2" s="6"/>
      <c r="P2" s="6"/>
      <c r="Q2" s="6"/>
      <c r="R2" s="6"/>
      <c r="S2" s="6"/>
      <c r="T2" s="6"/>
      <c r="U2" s="6"/>
      <c r="V2" s="6"/>
      <c r="W2" s="6"/>
      <c r="X2" s="6"/>
      <c r="Y2" s="6"/>
      <c r="Z2" s="6"/>
      <c r="AA2" s="6"/>
      <c r="AB2" s="6"/>
      <c r="AC2" s="6"/>
    </row>
    <row r="3">
      <c r="F3" s="8" t="s">
        <v>47</v>
      </c>
      <c r="G3" s="8" t="s">
        <v>48</v>
      </c>
      <c r="H3" s="8" t="s">
        <v>47</v>
      </c>
      <c r="I3" s="8" t="s">
        <v>48</v>
      </c>
      <c r="K3" s="6"/>
      <c r="L3" s="6"/>
      <c r="M3" s="6"/>
      <c r="N3" s="6"/>
      <c r="O3" s="6"/>
      <c r="P3" s="6"/>
      <c r="Q3" s="6"/>
      <c r="R3" s="6"/>
      <c r="S3" s="6"/>
      <c r="T3" s="6"/>
      <c r="U3" s="6"/>
      <c r="V3" s="6"/>
      <c r="W3" s="6"/>
      <c r="X3" s="6"/>
      <c r="Y3" s="6"/>
      <c r="Z3" s="6"/>
      <c r="AA3" s="6"/>
      <c r="AB3" s="6"/>
      <c r="AC3" s="6"/>
    </row>
    <row r="4">
      <c r="A4" s="9" t="s">
        <v>49</v>
      </c>
      <c r="B4" s="10"/>
      <c r="C4" s="10"/>
      <c r="D4" s="10"/>
      <c r="E4" s="11"/>
      <c r="F4" s="12" t="s">
        <v>49</v>
      </c>
      <c r="H4" s="12"/>
      <c r="I4" s="12"/>
      <c r="J4" s="10"/>
      <c r="K4" s="6"/>
      <c r="L4" s="6"/>
      <c r="M4" s="6"/>
      <c r="N4" s="6"/>
      <c r="O4" s="6"/>
      <c r="P4" s="6"/>
      <c r="Q4" s="6"/>
      <c r="R4" s="6"/>
      <c r="S4" s="6"/>
      <c r="T4" s="6"/>
      <c r="U4" s="6"/>
      <c r="V4" s="6"/>
      <c r="W4" s="6"/>
      <c r="X4" s="6"/>
      <c r="Y4" s="6"/>
      <c r="Z4" s="6"/>
      <c r="AA4" s="6"/>
      <c r="AB4" s="6"/>
      <c r="AC4" s="6"/>
    </row>
    <row r="5">
      <c r="A5" s="13" t="s">
        <v>50</v>
      </c>
      <c r="B5" s="13" t="s">
        <v>50</v>
      </c>
      <c r="C5" s="13" t="s">
        <v>50</v>
      </c>
      <c r="D5" s="13" t="s">
        <v>50</v>
      </c>
      <c r="E5" s="14" t="s">
        <v>50</v>
      </c>
      <c r="F5" s="13" t="s">
        <v>51</v>
      </c>
      <c r="G5" s="13"/>
      <c r="H5" s="14"/>
      <c r="I5" s="14"/>
      <c r="J5" s="13" t="s">
        <v>50</v>
      </c>
      <c r="K5" s="6"/>
      <c r="L5" s="6"/>
      <c r="M5" s="6"/>
      <c r="N5" s="6"/>
      <c r="O5" s="6"/>
      <c r="P5" s="6"/>
      <c r="Q5" s="6"/>
      <c r="R5" s="6"/>
      <c r="S5" s="6"/>
      <c r="T5" s="6"/>
      <c r="U5" s="6"/>
      <c r="V5" s="6"/>
      <c r="W5" s="6"/>
      <c r="X5" s="6"/>
      <c r="Y5" s="6"/>
      <c r="Z5" s="6"/>
      <c r="AA5" s="6"/>
      <c r="AB5" s="6"/>
      <c r="AC5" s="6"/>
    </row>
    <row r="6">
      <c r="A6" s="15" t="s">
        <v>52</v>
      </c>
      <c r="B6" s="15" t="s">
        <v>53</v>
      </c>
      <c r="C6" s="15">
        <v>4.9</v>
      </c>
      <c r="D6" s="15">
        <v>0.0</v>
      </c>
      <c r="E6" s="16" t="s">
        <v>54</v>
      </c>
      <c r="F6" s="17">
        <v>1650000.0</v>
      </c>
      <c r="G6" s="17">
        <v>1250000.0</v>
      </c>
      <c r="H6" s="15">
        <v>0.0</v>
      </c>
      <c r="I6" s="6">
        <f>85000*24</f>
        <v>2040000</v>
      </c>
      <c r="J6" s="15">
        <v>1.0</v>
      </c>
      <c r="K6" s="17"/>
      <c r="M6" s="6"/>
      <c r="N6" s="6"/>
      <c r="O6" s="6"/>
      <c r="P6" s="6"/>
      <c r="Q6" s="6"/>
      <c r="R6" s="6"/>
      <c r="S6" s="6"/>
      <c r="T6" s="6"/>
      <c r="U6" s="6"/>
      <c r="V6" s="6"/>
      <c r="W6" s="6"/>
      <c r="X6" s="6"/>
      <c r="Y6" s="6"/>
      <c r="Z6" s="6"/>
      <c r="AA6" s="6"/>
      <c r="AB6" s="6"/>
      <c r="AC6" s="6"/>
    </row>
    <row r="7">
      <c r="A7" s="15" t="s">
        <v>55</v>
      </c>
      <c r="B7" s="15" t="s">
        <v>56</v>
      </c>
      <c r="C7" s="15">
        <v>4.7</v>
      </c>
      <c r="D7" s="15">
        <v>20.0</v>
      </c>
      <c r="E7" s="16" t="s">
        <v>57</v>
      </c>
      <c r="F7" s="17">
        <v>1790000.0</v>
      </c>
      <c r="G7" s="17">
        <v>1080000.0</v>
      </c>
      <c r="H7" s="16">
        <v>0.0</v>
      </c>
      <c r="I7" s="16">
        <v>0.0</v>
      </c>
      <c r="J7" s="15">
        <v>0.0</v>
      </c>
      <c r="K7" s="6"/>
      <c r="L7" s="6"/>
      <c r="M7" s="6"/>
      <c r="N7" s="6"/>
      <c r="O7" s="6"/>
      <c r="P7" s="6"/>
      <c r="Q7" s="6"/>
      <c r="R7" s="6"/>
      <c r="S7" s="6"/>
      <c r="T7" s="6"/>
      <c r="U7" s="6"/>
      <c r="V7" s="6"/>
      <c r="W7" s="6"/>
      <c r="X7" s="6"/>
      <c r="Y7" s="6"/>
      <c r="Z7" s="6"/>
      <c r="AA7" s="6"/>
      <c r="AB7" s="6"/>
      <c r="AC7" s="6"/>
    </row>
    <row r="8">
      <c r="A8" s="15" t="s">
        <v>58</v>
      </c>
      <c r="B8" s="15" t="s">
        <v>59</v>
      </c>
      <c r="C8" s="15">
        <v>4.3</v>
      </c>
      <c r="D8" s="15">
        <v>12.0</v>
      </c>
      <c r="E8" s="16" t="s">
        <v>60</v>
      </c>
      <c r="F8" s="17">
        <v>1700000.0</v>
      </c>
      <c r="G8" s="17">
        <v>1300000.0</v>
      </c>
      <c r="H8" s="16">
        <v>0.0</v>
      </c>
      <c r="I8" s="6">
        <f t="shared" ref="I8:I9" si="1">85000*24</f>
        <v>2040000</v>
      </c>
      <c r="J8" s="15">
        <v>1.0</v>
      </c>
      <c r="K8" s="6"/>
      <c r="L8" s="6"/>
      <c r="M8" s="6"/>
      <c r="N8" s="6"/>
      <c r="O8" s="6"/>
      <c r="P8" s="6"/>
      <c r="Q8" s="6"/>
      <c r="R8" s="6"/>
      <c r="S8" s="6"/>
      <c r="T8" s="6"/>
      <c r="U8" s="6"/>
      <c r="V8" s="6"/>
      <c r="W8" s="6"/>
      <c r="X8" s="6"/>
      <c r="Y8" s="6"/>
      <c r="Z8" s="6"/>
      <c r="AA8" s="6"/>
      <c r="AB8" s="6"/>
      <c r="AC8" s="6"/>
    </row>
    <row r="9">
      <c r="A9" s="15" t="s">
        <v>61</v>
      </c>
      <c r="B9" s="15" t="s">
        <v>62</v>
      </c>
      <c r="C9" s="15">
        <v>5.4</v>
      </c>
      <c r="D9" s="15">
        <v>25.0</v>
      </c>
      <c r="E9" s="16" t="s">
        <v>63</v>
      </c>
      <c r="F9" s="17">
        <v>2150000.0</v>
      </c>
      <c r="G9" s="17">
        <f>1400000</f>
        <v>1400000</v>
      </c>
      <c r="H9" s="16">
        <v>0.0</v>
      </c>
      <c r="I9" s="6">
        <f t="shared" si="1"/>
        <v>2040000</v>
      </c>
      <c r="J9" s="15">
        <v>1.0</v>
      </c>
      <c r="K9" s="6"/>
      <c r="L9" s="6"/>
      <c r="M9" s="6"/>
      <c r="N9" s="6"/>
      <c r="O9" s="6"/>
      <c r="P9" s="6"/>
      <c r="Q9" s="6"/>
      <c r="R9" s="6"/>
      <c r="S9" s="6"/>
      <c r="T9" s="6"/>
      <c r="U9" s="6"/>
      <c r="V9" s="6"/>
      <c r="W9" s="6"/>
      <c r="X9" s="6"/>
      <c r="Y9" s="6"/>
      <c r="Z9" s="6"/>
      <c r="AA9" s="6"/>
      <c r="AB9" s="6"/>
      <c r="AC9" s="6"/>
    </row>
    <row r="10">
      <c r="A10" s="15" t="s">
        <v>64</v>
      </c>
      <c r="B10" s="15" t="s">
        <v>65</v>
      </c>
      <c r="C10" s="15">
        <v>6.8</v>
      </c>
      <c r="D10" s="15">
        <v>60.0</v>
      </c>
      <c r="E10" s="16" t="s">
        <v>66</v>
      </c>
      <c r="F10" s="17">
        <v>2750000.0</v>
      </c>
      <c r="G10" s="17">
        <v>1550000.0</v>
      </c>
      <c r="H10" s="16">
        <v>0.0</v>
      </c>
      <c r="I10" s="18">
        <f>90000*24</f>
        <v>2160000</v>
      </c>
      <c r="J10" s="15">
        <v>1.0</v>
      </c>
      <c r="K10" s="6"/>
      <c r="L10" s="6"/>
      <c r="M10" s="6"/>
      <c r="N10" s="6"/>
      <c r="O10" s="6"/>
      <c r="P10" s="6"/>
      <c r="Q10" s="6"/>
      <c r="R10" s="6"/>
      <c r="S10" s="6"/>
      <c r="T10" s="6"/>
      <c r="U10" s="6"/>
      <c r="V10" s="6"/>
      <c r="W10" s="6"/>
      <c r="X10" s="6"/>
      <c r="Y10" s="6"/>
      <c r="Z10" s="6"/>
      <c r="AA10" s="6"/>
      <c r="AB10" s="6"/>
      <c r="AC10" s="6"/>
    </row>
    <row r="11">
      <c r="A11" s="15" t="s">
        <v>67</v>
      </c>
      <c r="B11" s="15" t="s">
        <v>68</v>
      </c>
      <c r="C11" s="15">
        <v>7.5</v>
      </c>
      <c r="D11" s="15">
        <v>80.0</v>
      </c>
      <c r="E11" s="16" t="s">
        <v>69</v>
      </c>
      <c r="F11" s="17">
        <v>2850000.0</v>
      </c>
      <c r="G11" s="17">
        <v>1650000.0</v>
      </c>
      <c r="H11" s="16">
        <v>0.0</v>
      </c>
      <c r="I11" s="18">
        <f t="shared" ref="I11:I13" si="2">24*100000</f>
        <v>2400000</v>
      </c>
      <c r="J11" s="15">
        <v>0.0</v>
      </c>
      <c r="K11" s="6"/>
      <c r="L11" s="6"/>
      <c r="M11" s="6"/>
      <c r="N11" s="6"/>
      <c r="O11" s="6"/>
      <c r="P11" s="6"/>
      <c r="Q11" s="6"/>
      <c r="R11" s="6"/>
      <c r="S11" s="6"/>
      <c r="T11" s="6"/>
      <c r="U11" s="6"/>
      <c r="V11" s="6"/>
      <c r="W11" s="6"/>
      <c r="X11" s="6"/>
      <c r="Y11" s="6"/>
      <c r="Z11" s="6"/>
      <c r="AA11" s="6"/>
      <c r="AB11" s="6"/>
      <c r="AC11" s="6"/>
    </row>
    <row r="12">
      <c r="A12" s="15" t="s">
        <v>70</v>
      </c>
      <c r="B12" s="15" t="s">
        <v>71</v>
      </c>
      <c r="C12" s="15">
        <v>8.3</v>
      </c>
      <c r="D12" s="15">
        <v>45.0</v>
      </c>
      <c r="E12" s="16" t="s">
        <v>72</v>
      </c>
      <c r="F12" s="17">
        <v>2850000.0</v>
      </c>
      <c r="G12" s="17">
        <v>1650000.0</v>
      </c>
      <c r="H12" s="16">
        <v>0.0</v>
      </c>
      <c r="I12" s="18">
        <f t="shared" si="2"/>
        <v>2400000</v>
      </c>
      <c r="J12" s="15">
        <v>0.0</v>
      </c>
      <c r="K12" s="6"/>
      <c r="L12" s="6"/>
      <c r="M12" s="6"/>
      <c r="N12" s="6"/>
      <c r="O12" s="6"/>
      <c r="P12" s="6"/>
      <c r="Q12" s="6"/>
      <c r="R12" s="6"/>
      <c r="S12" s="6"/>
      <c r="T12" s="6"/>
      <c r="U12" s="6"/>
      <c r="V12" s="6"/>
      <c r="W12" s="6"/>
      <c r="X12" s="6"/>
      <c r="Y12" s="6"/>
      <c r="Z12" s="6"/>
      <c r="AA12" s="6"/>
      <c r="AB12" s="6"/>
      <c r="AC12" s="6"/>
    </row>
    <row r="13">
      <c r="A13" s="15" t="s">
        <v>73</v>
      </c>
      <c r="B13" s="15" t="s">
        <v>74</v>
      </c>
      <c r="C13" s="15">
        <v>7.5</v>
      </c>
      <c r="D13" s="19">
        <v>30.0</v>
      </c>
      <c r="E13" s="16" t="s">
        <v>75</v>
      </c>
      <c r="F13" s="17">
        <v>2850000.0</v>
      </c>
      <c r="G13" s="17">
        <v>1650000.0</v>
      </c>
      <c r="H13" s="16">
        <v>0.0</v>
      </c>
      <c r="I13" s="18">
        <f t="shared" si="2"/>
        <v>2400000</v>
      </c>
      <c r="J13" s="15">
        <v>1.0</v>
      </c>
      <c r="K13" s="6"/>
      <c r="L13" s="6"/>
      <c r="M13" s="6"/>
      <c r="N13" s="6"/>
      <c r="O13" s="6"/>
      <c r="P13" s="6"/>
      <c r="Q13" s="6"/>
      <c r="R13" s="6"/>
      <c r="S13" s="6"/>
      <c r="T13" s="6"/>
      <c r="U13" s="6"/>
      <c r="V13" s="6"/>
      <c r="W13" s="6"/>
      <c r="X13" s="6"/>
      <c r="Y13" s="6"/>
      <c r="Z13" s="6"/>
      <c r="AA13" s="6"/>
      <c r="AB13" s="6"/>
      <c r="AC13" s="6"/>
    </row>
    <row r="14">
      <c r="A14" s="15" t="s">
        <v>76</v>
      </c>
      <c r="B14" s="15" t="s">
        <v>77</v>
      </c>
      <c r="C14" s="15">
        <v>4.8</v>
      </c>
      <c r="D14" s="15">
        <v>7.0</v>
      </c>
      <c r="E14" s="16" t="s">
        <v>78</v>
      </c>
      <c r="F14" s="17">
        <v>1550000.0</v>
      </c>
      <c r="G14" s="17">
        <v>1100000.0</v>
      </c>
      <c r="H14" s="16">
        <v>0.0</v>
      </c>
      <c r="I14" s="18">
        <f>75000*24</f>
        <v>1800000</v>
      </c>
      <c r="J14" s="15">
        <v>1.0</v>
      </c>
      <c r="K14" s="6"/>
      <c r="L14" s="6"/>
      <c r="M14" s="6"/>
      <c r="N14" s="6"/>
      <c r="O14" s="6"/>
      <c r="P14" s="6"/>
      <c r="Q14" s="6"/>
      <c r="R14" s="6"/>
      <c r="S14" s="6"/>
      <c r="T14" s="6"/>
      <c r="U14" s="6"/>
      <c r="V14" s="6"/>
      <c r="W14" s="6"/>
      <c r="X14" s="6"/>
      <c r="Y14" s="6"/>
      <c r="Z14" s="6"/>
      <c r="AA14" s="6"/>
      <c r="AB14" s="6"/>
      <c r="AC14" s="6"/>
    </row>
    <row r="15">
      <c r="A15" s="15" t="s">
        <v>79</v>
      </c>
      <c r="B15" s="15" t="s">
        <v>74</v>
      </c>
      <c r="C15" s="15">
        <v>7.7</v>
      </c>
      <c r="D15" s="15">
        <v>15.0</v>
      </c>
      <c r="E15" s="18"/>
      <c r="F15" s="15">
        <v>0.0</v>
      </c>
      <c r="G15" s="15">
        <v>0.0</v>
      </c>
      <c r="H15" s="16">
        <v>0.0</v>
      </c>
      <c r="I15" s="20">
        <f t="shared" ref="I15:I16" si="3">219000*24</f>
        <v>5256000</v>
      </c>
      <c r="J15" s="15">
        <v>1.0</v>
      </c>
      <c r="K15" s="6"/>
      <c r="L15" s="6"/>
      <c r="M15" s="6"/>
      <c r="N15" s="6"/>
      <c r="O15" s="6"/>
      <c r="P15" s="6"/>
      <c r="Q15" s="6"/>
      <c r="R15" s="6"/>
      <c r="S15" s="6"/>
      <c r="T15" s="6"/>
      <c r="U15" s="6"/>
      <c r="V15" s="6"/>
      <c r="W15" s="6"/>
      <c r="X15" s="6"/>
      <c r="Y15" s="6"/>
      <c r="Z15" s="6"/>
      <c r="AA15" s="6"/>
      <c r="AB15" s="6"/>
      <c r="AC15" s="6"/>
    </row>
    <row r="16">
      <c r="A16" s="15" t="s">
        <v>80</v>
      </c>
      <c r="B16" s="15" t="s">
        <v>81</v>
      </c>
      <c r="C16" s="15">
        <v>4.7</v>
      </c>
      <c r="D16" s="15">
        <v>28.0</v>
      </c>
      <c r="E16" s="18"/>
      <c r="F16" s="15">
        <v>0.0</v>
      </c>
      <c r="G16" s="15">
        <v>0.0</v>
      </c>
      <c r="H16" s="16">
        <v>0.0</v>
      </c>
      <c r="I16" s="20">
        <f t="shared" si="3"/>
        <v>5256000</v>
      </c>
      <c r="J16" s="15">
        <v>1.0</v>
      </c>
      <c r="K16" s="6"/>
      <c r="L16" s="6"/>
      <c r="M16" s="6"/>
      <c r="N16" s="6"/>
      <c r="O16" s="6"/>
      <c r="P16" s="6"/>
      <c r="Q16" s="6"/>
      <c r="R16" s="6"/>
      <c r="S16" s="6"/>
      <c r="T16" s="6"/>
      <c r="U16" s="6"/>
      <c r="V16" s="6"/>
      <c r="W16" s="6"/>
      <c r="X16" s="6"/>
      <c r="Y16" s="6"/>
      <c r="Z16" s="6"/>
      <c r="AA16" s="6"/>
      <c r="AB16" s="6"/>
      <c r="AC16" s="6"/>
    </row>
    <row r="17">
      <c r="A17" s="15" t="s">
        <v>82</v>
      </c>
      <c r="B17" s="15" t="s">
        <v>83</v>
      </c>
      <c r="C17" s="15">
        <v>5.8</v>
      </c>
      <c r="D17" s="15">
        <v>25.0</v>
      </c>
      <c r="E17" s="16" t="s">
        <v>84</v>
      </c>
      <c r="F17" s="17">
        <v>2500000.0</v>
      </c>
      <c r="G17" s="17">
        <v>1440000.0</v>
      </c>
      <c r="H17" s="15">
        <v>0.0</v>
      </c>
      <c r="I17" s="18">
        <f t="shared" ref="I17:I18" si="4">24*100000</f>
        <v>2400000</v>
      </c>
      <c r="J17" s="15">
        <v>0.0</v>
      </c>
      <c r="K17" s="6"/>
      <c r="L17" s="6"/>
      <c r="M17" s="6"/>
      <c r="N17" s="6"/>
      <c r="O17" s="6"/>
      <c r="P17" s="6"/>
      <c r="Q17" s="6"/>
      <c r="R17" s="6"/>
      <c r="S17" s="6"/>
      <c r="T17" s="6"/>
      <c r="U17" s="6"/>
      <c r="V17" s="6"/>
      <c r="W17" s="6"/>
      <c r="X17" s="6"/>
      <c r="Y17" s="6"/>
      <c r="Z17" s="6"/>
      <c r="AA17" s="6"/>
      <c r="AB17" s="6"/>
      <c r="AC17" s="6"/>
    </row>
    <row r="18">
      <c r="A18" s="15" t="s">
        <v>85</v>
      </c>
      <c r="B18" s="15" t="s">
        <v>86</v>
      </c>
      <c r="C18" s="15">
        <v>7.5</v>
      </c>
      <c r="D18" s="15">
        <v>35.0</v>
      </c>
      <c r="E18" s="16" t="s">
        <v>87</v>
      </c>
      <c r="F18" s="17">
        <v>2500000.0</v>
      </c>
      <c r="G18" s="17">
        <v>1440000.0</v>
      </c>
      <c r="H18" s="16">
        <v>0.0</v>
      </c>
      <c r="I18" s="18">
        <f t="shared" si="4"/>
        <v>2400000</v>
      </c>
      <c r="J18" s="15">
        <v>0.0</v>
      </c>
      <c r="K18" s="6"/>
      <c r="L18" s="6"/>
      <c r="M18" s="6"/>
      <c r="N18" s="6"/>
      <c r="O18" s="6"/>
      <c r="P18" s="6"/>
      <c r="Q18" s="6"/>
      <c r="R18" s="6"/>
      <c r="S18" s="6"/>
      <c r="T18" s="6"/>
      <c r="U18" s="6"/>
      <c r="V18" s="6"/>
      <c r="W18" s="6"/>
      <c r="X18" s="6"/>
      <c r="Y18" s="6"/>
      <c r="Z18" s="6"/>
      <c r="AA18" s="6"/>
      <c r="AB18" s="6"/>
      <c r="AC18" s="6"/>
    </row>
  </sheetData>
  <mergeCells count="11">
    <mergeCell ref="H2:I2"/>
    <mergeCell ref="J2:J3"/>
    <mergeCell ref="F4:G4"/>
    <mergeCell ref="K6:L6"/>
    <mergeCell ref="A1:J1"/>
    <mergeCell ref="A2:A3"/>
    <mergeCell ref="B2:B3"/>
    <mergeCell ref="C2:C3"/>
    <mergeCell ref="D2:D3"/>
    <mergeCell ref="E2:E3"/>
    <mergeCell ref="F2:G2"/>
  </mergeCells>
  <dataValidations>
    <dataValidation type="list" allowBlank="1" sqref="J7:J18">
      <formula1>"1,0"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1.75"/>
    <col customWidth="1" min="2" max="2" width="34.63"/>
    <col customWidth="1" min="3" max="3" width="17.5"/>
    <col customWidth="1" min="4" max="4" width="8.88"/>
    <col customWidth="1" min="5" max="5" width="12.38"/>
    <col customWidth="1" min="6" max="6" width="18.63"/>
    <col customWidth="1" min="7" max="7" width="19.13"/>
    <col customWidth="1" min="8" max="8" width="10.88"/>
    <col customWidth="1" min="9" max="9" width="24.63"/>
    <col customWidth="1" min="10" max="10" width="15.63"/>
    <col customWidth="1" min="11" max="11" width="5.88"/>
  </cols>
  <sheetData>
    <row r="1">
      <c r="A1" s="21" t="s">
        <v>88</v>
      </c>
    </row>
    <row r="2">
      <c r="A2" s="22" t="s">
        <v>39</v>
      </c>
      <c r="B2" s="22" t="s">
        <v>89</v>
      </c>
      <c r="C2" s="22" t="s">
        <v>90</v>
      </c>
      <c r="D2" s="22" t="s">
        <v>91</v>
      </c>
      <c r="E2" s="22" t="s">
        <v>92</v>
      </c>
      <c r="F2" s="22" t="s">
        <v>93</v>
      </c>
      <c r="G2" s="22" t="s">
        <v>94</v>
      </c>
      <c r="H2" s="22" t="s">
        <v>95</v>
      </c>
      <c r="I2" s="22" t="s">
        <v>96</v>
      </c>
      <c r="J2" s="22" t="s">
        <v>97</v>
      </c>
      <c r="K2" s="22" t="s">
        <v>98</v>
      </c>
    </row>
    <row r="3">
      <c r="A3" s="23" t="s">
        <v>49</v>
      </c>
      <c r="B3" s="23" t="s">
        <v>49</v>
      </c>
      <c r="C3" s="23" t="s">
        <v>49</v>
      </c>
      <c r="D3" s="23" t="s">
        <v>49</v>
      </c>
      <c r="E3" s="24"/>
      <c r="F3" s="23" t="s">
        <v>49</v>
      </c>
      <c r="G3" s="24"/>
      <c r="H3" s="24"/>
      <c r="I3" s="24"/>
      <c r="J3" s="24"/>
      <c r="K3" s="24"/>
    </row>
    <row r="4">
      <c r="A4" s="25" t="s">
        <v>50</v>
      </c>
      <c r="B4" s="25" t="s">
        <v>99</v>
      </c>
      <c r="C4" s="25" t="s">
        <v>100</v>
      </c>
      <c r="D4" s="25" t="s">
        <v>101</v>
      </c>
      <c r="E4" s="25" t="s">
        <v>101</v>
      </c>
      <c r="F4" s="25" t="s">
        <v>51</v>
      </c>
      <c r="G4" s="25" t="s">
        <v>50</v>
      </c>
      <c r="H4" s="25" t="s">
        <v>50</v>
      </c>
      <c r="I4" s="25" t="s">
        <v>102</v>
      </c>
      <c r="J4" s="25" t="s">
        <v>50</v>
      </c>
      <c r="K4" s="25" t="s">
        <v>50</v>
      </c>
    </row>
    <row r="5">
      <c r="A5" s="26" t="s">
        <v>103</v>
      </c>
      <c r="B5" s="26" t="s">
        <v>104</v>
      </c>
      <c r="C5" s="26" t="s">
        <v>105</v>
      </c>
      <c r="D5" s="26">
        <v>10.0</v>
      </c>
      <c r="E5" s="26">
        <v>0.0</v>
      </c>
      <c r="F5" s="26">
        <v>28600.0</v>
      </c>
      <c r="G5" s="26" t="s">
        <v>106</v>
      </c>
      <c r="H5" s="26" t="s">
        <v>107</v>
      </c>
      <c r="I5" s="27">
        <v>46715.0</v>
      </c>
      <c r="J5" s="26" t="s">
        <v>108</v>
      </c>
    </row>
    <row r="6">
      <c r="A6" s="26" t="s">
        <v>109</v>
      </c>
      <c r="B6" s="26" t="s">
        <v>104</v>
      </c>
      <c r="C6" s="26" t="s">
        <v>105</v>
      </c>
      <c r="D6" s="28">
        <f>14*25+10</f>
        <v>360</v>
      </c>
      <c r="E6" s="26">
        <v>100.0</v>
      </c>
      <c r="F6" s="26">
        <v>19500.0</v>
      </c>
      <c r="G6" s="26" t="s">
        <v>106</v>
      </c>
      <c r="H6" s="26" t="s">
        <v>110</v>
      </c>
      <c r="I6" s="28" t="str">
        <f t="shared" ref="I6:I7" si="1">if(D6=0," ", "fill here")</f>
        <v>fill here</v>
      </c>
      <c r="J6" s="26" t="s">
        <v>108</v>
      </c>
    </row>
    <row r="7">
      <c r="A7" s="26" t="s">
        <v>111</v>
      </c>
      <c r="B7" s="26" t="s">
        <v>104</v>
      </c>
      <c r="C7" s="26" t="s">
        <v>105</v>
      </c>
      <c r="D7" s="26">
        <v>0.0</v>
      </c>
      <c r="E7" s="26">
        <v>100.0</v>
      </c>
      <c r="F7" s="26">
        <v>25200.0</v>
      </c>
      <c r="G7" s="26" t="s">
        <v>106</v>
      </c>
      <c r="H7" s="26" t="s">
        <v>110</v>
      </c>
      <c r="I7" s="28" t="str">
        <f t="shared" si="1"/>
        <v> </v>
      </c>
      <c r="J7" s="26" t="s">
        <v>108</v>
      </c>
    </row>
    <row r="8">
      <c r="A8" s="26" t="s">
        <v>112</v>
      </c>
      <c r="B8" s="26" t="s">
        <v>104</v>
      </c>
      <c r="C8" s="26" t="s">
        <v>105</v>
      </c>
      <c r="D8" s="28">
        <f>15*25</f>
        <v>375</v>
      </c>
      <c r="E8" s="26">
        <v>0.0</v>
      </c>
      <c r="F8" s="26">
        <v>25200.0</v>
      </c>
      <c r="G8" s="26" t="s">
        <v>106</v>
      </c>
      <c r="H8" s="26" t="s">
        <v>113</v>
      </c>
      <c r="I8" s="27">
        <v>46625.0</v>
      </c>
      <c r="J8" s="26" t="s">
        <v>108</v>
      </c>
    </row>
    <row r="9">
      <c r="A9" s="26" t="s">
        <v>114</v>
      </c>
      <c r="B9" s="26" t="s">
        <v>104</v>
      </c>
      <c r="C9" s="26" t="s">
        <v>105</v>
      </c>
      <c r="D9" s="26">
        <v>0.0</v>
      </c>
      <c r="E9" s="26">
        <v>0.0</v>
      </c>
      <c r="F9" s="26">
        <v>27600.0</v>
      </c>
      <c r="G9" s="26" t="s">
        <v>106</v>
      </c>
      <c r="H9" s="26" t="s">
        <v>107</v>
      </c>
      <c r="I9" s="28" t="str">
        <f t="shared" ref="I9:I12" si="2">if(D9=0," ", "fill here")</f>
        <v> </v>
      </c>
      <c r="J9" s="26" t="s">
        <v>108</v>
      </c>
    </row>
    <row r="10">
      <c r="A10" s="26" t="s">
        <v>115</v>
      </c>
      <c r="B10" s="26" t="s">
        <v>104</v>
      </c>
      <c r="C10" s="26" t="s">
        <v>105</v>
      </c>
      <c r="D10" s="28">
        <f>3*25</f>
        <v>75</v>
      </c>
      <c r="E10" s="26">
        <v>50.0</v>
      </c>
      <c r="F10" s="26">
        <v>27600.0</v>
      </c>
      <c r="G10" s="26" t="s">
        <v>106</v>
      </c>
      <c r="H10" s="26" t="s">
        <v>107</v>
      </c>
      <c r="I10" s="28" t="str">
        <f t="shared" si="2"/>
        <v>fill here</v>
      </c>
      <c r="J10" s="26" t="s">
        <v>108</v>
      </c>
    </row>
    <row r="11">
      <c r="A11" s="26" t="s">
        <v>116</v>
      </c>
      <c r="B11" s="26" t="s">
        <v>104</v>
      </c>
      <c r="C11" s="26" t="s">
        <v>105</v>
      </c>
      <c r="D11" s="26">
        <v>15.0</v>
      </c>
      <c r="E11" s="26">
        <v>25.0</v>
      </c>
      <c r="F11" s="26">
        <v>26000.0</v>
      </c>
      <c r="G11" s="26" t="s">
        <v>106</v>
      </c>
      <c r="H11" s="26" t="s">
        <v>113</v>
      </c>
      <c r="I11" s="28" t="str">
        <f t="shared" si="2"/>
        <v>fill here</v>
      </c>
      <c r="J11" s="26" t="s">
        <v>108</v>
      </c>
    </row>
    <row r="12">
      <c r="A12" s="26" t="s">
        <v>117</v>
      </c>
      <c r="B12" s="26" t="s">
        <v>104</v>
      </c>
      <c r="C12" s="26" t="s">
        <v>105</v>
      </c>
      <c r="D12" s="26">
        <v>0.0</v>
      </c>
      <c r="E12" s="26">
        <v>25.0</v>
      </c>
      <c r="F12" s="26">
        <v>27500.0</v>
      </c>
      <c r="G12" s="26" t="s">
        <v>106</v>
      </c>
      <c r="H12" s="26" t="s">
        <v>110</v>
      </c>
      <c r="I12" s="28" t="str">
        <f t="shared" si="2"/>
        <v> </v>
      </c>
      <c r="J12" s="26" t="s">
        <v>108</v>
      </c>
    </row>
    <row r="13">
      <c r="A13" s="26" t="s">
        <v>118</v>
      </c>
      <c r="B13" s="26" t="s">
        <v>104</v>
      </c>
      <c r="C13" s="26" t="s">
        <v>105</v>
      </c>
      <c r="D13" s="26">
        <v>20.0</v>
      </c>
      <c r="E13" s="26">
        <v>0.0</v>
      </c>
      <c r="F13" s="26">
        <v>27500.0</v>
      </c>
      <c r="G13" s="26" t="s">
        <v>106</v>
      </c>
      <c r="H13" s="26" t="s">
        <v>107</v>
      </c>
      <c r="I13" s="27">
        <v>46719.0</v>
      </c>
      <c r="J13" s="26" t="s">
        <v>108</v>
      </c>
    </row>
    <row r="14">
      <c r="A14" s="26" t="s">
        <v>119</v>
      </c>
      <c r="B14" s="26" t="s">
        <v>104</v>
      </c>
      <c r="C14" s="26" t="s">
        <v>105</v>
      </c>
      <c r="D14" s="26">
        <v>0.0</v>
      </c>
      <c r="E14" s="26">
        <v>0.0</v>
      </c>
      <c r="F14" s="26">
        <v>32000.0</v>
      </c>
      <c r="G14" s="26" t="s">
        <v>106</v>
      </c>
      <c r="H14" s="26" t="s">
        <v>107</v>
      </c>
      <c r="I14" s="28" t="str">
        <f t="shared" ref="I14:I33" si="3">if(D14=0," ", "fill here")</f>
        <v> </v>
      </c>
      <c r="J14" s="26" t="s">
        <v>108</v>
      </c>
    </row>
    <row r="15">
      <c r="A15" s="26" t="s">
        <v>120</v>
      </c>
      <c r="B15" s="26" t="s">
        <v>104</v>
      </c>
      <c r="C15" s="26" t="s">
        <v>105</v>
      </c>
      <c r="D15" s="26">
        <v>10.0</v>
      </c>
      <c r="E15" s="26">
        <v>25.0</v>
      </c>
      <c r="F15" s="26">
        <v>36000.0</v>
      </c>
      <c r="G15" s="26" t="s">
        <v>106</v>
      </c>
      <c r="H15" s="26" t="s">
        <v>107</v>
      </c>
      <c r="I15" s="28" t="str">
        <f t="shared" si="3"/>
        <v>fill here</v>
      </c>
      <c r="J15" s="26" t="s">
        <v>108</v>
      </c>
    </row>
    <row r="16">
      <c r="A16" s="26" t="s">
        <v>121</v>
      </c>
      <c r="B16" s="26" t="s">
        <v>104</v>
      </c>
      <c r="C16" s="26" t="s">
        <v>105</v>
      </c>
      <c r="D16" s="26">
        <v>5.0</v>
      </c>
      <c r="E16" s="26">
        <v>25.0</v>
      </c>
      <c r="F16" s="26">
        <v>36500.0</v>
      </c>
      <c r="G16" s="26" t="s">
        <v>106</v>
      </c>
      <c r="H16" s="26" t="s">
        <v>107</v>
      </c>
      <c r="I16" s="28" t="str">
        <f t="shared" si="3"/>
        <v>fill here</v>
      </c>
      <c r="J16" s="26" t="s">
        <v>108</v>
      </c>
    </row>
    <row r="17">
      <c r="A17" s="26" t="s">
        <v>122</v>
      </c>
      <c r="B17" s="26" t="s">
        <v>104</v>
      </c>
      <c r="C17" s="26" t="s">
        <v>105</v>
      </c>
      <c r="D17" s="26">
        <v>5.0</v>
      </c>
      <c r="E17" s="26">
        <v>25.0</v>
      </c>
      <c r="F17" s="26">
        <v>36800.0</v>
      </c>
      <c r="G17" s="26" t="s">
        <v>106</v>
      </c>
      <c r="H17" s="26" t="s">
        <v>107</v>
      </c>
      <c r="I17" s="28" t="str">
        <f t="shared" si="3"/>
        <v>fill here</v>
      </c>
      <c r="J17" s="26" t="s">
        <v>108</v>
      </c>
    </row>
    <row r="18">
      <c r="A18" s="26" t="s">
        <v>123</v>
      </c>
      <c r="B18" s="26" t="s">
        <v>104</v>
      </c>
      <c r="C18" s="26" t="s">
        <v>105</v>
      </c>
      <c r="D18" s="26">
        <v>50.0</v>
      </c>
      <c r="E18" s="26">
        <v>0.0</v>
      </c>
      <c r="F18" s="26">
        <v>36700.0</v>
      </c>
      <c r="G18" s="26" t="s">
        <v>106</v>
      </c>
      <c r="H18" s="26" t="s">
        <v>107</v>
      </c>
      <c r="I18" s="28" t="str">
        <f t="shared" si="3"/>
        <v>fill here</v>
      </c>
      <c r="J18" s="26" t="s">
        <v>108</v>
      </c>
    </row>
    <row r="19">
      <c r="A19" s="26" t="s">
        <v>124</v>
      </c>
      <c r="B19" s="26" t="s">
        <v>104</v>
      </c>
      <c r="C19" s="26" t="s">
        <v>105</v>
      </c>
      <c r="D19" s="26">
        <v>25.0</v>
      </c>
      <c r="E19" s="26">
        <v>0.0</v>
      </c>
      <c r="F19" s="26">
        <v>36000.0</v>
      </c>
      <c r="G19" s="26" t="s">
        <v>106</v>
      </c>
      <c r="H19" s="26" t="s">
        <v>107</v>
      </c>
      <c r="I19" s="28" t="str">
        <f t="shared" si="3"/>
        <v>fill here</v>
      </c>
      <c r="J19" s="26" t="s">
        <v>108</v>
      </c>
    </row>
    <row r="20">
      <c r="A20" s="26" t="s">
        <v>125</v>
      </c>
      <c r="B20" s="26" t="s">
        <v>104</v>
      </c>
      <c r="C20" s="26" t="s">
        <v>105</v>
      </c>
      <c r="D20" s="26">
        <v>15.0</v>
      </c>
      <c r="E20" s="26">
        <v>0.0</v>
      </c>
      <c r="F20" s="26">
        <v>60600.0</v>
      </c>
      <c r="G20" s="26" t="s">
        <v>126</v>
      </c>
      <c r="H20" s="26" t="s">
        <v>127</v>
      </c>
      <c r="I20" s="28" t="str">
        <f t="shared" si="3"/>
        <v>fill here</v>
      </c>
      <c r="J20" s="26" t="s">
        <v>108</v>
      </c>
    </row>
    <row r="21">
      <c r="A21" s="26" t="s">
        <v>128</v>
      </c>
      <c r="B21" s="26" t="s">
        <v>104</v>
      </c>
      <c r="C21" s="26" t="s">
        <v>105</v>
      </c>
      <c r="D21" s="26">
        <v>0.0</v>
      </c>
      <c r="E21" s="26">
        <v>25.0</v>
      </c>
      <c r="F21" s="26">
        <v>37000.0</v>
      </c>
      <c r="G21" s="26" t="s">
        <v>126</v>
      </c>
      <c r="H21" s="26" t="s">
        <v>110</v>
      </c>
      <c r="I21" s="28" t="str">
        <f t="shared" si="3"/>
        <v> </v>
      </c>
      <c r="J21" s="26" t="s">
        <v>108</v>
      </c>
    </row>
    <row r="22">
      <c r="A22" s="26" t="s">
        <v>129</v>
      </c>
      <c r="B22" s="26" t="s">
        <v>104</v>
      </c>
      <c r="C22" s="26" t="s">
        <v>105</v>
      </c>
      <c r="D22" s="26">
        <v>0.0</v>
      </c>
      <c r="E22" s="26">
        <v>0.0</v>
      </c>
      <c r="F22" s="29">
        <v>38500.0</v>
      </c>
      <c r="G22" s="26" t="s">
        <v>106</v>
      </c>
      <c r="H22" s="26" t="s">
        <v>130</v>
      </c>
      <c r="I22" s="28" t="str">
        <f t="shared" si="3"/>
        <v> </v>
      </c>
      <c r="J22" s="26" t="s">
        <v>108</v>
      </c>
    </row>
    <row r="23">
      <c r="A23" s="26" t="s">
        <v>131</v>
      </c>
      <c r="B23" s="26" t="s">
        <v>104</v>
      </c>
      <c r="C23" s="26" t="s">
        <v>105</v>
      </c>
      <c r="D23" s="26">
        <v>0.0</v>
      </c>
      <c r="E23" s="26">
        <v>0.0</v>
      </c>
      <c r="F23" s="26">
        <v>50500.0</v>
      </c>
      <c r="G23" s="26" t="s">
        <v>126</v>
      </c>
      <c r="H23" s="26" t="s">
        <v>127</v>
      </c>
      <c r="I23" s="28" t="str">
        <f t="shared" si="3"/>
        <v> </v>
      </c>
      <c r="J23" s="26" t="s">
        <v>108</v>
      </c>
    </row>
    <row r="24">
      <c r="A24" s="26" t="s">
        <v>132</v>
      </c>
      <c r="B24" s="26" t="s">
        <v>104</v>
      </c>
      <c r="C24" s="26" t="s">
        <v>105</v>
      </c>
      <c r="D24" s="26">
        <v>0.0</v>
      </c>
      <c r="E24" s="26">
        <v>0.0</v>
      </c>
      <c r="F24" s="26">
        <v>48700.0</v>
      </c>
      <c r="G24" s="26" t="s">
        <v>126</v>
      </c>
      <c r="H24" s="26" t="s">
        <v>127</v>
      </c>
      <c r="I24" s="28" t="str">
        <f t="shared" si="3"/>
        <v> </v>
      </c>
      <c r="J24" s="26" t="s">
        <v>108</v>
      </c>
    </row>
    <row r="25">
      <c r="A25" s="26" t="s">
        <v>133</v>
      </c>
      <c r="B25" s="26" t="s">
        <v>134</v>
      </c>
      <c r="C25" s="26" t="s">
        <v>105</v>
      </c>
      <c r="D25" s="26">
        <v>7.2</v>
      </c>
      <c r="E25" s="26">
        <v>5.0</v>
      </c>
      <c r="F25" s="26">
        <v>715000.0</v>
      </c>
      <c r="G25" s="26" t="s">
        <v>106</v>
      </c>
      <c r="H25" s="26" t="s">
        <v>135</v>
      </c>
      <c r="I25" s="28" t="str">
        <f t="shared" si="3"/>
        <v>fill here</v>
      </c>
      <c r="J25" s="26" t="s">
        <v>136</v>
      </c>
    </row>
    <row r="26">
      <c r="A26" s="26" t="s">
        <v>137</v>
      </c>
      <c r="B26" s="26" t="s">
        <v>134</v>
      </c>
      <c r="C26" s="26" t="s">
        <v>105</v>
      </c>
      <c r="D26" s="26">
        <v>1.7</v>
      </c>
      <c r="E26" s="26">
        <v>2.0</v>
      </c>
      <c r="F26" s="26">
        <v>945000.0</v>
      </c>
      <c r="G26" s="26" t="s">
        <v>106</v>
      </c>
      <c r="H26" s="26" t="s">
        <v>135</v>
      </c>
      <c r="I26" s="28" t="str">
        <f t="shared" si="3"/>
        <v>fill here</v>
      </c>
      <c r="J26" s="26" t="s">
        <v>136</v>
      </c>
    </row>
    <row r="27">
      <c r="A27" s="26" t="s">
        <v>138</v>
      </c>
      <c r="B27" s="26" t="s">
        <v>134</v>
      </c>
      <c r="C27" s="26" t="s">
        <v>105</v>
      </c>
      <c r="D27" s="26">
        <v>5.8</v>
      </c>
      <c r="E27" s="26">
        <v>5.0</v>
      </c>
      <c r="F27" s="26">
        <v>925000.0</v>
      </c>
      <c r="G27" s="26" t="s">
        <v>106</v>
      </c>
      <c r="H27" s="26" t="s">
        <v>135</v>
      </c>
      <c r="I27" s="28" t="str">
        <f t="shared" si="3"/>
        <v>fill here</v>
      </c>
      <c r="J27" s="26" t="s">
        <v>136</v>
      </c>
    </row>
    <row r="28">
      <c r="A28" s="26" t="s">
        <v>139</v>
      </c>
      <c r="B28" s="26" t="s">
        <v>134</v>
      </c>
      <c r="C28" s="26" t="s">
        <v>105</v>
      </c>
      <c r="D28" s="26">
        <v>8.0</v>
      </c>
      <c r="E28" s="26">
        <v>5.0</v>
      </c>
      <c r="F28" s="26">
        <v>924000.0</v>
      </c>
      <c r="G28" s="26" t="s">
        <v>106</v>
      </c>
      <c r="H28" s="26" t="s">
        <v>135</v>
      </c>
      <c r="I28" s="28" t="str">
        <f t="shared" si="3"/>
        <v>fill here</v>
      </c>
      <c r="J28" s="26" t="s">
        <v>136</v>
      </c>
    </row>
    <row r="29">
      <c r="A29" s="26" t="s">
        <v>140</v>
      </c>
      <c r="B29" s="26" t="s">
        <v>134</v>
      </c>
      <c r="C29" s="26" t="s">
        <v>105</v>
      </c>
      <c r="D29" s="26">
        <v>2.4</v>
      </c>
      <c r="E29" s="26">
        <v>2.0</v>
      </c>
      <c r="F29" s="26">
        <v>955000.0</v>
      </c>
      <c r="G29" s="26" t="s">
        <v>106</v>
      </c>
      <c r="H29" s="26" t="s">
        <v>135</v>
      </c>
      <c r="I29" s="28" t="str">
        <f t="shared" si="3"/>
        <v>fill here</v>
      </c>
      <c r="J29" s="26" t="s">
        <v>136</v>
      </c>
    </row>
    <row r="30">
      <c r="A30" s="26" t="s">
        <v>141</v>
      </c>
      <c r="B30" s="26" t="s">
        <v>134</v>
      </c>
      <c r="C30" s="26" t="s">
        <v>105</v>
      </c>
      <c r="D30" s="26">
        <v>0.2</v>
      </c>
      <c r="E30" s="26">
        <v>2.0</v>
      </c>
      <c r="F30" s="26">
        <v>1050000.0</v>
      </c>
      <c r="G30" s="26" t="s">
        <v>106</v>
      </c>
      <c r="H30" s="26" t="s">
        <v>110</v>
      </c>
      <c r="I30" s="28" t="str">
        <f t="shared" si="3"/>
        <v>fill here</v>
      </c>
      <c r="J30" s="26" t="s">
        <v>136</v>
      </c>
    </row>
    <row r="31">
      <c r="A31" s="26" t="s">
        <v>142</v>
      </c>
      <c r="B31" s="26" t="s">
        <v>134</v>
      </c>
      <c r="C31" s="26" t="s">
        <v>105</v>
      </c>
      <c r="D31" s="26">
        <v>0.0</v>
      </c>
      <c r="E31" s="26">
        <v>0.0</v>
      </c>
      <c r="F31" s="26">
        <v>1000000.0</v>
      </c>
      <c r="G31" s="26" t="s">
        <v>126</v>
      </c>
      <c r="H31" s="26" t="s">
        <v>135</v>
      </c>
      <c r="I31" s="28" t="str">
        <f t="shared" si="3"/>
        <v> </v>
      </c>
      <c r="J31" s="26" t="s">
        <v>136</v>
      </c>
    </row>
    <row r="32">
      <c r="A32" s="26" t="s">
        <v>143</v>
      </c>
      <c r="B32" s="26" t="s">
        <v>134</v>
      </c>
      <c r="C32" s="26" t="s">
        <v>105</v>
      </c>
      <c r="D32" s="26">
        <v>0.4</v>
      </c>
      <c r="E32" s="26">
        <v>2.0</v>
      </c>
      <c r="F32" s="26">
        <v>735000.0</v>
      </c>
      <c r="G32" s="26" t="s">
        <v>106</v>
      </c>
      <c r="H32" s="26" t="s">
        <v>135</v>
      </c>
      <c r="I32" s="28" t="str">
        <f t="shared" si="3"/>
        <v>fill here</v>
      </c>
      <c r="J32" s="26" t="s">
        <v>136</v>
      </c>
    </row>
    <row r="33">
      <c r="A33" s="26" t="s">
        <v>144</v>
      </c>
      <c r="B33" s="26" t="s">
        <v>134</v>
      </c>
      <c r="C33" s="26" t="s">
        <v>105</v>
      </c>
      <c r="D33" s="26">
        <v>3.2</v>
      </c>
      <c r="E33" s="26">
        <v>1.0</v>
      </c>
      <c r="F33" s="26">
        <v>595000.0</v>
      </c>
      <c r="G33" s="26" t="s">
        <v>106</v>
      </c>
      <c r="H33" s="26" t="s">
        <v>135</v>
      </c>
      <c r="I33" s="28" t="str">
        <f t="shared" si="3"/>
        <v>fill here</v>
      </c>
      <c r="J33" s="26" t="s">
        <v>136</v>
      </c>
    </row>
    <row r="34">
      <c r="A34" s="26" t="s">
        <v>145</v>
      </c>
      <c r="B34" s="26" t="s">
        <v>134</v>
      </c>
      <c r="C34" s="26" t="s">
        <v>105</v>
      </c>
      <c r="D34" s="26">
        <v>5.0</v>
      </c>
      <c r="E34" s="26">
        <v>2.0</v>
      </c>
      <c r="F34" s="26">
        <v>775000.0</v>
      </c>
      <c r="G34" s="26" t="s">
        <v>106</v>
      </c>
      <c r="H34" s="26" t="s">
        <v>127</v>
      </c>
      <c r="I34" s="27">
        <v>47788.0</v>
      </c>
      <c r="J34" s="26" t="s">
        <v>136</v>
      </c>
    </row>
    <row r="35">
      <c r="A35" s="26" t="s">
        <v>146</v>
      </c>
      <c r="B35" s="26" t="s">
        <v>134</v>
      </c>
      <c r="C35" s="26" t="s">
        <v>105</v>
      </c>
      <c r="D35" s="26">
        <v>5.2</v>
      </c>
      <c r="E35" s="26">
        <v>2.0</v>
      </c>
      <c r="F35" s="26">
        <v>725000.0</v>
      </c>
      <c r="G35" s="26" t="s">
        <v>106</v>
      </c>
      <c r="H35" s="26" t="s">
        <v>135</v>
      </c>
      <c r="I35" s="28" t="str">
        <f t="shared" ref="I35:I48" si="4">if(D35=0," ", "fill here")</f>
        <v>fill here</v>
      </c>
      <c r="J35" s="26" t="s">
        <v>136</v>
      </c>
    </row>
    <row r="36">
      <c r="A36" s="26" t="s">
        <v>147</v>
      </c>
      <c r="B36" s="26" t="s">
        <v>134</v>
      </c>
      <c r="C36" s="26" t="s">
        <v>105</v>
      </c>
      <c r="D36" s="26">
        <v>4.4</v>
      </c>
      <c r="E36" s="26">
        <v>0.0</v>
      </c>
      <c r="F36" s="26">
        <v>1224000.0</v>
      </c>
      <c r="G36" s="26" t="s">
        <v>126</v>
      </c>
      <c r="H36" s="26" t="s">
        <v>148</v>
      </c>
      <c r="I36" s="28" t="str">
        <f t="shared" si="4"/>
        <v>fill here</v>
      </c>
      <c r="J36" s="26" t="s">
        <v>136</v>
      </c>
    </row>
    <row r="37">
      <c r="A37" s="26" t="s">
        <v>149</v>
      </c>
      <c r="B37" s="26" t="s">
        <v>134</v>
      </c>
      <c r="C37" s="26" t="s">
        <v>105</v>
      </c>
      <c r="D37" s="26">
        <v>5.0</v>
      </c>
      <c r="E37" s="26">
        <v>0.0</v>
      </c>
      <c r="F37" s="26">
        <v>0.0</v>
      </c>
      <c r="G37" s="26" t="s">
        <v>106</v>
      </c>
      <c r="H37" s="26" t="s">
        <v>135</v>
      </c>
      <c r="I37" s="28" t="str">
        <f t="shared" si="4"/>
        <v>fill here</v>
      </c>
      <c r="J37" s="26" t="s">
        <v>136</v>
      </c>
    </row>
    <row r="38">
      <c r="A38" s="26" t="s">
        <v>150</v>
      </c>
      <c r="B38" s="26" t="s">
        <v>134</v>
      </c>
      <c r="C38" s="26" t="s">
        <v>105</v>
      </c>
      <c r="D38" s="26">
        <v>5.0</v>
      </c>
      <c r="E38" s="26">
        <v>0.0</v>
      </c>
      <c r="F38" s="26">
        <v>0.0</v>
      </c>
      <c r="G38" s="26" t="s">
        <v>106</v>
      </c>
      <c r="H38" s="26" t="s">
        <v>135</v>
      </c>
      <c r="I38" s="28" t="str">
        <f t="shared" si="4"/>
        <v>fill here</v>
      </c>
      <c r="J38" s="26" t="s">
        <v>136</v>
      </c>
    </row>
    <row r="39">
      <c r="A39" s="26" t="s">
        <v>151</v>
      </c>
      <c r="B39" s="26" t="s">
        <v>134</v>
      </c>
      <c r="C39" s="26" t="s">
        <v>105</v>
      </c>
      <c r="D39" s="26">
        <v>0.0</v>
      </c>
      <c r="E39" s="26">
        <v>0.0</v>
      </c>
      <c r="F39" s="26">
        <v>780000.0</v>
      </c>
      <c r="G39" s="26" t="s">
        <v>126</v>
      </c>
      <c r="H39" s="26" t="s">
        <v>127</v>
      </c>
      <c r="I39" s="28" t="str">
        <f t="shared" si="4"/>
        <v> </v>
      </c>
      <c r="J39" s="26" t="s">
        <v>136</v>
      </c>
    </row>
    <row r="40">
      <c r="A40" s="26" t="s">
        <v>152</v>
      </c>
      <c r="B40" s="26" t="s">
        <v>134</v>
      </c>
      <c r="C40" s="26" t="s">
        <v>105</v>
      </c>
      <c r="D40" s="26">
        <v>0.0</v>
      </c>
      <c r="E40" s="26">
        <v>0.0</v>
      </c>
      <c r="F40" s="26">
        <v>725000.0</v>
      </c>
      <c r="G40" s="26" t="s">
        <v>106</v>
      </c>
      <c r="H40" s="26" t="s">
        <v>153</v>
      </c>
      <c r="I40" s="28" t="str">
        <f t="shared" si="4"/>
        <v> </v>
      </c>
      <c r="J40" s="26" t="s">
        <v>136</v>
      </c>
    </row>
    <row r="41">
      <c r="A41" s="26" t="s">
        <v>154</v>
      </c>
      <c r="B41" s="26" t="s">
        <v>134</v>
      </c>
      <c r="C41" s="26" t="s">
        <v>105</v>
      </c>
      <c r="D41" s="26">
        <v>0.0</v>
      </c>
      <c r="E41" s="26">
        <v>0.0</v>
      </c>
      <c r="F41" s="26">
        <v>725000.0</v>
      </c>
      <c r="G41" s="26" t="s">
        <v>126</v>
      </c>
      <c r="H41" s="26" t="s">
        <v>135</v>
      </c>
      <c r="I41" s="28" t="str">
        <f t="shared" si="4"/>
        <v> </v>
      </c>
      <c r="J41" s="26" t="s">
        <v>136</v>
      </c>
    </row>
    <row r="42">
      <c r="A42" s="26" t="s">
        <v>155</v>
      </c>
      <c r="B42" s="26" t="s">
        <v>156</v>
      </c>
      <c r="C42" s="26" t="s">
        <v>105</v>
      </c>
      <c r="D42" s="26">
        <v>1.6</v>
      </c>
      <c r="E42" s="26">
        <v>0.5</v>
      </c>
      <c r="F42" s="26">
        <v>375000.0</v>
      </c>
      <c r="G42" s="26" t="s">
        <v>126</v>
      </c>
      <c r="H42" s="26" t="s">
        <v>107</v>
      </c>
      <c r="I42" s="28" t="str">
        <f t="shared" si="4"/>
        <v>fill here</v>
      </c>
      <c r="J42" s="26" t="s">
        <v>136</v>
      </c>
    </row>
    <row r="43">
      <c r="A43" s="26" t="s">
        <v>157</v>
      </c>
      <c r="B43" s="26" t="s">
        <v>156</v>
      </c>
      <c r="C43" s="26" t="s">
        <v>158</v>
      </c>
      <c r="D43" s="26">
        <v>0.5</v>
      </c>
      <c r="E43" s="26">
        <v>0.0</v>
      </c>
      <c r="F43" s="26">
        <v>1100000.0</v>
      </c>
      <c r="G43" s="26" t="s">
        <v>106</v>
      </c>
      <c r="H43" s="26" t="s">
        <v>135</v>
      </c>
      <c r="I43" s="28" t="str">
        <f t="shared" si="4"/>
        <v>fill here</v>
      </c>
      <c r="J43" s="26" t="s">
        <v>136</v>
      </c>
    </row>
    <row r="44">
      <c r="A44" s="26" t="s">
        <v>159</v>
      </c>
      <c r="B44" s="26" t="s">
        <v>156</v>
      </c>
      <c r="C44" s="26" t="s">
        <v>105</v>
      </c>
      <c r="D44" s="26">
        <v>43.8</v>
      </c>
      <c r="E44" s="26">
        <v>1.0</v>
      </c>
      <c r="F44" s="26">
        <v>408000.0</v>
      </c>
      <c r="G44" s="26" t="s">
        <v>160</v>
      </c>
      <c r="H44" s="26" t="s">
        <v>161</v>
      </c>
      <c r="I44" s="28" t="str">
        <f t="shared" si="4"/>
        <v>fill here</v>
      </c>
      <c r="J44" s="26" t="s">
        <v>136</v>
      </c>
    </row>
    <row r="45">
      <c r="A45" s="26" t="s">
        <v>162</v>
      </c>
      <c r="B45" s="26" t="s">
        <v>156</v>
      </c>
      <c r="C45" s="26" t="s">
        <v>105</v>
      </c>
      <c r="D45" s="26">
        <v>0.0</v>
      </c>
      <c r="E45" s="26">
        <v>0.0</v>
      </c>
      <c r="F45" s="26">
        <v>40000.0</v>
      </c>
      <c r="G45" s="26" t="s">
        <v>163</v>
      </c>
      <c r="H45" s="26" t="s">
        <v>164</v>
      </c>
      <c r="I45" s="28" t="str">
        <f t="shared" si="4"/>
        <v> </v>
      </c>
      <c r="J45" s="26" t="s">
        <v>136</v>
      </c>
    </row>
    <row r="46">
      <c r="A46" s="26" t="s">
        <v>165</v>
      </c>
      <c r="B46" s="26" t="s">
        <v>156</v>
      </c>
      <c r="C46" s="26" t="s">
        <v>158</v>
      </c>
      <c r="D46" s="26">
        <v>0.0</v>
      </c>
      <c r="E46" s="26">
        <v>0.0</v>
      </c>
      <c r="F46" s="26">
        <v>35000.0</v>
      </c>
      <c r="G46" s="26" t="s">
        <v>166</v>
      </c>
      <c r="H46" s="26" t="s">
        <v>164</v>
      </c>
      <c r="I46" s="28" t="str">
        <f t="shared" si="4"/>
        <v> </v>
      </c>
      <c r="J46" s="26" t="s">
        <v>136</v>
      </c>
    </row>
    <row r="47">
      <c r="A47" s="26" t="s">
        <v>167</v>
      </c>
      <c r="B47" s="26" t="s">
        <v>156</v>
      </c>
      <c r="C47" s="26" t="s">
        <v>105</v>
      </c>
      <c r="D47" s="26">
        <v>0.0</v>
      </c>
      <c r="E47" s="26">
        <v>0.0</v>
      </c>
      <c r="F47" s="26">
        <v>21000.0</v>
      </c>
      <c r="G47" s="26" t="s">
        <v>168</v>
      </c>
      <c r="H47" s="26" t="s">
        <v>169</v>
      </c>
      <c r="I47" s="28" t="str">
        <f t="shared" si="4"/>
        <v> </v>
      </c>
      <c r="J47" s="26" t="s">
        <v>136</v>
      </c>
    </row>
    <row r="48">
      <c r="A48" s="26" t="s">
        <v>170</v>
      </c>
      <c r="B48" s="26" t="s">
        <v>156</v>
      </c>
      <c r="C48" s="26" t="s">
        <v>105</v>
      </c>
      <c r="D48" s="26">
        <v>0.0</v>
      </c>
      <c r="E48" s="26">
        <v>0.0</v>
      </c>
      <c r="F48" s="26">
        <v>31000.0</v>
      </c>
      <c r="G48" s="26" t="s">
        <v>171</v>
      </c>
      <c r="H48" s="26" t="s">
        <v>164</v>
      </c>
      <c r="I48" s="28" t="str">
        <f t="shared" si="4"/>
        <v> </v>
      </c>
      <c r="J48" s="26" t="s">
        <v>136</v>
      </c>
    </row>
    <row r="49">
      <c r="A49" s="26" t="s">
        <v>172</v>
      </c>
      <c r="B49" s="26" t="s">
        <v>156</v>
      </c>
      <c r="C49" s="26" t="s">
        <v>105</v>
      </c>
      <c r="D49" s="26">
        <v>30.0</v>
      </c>
      <c r="E49" s="26">
        <v>0.0</v>
      </c>
      <c r="F49" s="26">
        <v>25000.0</v>
      </c>
      <c r="G49" s="26" t="s">
        <v>173</v>
      </c>
      <c r="H49" s="26" t="s">
        <v>174</v>
      </c>
      <c r="I49" s="27">
        <v>46572.0</v>
      </c>
      <c r="J49" s="26" t="s">
        <v>108</v>
      </c>
    </row>
    <row r="50">
      <c r="A50" s="26" t="s">
        <v>175</v>
      </c>
      <c r="B50" s="26" t="s">
        <v>156</v>
      </c>
      <c r="C50" s="26" t="s">
        <v>105</v>
      </c>
      <c r="D50" s="26">
        <v>10.0</v>
      </c>
      <c r="E50" s="26">
        <v>0.0</v>
      </c>
      <c r="F50" s="26">
        <v>23000.0</v>
      </c>
      <c r="G50" s="26" t="s">
        <v>176</v>
      </c>
      <c r="H50" s="26" t="s">
        <v>174</v>
      </c>
      <c r="I50" s="28" t="str">
        <f t="shared" ref="I50:I56" si="5">if(D50=0," ", "fill here")</f>
        <v>fill here</v>
      </c>
      <c r="J50" s="26" t="s">
        <v>108</v>
      </c>
    </row>
    <row r="51">
      <c r="A51" s="26" t="s">
        <v>177</v>
      </c>
      <c r="B51" s="26" t="s">
        <v>156</v>
      </c>
      <c r="C51" s="26" t="s">
        <v>105</v>
      </c>
      <c r="D51" s="26">
        <v>5.0</v>
      </c>
      <c r="E51" s="26">
        <v>0.0</v>
      </c>
      <c r="G51" s="26" t="s">
        <v>126</v>
      </c>
      <c r="H51" s="26" t="s">
        <v>169</v>
      </c>
      <c r="I51" s="28" t="str">
        <f t="shared" si="5"/>
        <v>fill here</v>
      </c>
      <c r="J51" s="26" t="s">
        <v>108</v>
      </c>
    </row>
    <row r="52">
      <c r="A52" s="26" t="s">
        <v>178</v>
      </c>
      <c r="B52" s="26" t="s">
        <v>179</v>
      </c>
      <c r="C52" s="26" t="s">
        <v>105</v>
      </c>
      <c r="D52" s="26">
        <v>3.0</v>
      </c>
      <c r="E52" s="26">
        <v>0.0</v>
      </c>
      <c r="F52" s="26">
        <v>390000.0</v>
      </c>
      <c r="G52" s="26" t="s">
        <v>126</v>
      </c>
      <c r="H52" s="26" t="s">
        <v>135</v>
      </c>
      <c r="I52" s="28" t="str">
        <f t="shared" si="5"/>
        <v>fill here</v>
      </c>
      <c r="J52" s="26" t="s">
        <v>180</v>
      </c>
    </row>
    <row r="53">
      <c r="A53" s="26" t="s">
        <v>181</v>
      </c>
      <c r="B53" s="26" t="s">
        <v>179</v>
      </c>
      <c r="C53" s="26" t="s">
        <v>158</v>
      </c>
      <c r="D53" s="26">
        <v>85.0</v>
      </c>
      <c r="E53" s="26">
        <v>0.0</v>
      </c>
      <c r="F53" s="26">
        <v>40000.0</v>
      </c>
      <c r="G53" s="26" t="s">
        <v>182</v>
      </c>
      <c r="H53" s="26" t="s">
        <v>164</v>
      </c>
      <c r="I53" s="28" t="str">
        <f t="shared" si="5"/>
        <v>fill here</v>
      </c>
      <c r="J53" s="26" t="s">
        <v>180</v>
      </c>
    </row>
    <row r="54">
      <c r="A54" s="26" t="s">
        <v>183</v>
      </c>
      <c r="B54" s="26" t="s">
        <v>179</v>
      </c>
      <c r="C54" s="26" t="s">
        <v>158</v>
      </c>
      <c r="D54" s="26">
        <v>65.0</v>
      </c>
      <c r="E54" s="26">
        <v>0.0</v>
      </c>
      <c r="F54" s="26">
        <v>82000.0</v>
      </c>
      <c r="G54" s="26" t="s">
        <v>182</v>
      </c>
      <c r="H54" s="26" t="s">
        <v>164</v>
      </c>
      <c r="I54" s="28" t="str">
        <f t="shared" si="5"/>
        <v>fill here</v>
      </c>
      <c r="J54" s="26" t="s">
        <v>180</v>
      </c>
    </row>
    <row r="55">
      <c r="A55" s="26" t="s">
        <v>184</v>
      </c>
      <c r="B55" s="26" t="s">
        <v>185</v>
      </c>
      <c r="C55" s="26" t="s">
        <v>105</v>
      </c>
      <c r="D55" s="26">
        <v>20.0</v>
      </c>
      <c r="E55" s="26">
        <v>0.0</v>
      </c>
      <c r="F55" s="26">
        <v>27000.0</v>
      </c>
      <c r="G55" s="26" t="s">
        <v>126</v>
      </c>
      <c r="H55" s="26" t="s">
        <v>169</v>
      </c>
      <c r="I55" s="28" t="str">
        <f t="shared" si="5"/>
        <v>fill here</v>
      </c>
      <c r="J55" s="26" t="s">
        <v>108</v>
      </c>
    </row>
    <row r="56">
      <c r="A56" s="26" t="s">
        <v>186</v>
      </c>
      <c r="B56" s="26" t="s">
        <v>185</v>
      </c>
      <c r="C56" s="26" t="s">
        <v>105</v>
      </c>
      <c r="D56" s="26">
        <v>18.0</v>
      </c>
      <c r="E56" s="26">
        <v>0.0</v>
      </c>
      <c r="F56" s="26">
        <v>27000.0</v>
      </c>
      <c r="G56" s="26" t="s">
        <v>126</v>
      </c>
      <c r="H56" s="26" t="s">
        <v>169</v>
      </c>
      <c r="I56" s="28" t="str">
        <f t="shared" si="5"/>
        <v>fill here</v>
      </c>
      <c r="J56" s="26" t="s">
        <v>108</v>
      </c>
    </row>
    <row r="57">
      <c r="A57" s="26" t="s">
        <v>187</v>
      </c>
      <c r="B57" s="26" t="s">
        <v>188</v>
      </c>
      <c r="C57" s="26" t="s">
        <v>189</v>
      </c>
      <c r="D57" s="28">
        <f>15*300</f>
        <v>4500</v>
      </c>
      <c r="E57" s="26">
        <v>10000.0</v>
      </c>
      <c r="F57" s="26">
        <v>1950.0</v>
      </c>
      <c r="G57" s="26" t="s">
        <v>190</v>
      </c>
      <c r="H57" s="26" t="s">
        <v>174</v>
      </c>
      <c r="J57" s="26" t="s">
        <v>180</v>
      </c>
    </row>
    <row r="58">
      <c r="A58" s="26" t="s">
        <v>191</v>
      </c>
      <c r="B58" s="26" t="s">
        <v>188</v>
      </c>
      <c r="C58" s="26" t="s">
        <v>189</v>
      </c>
      <c r="D58" s="26">
        <v>699.0</v>
      </c>
      <c r="E58" s="26">
        <v>0.0</v>
      </c>
      <c r="F58" s="26">
        <v>900000.0</v>
      </c>
      <c r="G58" s="26" t="s">
        <v>192</v>
      </c>
      <c r="H58" s="26" t="s">
        <v>193</v>
      </c>
      <c r="J58" s="26" t="s">
        <v>180</v>
      </c>
    </row>
    <row r="59">
      <c r="A59" s="26" t="s">
        <v>194</v>
      </c>
      <c r="B59" s="26" t="s">
        <v>188</v>
      </c>
      <c r="C59" s="26" t="s">
        <v>189</v>
      </c>
      <c r="D59" s="26">
        <f>2500+300</f>
        <v>2800</v>
      </c>
      <c r="E59" s="26">
        <v>500.0</v>
      </c>
      <c r="F59" s="26">
        <v>2420.0</v>
      </c>
      <c r="G59" s="26" t="s">
        <v>195</v>
      </c>
      <c r="H59" s="26" t="s">
        <v>164</v>
      </c>
      <c r="J59" s="26" t="s">
        <v>180</v>
      </c>
    </row>
    <row r="60">
      <c r="A60" s="26" t="s">
        <v>196</v>
      </c>
      <c r="B60" s="26" t="s">
        <v>188</v>
      </c>
      <c r="C60" s="26" t="s">
        <v>189</v>
      </c>
      <c r="D60" s="28">
        <f>9*7*20+(3*20)+12</f>
        <v>1332</v>
      </c>
      <c r="E60" s="26">
        <v>100.0</v>
      </c>
      <c r="F60" s="26">
        <v>11715.0</v>
      </c>
      <c r="G60" s="26" t="s">
        <v>197</v>
      </c>
      <c r="H60" s="26" t="s">
        <v>164</v>
      </c>
      <c r="J60" s="26" t="s">
        <v>180</v>
      </c>
    </row>
    <row r="61">
      <c r="A61" s="15" t="s">
        <v>52</v>
      </c>
      <c r="B61" s="26" t="s">
        <v>188</v>
      </c>
      <c r="C61" s="26" t="s">
        <v>189</v>
      </c>
      <c r="D61" s="26">
        <v>500.0</v>
      </c>
      <c r="E61" s="26">
        <v>5000.0</v>
      </c>
      <c r="F61" s="26">
        <v>1390.0</v>
      </c>
      <c r="G61" s="26" t="s">
        <v>198</v>
      </c>
      <c r="H61" s="26" t="s">
        <v>164</v>
      </c>
      <c r="J61" s="26" t="s">
        <v>180</v>
      </c>
    </row>
    <row r="62">
      <c r="A62" s="15" t="s">
        <v>55</v>
      </c>
      <c r="B62" s="26" t="s">
        <v>188</v>
      </c>
      <c r="C62" s="26" t="s">
        <v>189</v>
      </c>
      <c r="D62" s="26">
        <v>2000.0</v>
      </c>
      <c r="E62" s="26">
        <v>0.0</v>
      </c>
      <c r="F62" s="26">
        <v>2915.0</v>
      </c>
      <c r="G62" s="26" t="s">
        <v>198</v>
      </c>
      <c r="H62" s="26" t="s">
        <v>164</v>
      </c>
      <c r="J62" s="26" t="s">
        <v>180</v>
      </c>
    </row>
    <row r="63">
      <c r="A63" s="15" t="s">
        <v>58</v>
      </c>
      <c r="B63" s="26" t="s">
        <v>188</v>
      </c>
      <c r="C63" s="26" t="s">
        <v>189</v>
      </c>
      <c r="D63" s="26">
        <v>2200.0</v>
      </c>
      <c r="E63" s="26">
        <v>2000.0</v>
      </c>
      <c r="F63" s="26">
        <v>2915.0</v>
      </c>
      <c r="G63" s="26" t="s">
        <v>198</v>
      </c>
      <c r="H63" s="26" t="s">
        <v>164</v>
      </c>
      <c r="J63" s="26" t="s">
        <v>180</v>
      </c>
    </row>
    <row r="64">
      <c r="A64" s="15" t="s">
        <v>199</v>
      </c>
      <c r="B64" s="26" t="s">
        <v>188</v>
      </c>
      <c r="C64" s="26" t="s">
        <v>189</v>
      </c>
      <c r="D64" s="26">
        <v>1000.0</v>
      </c>
      <c r="E64" s="26">
        <v>2000.0</v>
      </c>
      <c r="F64" s="26">
        <v>2915.0</v>
      </c>
      <c r="G64" s="26" t="s">
        <v>198</v>
      </c>
      <c r="H64" s="26" t="s">
        <v>164</v>
      </c>
      <c r="J64" s="26" t="s">
        <v>180</v>
      </c>
    </row>
    <row r="65">
      <c r="A65" s="15" t="s">
        <v>200</v>
      </c>
      <c r="B65" s="26" t="s">
        <v>188</v>
      </c>
      <c r="C65" s="26" t="s">
        <v>189</v>
      </c>
      <c r="D65" s="26">
        <v>6000.0</v>
      </c>
      <c r="E65" s="26">
        <v>2000.0</v>
      </c>
      <c r="F65" s="26">
        <v>2915.0</v>
      </c>
      <c r="G65" s="26" t="s">
        <v>198</v>
      </c>
      <c r="H65" s="26" t="s">
        <v>164</v>
      </c>
      <c r="J65" s="26" t="s">
        <v>180</v>
      </c>
    </row>
    <row r="66">
      <c r="A66" s="15" t="s">
        <v>201</v>
      </c>
      <c r="B66" s="26" t="s">
        <v>188</v>
      </c>
      <c r="C66" s="26" t="s">
        <v>189</v>
      </c>
      <c r="D66" s="26">
        <v>0.0</v>
      </c>
      <c r="E66" s="26">
        <v>0.0</v>
      </c>
      <c r="F66" s="26">
        <v>2915.0</v>
      </c>
      <c r="G66" s="26" t="s">
        <v>198</v>
      </c>
      <c r="H66" s="26" t="s">
        <v>164</v>
      </c>
      <c r="J66" s="26" t="s">
        <v>180</v>
      </c>
    </row>
    <row r="67">
      <c r="A67" s="15" t="s">
        <v>202</v>
      </c>
      <c r="B67" s="26" t="s">
        <v>188</v>
      </c>
      <c r="C67" s="26" t="s">
        <v>189</v>
      </c>
      <c r="D67" s="26">
        <v>0.0</v>
      </c>
      <c r="E67" s="26">
        <v>0.0</v>
      </c>
      <c r="F67" s="26">
        <v>2915.0</v>
      </c>
      <c r="G67" s="26" t="s">
        <v>198</v>
      </c>
      <c r="H67" s="26" t="s">
        <v>164</v>
      </c>
      <c r="J67" s="26" t="s">
        <v>180</v>
      </c>
    </row>
    <row r="68">
      <c r="A68" s="15" t="s">
        <v>203</v>
      </c>
      <c r="B68" s="26" t="s">
        <v>188</v>
      </c>
      <c r="C68" s="26" t="s">
        <v>189</v>
      </c>
      <c r="D68" s="26">
        <v>4500.0</v>
      </c>
      <c r="E68" s="26">
        <v>2000.0</v>
      </c>
      <c r="F68" s="26">
        <v>2915.0</v>
      </c>
      <c r="G68" s="26" t="s">
        <v>198</v>
      </c>
      <c r="H68" s="26" t="s">
        <v>164</v>
      </c>
      <c r="J68" s="26" t="s">
        <v>180</v>
      </c>
    </row>
    <row r="69">
      <c r="A69" s="15" t="s">
        <v>204</v>
      </c>
      <c r="B69" s="26" t="s">
        <v>188</v>
      </c>
      <c r="C69" s="26" t="s">
        <v>189</v>
      </c>
      <c r="D69" s="26">
        <v>1500.0</v>
      </c>
      <c r="E69" s="26">
        <v>2000.0</v>
      </c>
      <c r="F69" s="26">
        <v>2915.0</v>
      </c>
      <c r="G69" s="26" t="s">
        <v>198</v>
      </c>
      <c r="H69" s="26" t="s">
        <v>164</v>
      </c>
      <c r="J69" s="26" t="s">
        <v>180</v>
      </c>
    </row>
    <row r="70">
      <c r="A70" s="15" t="s">
        <v>205</v>
      </c>
      <c r="B70" s="26" t="s">
        <v>188</v>
      </c>
      <c r="C70" s="26" t="s">
        <v>189</v>
      </c>
      <c r="D70" s="26">
        <v>2000.0</v>
      </c>
      <c r="E70" s="26">
        <v>0.0</v>
      </c>
      <c r="F70" s="26">
        <v>2300.0</v>
      </c>
      <c r="G70" s="26" t="s">
        <v>195</v>
      </c>
      <c r="H70" s="26" t="s">
        <v>164</v>
      </c>
      <c r="J70" s="26" t="s">
        <v>180</v>
      </c>
    </row>
    <row r="71">
      <c r="A71" s="15" t="s">
        <v>206</v>
      </c>
      <c r="B71" s="26" t="s">
        <v>188</v>
      </c>
      <c r="C71" s="26" t="s">
        <v>189</v>
      </c>
      <c r="D71" s="26">
        <v>2000.0</v>
      </c>
      <c r="E71" s="26">
        <v>0.0</v>
      </c>
      <c r="F71" s="26">
        <v>2300.0</v>
      </c>
      <c r="G71" s="26" t="s">
        <v>195</v>
      </c>
      <c r="H71" s="26" t="s">
        <v>164</v>
      </c>
      <c r="J71" s="26" t="s">
        <v>180</v>
      </c>
    </row>
    <row r="72">
      <c r="A72" s="15" t="s">
        <v>207</v>
      </c>
      <c r="B72" s="26" t="s">
        <v>188</v>
      </c>
      <c r="C72" s="26" t="s">
        <v>189</v>
      </c>
      <c r="D72" s="26">
        <v>0.0</v>
      </c>
      <c r="E72" s="26">
        <v>0.0</v>
      </c>
      <c r="F72" s="26">
        <v>2300.0</v>
      </c>
      <c r="G72" s="26" t="s">
        <v>195</v>
      </c>
      <c r="H72" s="26" t="s">
        <v>164</v>
      </c>
      <c r="J72" s="26" t="s">
        <v>180</v>
      </c>
    </row>
    <row r="73">
      <c r="A73" s="15" t="s">
        <v>208</v>
      </c>
      <c r="B73" s="26" t="s">
        <v>188</v>
      </c>
      <c r="C73" s="26" t="s">
        <v>189</v>
      </c>
      <c r="D73" s="26">
        <v>0.0</v>
      </c>
      <c r="E73" s="26">
        <v>0.0</v>
      </c>
      <c r="F73" s="26">
        <v>2300.0</v>
      </c>
      <c r="G73" s="26" t="s">
        <v>195</v>
      </c>
      <c r="H73" s="26" t="s">
        <v>164</v>
      </c>
      <c r="J73" s="26" t="s">
        <v>180</v>
      </c>
    </row>
    <row r="74">
      <c r="A74" s="26" t="s">
        <v>209</v>
      </c>
      <c r="B74" s="26" t="s">
        <v>188</v>
      </c>
      <c r="C74" s="26" t="s">
        <v>189</v>
      </c>
      <c r="D74" s="28">
        <f>23.5*50</f>
        <v>1175</v>
      </c>
      <c r="E74" s="26">
        <v>200.0</v>
      </c>
      <c r="F74" s="26">
        <v>1400.0</v>
      </c>
      <c r="G74" s="26" t="s">
        <v>210</v>
      </c>
      <c r="H74" s="26" t="s">
        <v>164</v>
      </c>
      <c r="J74" s="26" t="s">
        <v>180</v>
      </c>
    </row>
    <row r="75">
      <c r="A75" s="26" t="s">
        <v>211</v>
      </c>
      <c r="B75" s="26" t="s">
        <v>188</v>
      </c>
      <c r="C75" s="26" t="s">
        <v>189</v>
      </c>
      <c r="D75" s="28">
        <f>19.5*50</f>
        <v>975</v>
      </c>
      <c r="E75" s="26">
        <v>200.0</v>
      </c>
      <c r="F75" s="26">
        <v>1400.0</v>
      </c>
      <c r="G75" s="26" t="s">
        <v>210</v>
      </c>
      <c r="H75" s="26" t="s">
        <v>164</v>
      </c>
      <c r="J75" s="26" t="s">
        <v>180</v>
      </c>
    </row>
    <row r="76">
      <c r="A76" s="26" t="s">
        <v>212</v>
      </c>
      <c r="B76" s="26" t="s">
        <v>188</v>
      </c>
      <c r="C76" s="26" t="s">
        <v>189</v>
      </c>
      <c r="D76" s="26">
        <v>7.0</v>
      </c>
      <c r="E76" s="26">
        <v>12.0</v>
      </c>
      <c r="F76" s="26">
        <v>22700.0</v>
      </c>
      <c r="G76" s="26" t="s">
        <v>213</v>
      </c>
      <c r="H76" s="26" t="s">
        <v>164</v>
      </c>
      <c r="J76" s="26" t="s">
        <v>180</v>
      </c>
    </row>
    <row r="77">
      <c r="A77" s="26" t="s">
        <v>214</v>
      </c>
      <c r="B77" s="26" t="s">
        <v>188</v>
      </c>
      <c r="C77" s="26" t="s">
        <v>189</v>
      </c>
      <c r="D77" s="26">
        <v>0.0</v>
      </c>
      <c r="E77" s="26">
        <v>12.0</v>
      </c>
      <c r="F77" s="26">
        <v>50000.0</v>
      </c>
      <c r="G77" s="26" t="s">
        <v>213</v>
      </c>
      <c r="H77" s="26" t="s">
        <v>164</v>
      </c>
      <c r="J77" s="26" t="s">
        <v>180</v>
      </c>
    </row>
    <row r="78">
      <c r="A78" s="26" t="s">
        <v>215</v>
      </c>
      <c r="B78" s="26" t="s">
        <v>188</v>
      </c>
      <c r="C78" s="26" t="s">
        <v>189</v>
      </c>
      <c r="D78" s="26">
        <v>48.0</v>
      </c>
      <c r="E78" s="26">
        <v>0.0</v>
      </c>
      <c r="F78" s="26">
        <v>50000.0</v>
      </c>
      <c r="G78" s="26" t="s">
        <v>213</v>
      </c>
      <c r="H78" s="26" t="s">
        <v>164</v>
      </c>
      <c r="J78" s="26" t="s">
        <v>180</v>
      </c>
    </row>
    <row r="79">
      <c r="A79" s="15" t="s">
        <v>216</v>
      </c>
      <c r="B79" s="26" t="s">
        <v>188</v>
      </c>
      <c r="C79" s="26" t="s">
        <v>189</v>
      </c>
      <c r="D79" s="26">
        <f>576+100*11</f>
        <v>1676</v>
      </c>
      <c r="E79" s="26">
        <v>100.0</v>
      </c>
      <c r="F79" s="26">
        <v>100.0</v>
      </c>
      <c r="G79" s="26" t="s">
        <v>195</v>
      </c>
      <c r="H79" s="26" t="s">
        <v>164</v>
      </c>
      <c r="J79" s="26" t="s">
        <v>180</v>
      </c>
    </row>
    <row r="80">
      <c r="A80" s="15" t="s">
        <v>217</v>
      </c>
      <c r="B80" s="26" t="s">
        <v>188</v>
      </c>
      <c r="C80" s="26" t="s">
        <v>189</v>
      </c>
      <c r="D80" s="26">
        <v>0.0</v>
      </c>
      <c r="E80" s="26">
        <v>0.0</v>
      </c>
      <c r="F80" s="26">
        <v>100.0</v>
      </c>
      <c r="G80" s="26" t="s">
        <v>195</v>
      </c>
      <c r="H80" s="26" t="s">
        <v>164</v>
      </c>
      <c r="J80" s="26" t="s">
        <v>180</v>
      </c>
    </row>
    <row r="81">
      <c r="A81" s="15" t="s">
        <v>218</v>
      </c>
      <c r="B81" s="26" t="s">
        <v>188</v>
      </c>
      <c r="C81" s="26" t="s">
        <v>189</v>
      </c>
      <c r="D81" s="28">
        <f>48*12 -3</f>
        <v>573</v>
      </c>
      <c r="E81" s="26">
        <v>100.0</v>
      </c>
      <c r="F81" s="26">
        <v>100.0</v>
      </c>
      <c r="G81" s="26" t="s">
        <v>195</v>
      </c>
      <c r="H81" s="26" t="s">
        <v>164</v>
      </c>
      <c r="J81" s="26" t="s">
        <v>180</v>
      </c>
    </row>
    <row r="82">
      <c r="A82" s="15" t="s">
        <v>219</v>
      </c>
      <c r="B82" s="26" t="s">
        <v>188</v>
      </c>
      <c r="C82" s="26" t="s">
        <v>189</v>
      </c>
      <c r="D82" s="28">
        <f>14*118</f>
        <v>1652</v>
      </c>
      <c r="E82" s="26">
        <v>100.0</v>
      </c>
      <c r="F82" s="26">
        <v>100.0</v>
      </c>
      <c r="G82" s="26" t="s">
        <v>195</v>
      </c>
      <c r="H82" s="26" t="s">
        <v>164</v>
      </c>
      <c r="J82" s="26" t="s">
        <v>180</v>
      </c>
    </row>
    <row r="83">
      <c r="A83" s="15" t="s">
        <v>220</v>
      </c>
      <c r="B83" s="26" t="s">
        <v>188</v>
      </c>
      <c r="C83" s="26" t="s">
        <v>189</v>
      </c>
      <c r="D83" s="28">
        <f>19*3+100*11</f>
        <v>1157</v>
      </c>
      <c r="E83" s="26">
        <v>100.0</v>
      </c>
      <c r="F83" s="26">
        <v>100.0</v>
      </c>
      <c r="G83" s="26" t="s">
        <v>195</v>
      </c>
      <c r="H83" s="26" t="s">
        <v>164</v>
      </c>
      <c r="J83" s="26" t="s">
        <v>180</v>
      </c>
    </row>
    <row r="84">
      <c r="A84" s="15" t="s">
        <v>221</v>
      </c>
      <c r="B84" s="26" t="s">
        <v>188</v>
      </c>
      <c r="C84" s="26" t="s">
        <v>189</v>
      </c>
      <c r="D84" s="26">
        <v>0.0</v>
      </c>
      <c r="E84" s="26">
        <v>0.0</v>
      </c>
      <c r="F84" s="26">
        <v>100.0</v>
      </c>
      <c r="G84" s="26" t="s">
        <v>195</v>
      </c>
      <c r="H84" s="26" t="s">
        <v>164</v>
      </c>
      <c r="J84" s="26" t="s">
        <v>180</v>
      </c>
    </row>
    <row r="85">
      <c r="A85" s="15" t="s">
        <v>222</v>
      </c>
      <c r="B85" s="26" t="s">
        <v>188</v>
      </c>
      <c r="C85" s="26" t="s">
        <v>189</v>
      </c>
      <c r="D85" s="26">
        <v>528.0</v>
      </c>
      <c r="E85" s="26">
        <v>100.0</v>
      </c>
      <c r="F85" s="26">
        <v>100.0</v>
      </c>
      <c r="G85" s="26" t="s">
        <v>195</v>
      </c>
      <c r="H85" s="26" t="s">
        <v>164</v>
      </c>
      <c r="J85" s="26" t="s">
        <v>180</v>
      </c>
    </row>
    <row r="86">
      <c r="A86" s="15" t="s">
        <v>223</v>
      </c>
      <c r="B86" s="26" t="s">
        <v>188</v>
      </c>
      <c r="C86" s="26" t="s">
        <v>189</v>
      </c>
      <c r="D86" s="26">
        <v>0.0</v>
      </c>
      <c r="E86" s="26">
        <v>0.0</v>
      </c>
      <c r="F86" s="26">
        <v>100.0</v>
      </c>
      <c r="G86" s="26" t="s">
        <v>195</v>
      </c>
      <c r="H86" s="26" t="s">
        <v>164</v>
      </c>
      <c r="J86" s="26" t="s">
        <v>180</v>
      </c>
    </row>
  </sheetData>
  <mergeCells count="1">
    <mergeCell ref="A1:K1"/>
  </mergeCells>
  <dataValidations>
    <dataValidation type="list" allowBlank="1" sqref="B25:B86">
      <formula1>"malt,hops,adjunct,fruit,water_treatment,cleaning,packaging"</formula1>
    </dataValidation>
    <dataValidation type="list" allowBlank="1" sqref="C5:C86">
      <formula1>"kg,g,L,pcs,oz,lb"</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23.75"/>
    <col customWidth="1" min="2" max="2" width="18.75"/>
    <col customWidth="1" min="3" max="3" width="38.75"/>
    <col customWidth="1" min="4" max="4" width="10.63"/>
    <col customWidth="1" min="5" max="5" width="22.75"/>
    <col customWidth="1" min="6" max="6" width="22.63"/>
    <col customWidth="1" min="7" max="7" width="18.0"/>
    <col customWidth="1" min="8" max="8" width="14.0"/>
    <col customWidth="1" min="9" max="9" width="16.13"/>
    <col customWidth="1" min="10" max="10" width="13.25"/>
    <col customWidth="1" min="11" max="11" width="11.88"/>
    <col customWidth="1" min="12" max="12" width="3.63"/>
    <col customWidth="1" min="13" max="13" width="9.38"/>
    <col customWidth="1" min="14" max="14" width="10.88"/>
    <col customWidth="1" min="15" max="15" width="14.5"/>
    <col customWidth="1" min="16" max="27" width="24.0"/>
  </cols>
  <sheetData>
    <row r="1">
      <c r="A1" s="5" t="s">
        <v>224</v>
      </c>
      <c r="J1" s="6"/>
      <c r="K1" s="6"/>
      <c r="L1" s="6"/>
      <c r="M1" s="6"/>
      <c r="N1" s="6"/>
      <c r="O1" s="6"/>
    </row>
    <row r="2">
      <c r="A2" s="7" t="s">
        <v>39</v>
      </c>
      <c r="B2" s="7" t="s">
        <v>225</v>
      </c>
      <c r="C2" s="7" t="s">
        <v>226</v>
      </c>
      <c r="D2" s="7" t="s">
        <v>227</v>
      </c>
      <c r="E2" s="7" t="s">
        <v>228</v>
      </c>
      <c r="F2" s="7" t="s">
        <v>229</v>
      </c>
      <c r="G2" s="7" t="s">
        <v>230</v>
      </c>
    </row>
    <row r="3">
      <c r="G3" s="7" t="s">
        <v>231</v>
      </c>
      <c r="K3" s="7" t="s">
        <v>232</v>
      </c>
      <c r="N3" s="7" t="s">
        <v>233</v>
      </c>
      <c r="O3" s="7" t="s">
        <v>234</v>
      </c>
    </row>
    <row r="4">
      <c r="G4" s="7" t="s">
        <v>235</v>
      </c>
      <c r="H4" s="7" t="s">
        <v>236</v>
      </c>
      <c r="I4" s="7" t="s">
        <v>237</v>
      </c>
      <c r="J4" s="7" t="s">
        <v>238</v>
      </c>
      <c r="K4" s="7" t="s">
        <v>239</v>
      </c>
      <c r="M4" s="7" t="s">
        <v>240</v>
      </c>
    </row>
    <row r="5">
      <c r="A5" s="30" t="s">
        <v>49</v>
      </c>
      <c r="B5" s="31" t="s">
        <v>49</v>
      </c>
      <c r="C5" s="25" t="s">
        <v>241</v>
      </c>
      <c r="D5" s="25" t="s">
        <v>50</v>
      </c>
      <c r="E5" s="25" t="s">
        <v>50</v>
      </c>
      <c r="F5" s="25" t="s">
        <v>102</v>
      </c>
      <c r="G5" s="25" t="s">
        <v>51</v>
      </c>
      <c r="H5" s="25" t="s">
        <v>50</v>
      </c>
      <c r="I5" s="25" t="s">
        <v>50</v>
      </c>
      <c r="K5" s="32">
        <v>0.105</v>
      </c>
      <c r="L5" s="26" t="s">
        <v>242</v>
      </c>
      <c r="M5" s="32">
        <v>0.215</v>
      </c>
    </row>
    <row r="6">
      <c r="A6" s="26" t="s">
        <v>243</v>
      </c>
      <c r="B6" s="26" t="s">
        <v>244</v>
      </c>
      <c r="C6" s="26" t="s">
        <v>245</v>
      </c>
      <c r="D6" s="33" t="s">
        <v>246</v>
      </c>
      <c r="E6" s="26" t="s">
        <v>247</v>
      </c>
      <c r="F6" s="27">
        <v>44717.0</v>
      </c>
      <c r="G6" s="34">
        <v>1.9E7</v>
      </c>
      <c r="H6" s="34">
        <v>1200000.0</v>
      </c>
      <c r="I6" s="34">
        <v>0.0</v>
      </c>
      <c r="J6" s="35">
        <f t="shared" ref="J6:J12" si="1">SUM(G6:I6)</f>
        <v>20200000</v>
      </c>
      <c r="K6" s="34">
        <v>840000.0</v>
      </c>
      <c r="L6" s="34">
        <v>0.0</v>
      </c>
      <c r="M6" s="34">
        <v>1720000.0</v>
      </c>
      <c r="N6" s="35">
        <f t="shared" ref="N6:N12" si="2">G6-K6-L6+H6</f>
        <v>19360000</v>
      </c>
      <c r="O6" s="35">
        <f t="shared" ref="O6:O12" si="3">J6+M6</f>
        <v>21920000</v>
      </c>
    </row>
    <row r="7">
      <c r="A7" s="26" t="s">
        <v>248</v>
      </c>
      <c r="B7" s="26" t="s">
        <v>249</v>
      </c>
      <c r="C7" s="26" t="s">
        <v>250</v>
      </c>
      <c r="D7" s="33" t="s">
        <v>251</v>
      </c>
      <c r="E7" s="26" t="s">
        <v>252</v>
      </c>
      <c r="F7" s="27">
        <v>44990.0</v>
      </c>
      <c r="G7" s="34">
        <v>2.2E7</v>
      </c>
      <c r="H7" s="34">
        <v>0.0</v>
      </c>
      <c r="I7" s="34">
        <v>0.0</v>
      </c>
      <c r="J7" s="35">
        <f t="shared" si="1"/>
        <v>22000000</v>
      </c>
      <c r="K7" s="34">
        <v>2100000.0</v>
      </c>
      <c r="L7" s="34">
        <v>0.0</v>
      </c>
      <c r="M7" s="34">
        <v>4300000.0</v>
      </c>
      <c r="N7" s="35">
        <f t="shared" si="2"/>
        <v>19900000</v>
      </c>
      <c r="O7" s="35">
        <f t="shared" si="3"/>
        <v>26300000</v>
      </c>
    </row>
    <row r="8">
      <c r="A8" s="26" t="s">
        <v>253</v>
      </c>
      <c r="B8" s="26" t="s">
        <v>254</v>
      </c>
      <c r="C8" s="26" t="s">
        <v>255</v>
      </c>
      <c r="D8" s="33" t="s">
        <v>256</v>
      </c>
      <c r="E8" s="26" t="s">
        <v>257</v>
      </c>
      <c r="F8" s="27">
        <v>45286.0</v>
      </c>
      <c r="G8" s="34">
        <v>1.2E7</v>
      </c>
      <c r="H8" s="34">
        <v>0.0</v>
      </c>
      <c r="I8" s="34">
        <v>0.0</v>
      </c>
      <c r="J8" s="35">
        <f t="shared" si="1"/>
        <v>12000000</v>
      </c>
      <c r="K8" s="34">
        <v>0.0</v>
      </c>
      <c r="L8" s="34">
        <v>0.0</v>
      </c>
      <c r="M8" s="34">
        <v>0.0</v>
      </c>
      <c r="N8" s="35">
        <f t="shared" si="2"/>
        <v>12000000</v>
      </c>
      <c r="O8" s="35">
        <f t="shared" si="3"/>
        <v>12000000</v>
      </c>
    </row>
    <row r="9">
      <c r="A9" s="26" t="s">
        <v>258</v>
      </c>
      <c r="B9" s="26" t="s">
        <v>259</v>
      </c>
      <c r="C9" s="26" t="s">
        <v>245</v>
      </c>
      <c r="D9" s="33" t="s">
        <v>260</v>
      </c>
      <c r="E9" s="36"/>
      <c r="F9" s="27">
        <v>43195.0</v>
      </c>
      <c r="G9" s="34">
        <v>1.44E7</v>
      </c>
      <c r="H9" s="34">
        <v>1200000.0</v>
      </c>
      <c r="I9" s="34">
        <v>0.0</v>
      </c>
      <c r="J9" s="35">
        <f t="shared" si="1"/>
        <v>15600000</v>
      </c>
      <c r="K9" s="34">
        <v>0.0</v>
      </c>
      <c r="L9" s="34">
        <v>0.0</v>
      </c>
      <c r="M9" s="34">
        <v>0.0</v>
      </c>
      <c r="N9" s="35">
        <f t="shared" si="2"/>
        <v>15600000</v>
      </c>
      <c r="O9" s="35">
        <f t="shared" si="3"/>
        <v>15600000</v>
      </c>
    </row>
    <row r="10">
      <c r="A10" s="26" t="s">
        <v>261</v>
      </c>
      <c r="B10" s="26" t="s">
        <v>262</v>
      </c>
      <c r="C10" s="26" t="s">
        <v>255</v>
      </c>
      <c r="D10" s="33" t="s">
        <v>263</v>
      </c>
      <c r="E10" s="26" t="s">
        <v>264</v>
      </c>
      <c r="F10" s="27">
        <v>44291.0</v>
      </c>
      <c r="G10" s="34">
        <v>1.2E7</v>
      </c>
      <c r="H10" s="34">
        <v>1200000.0</v>
      </c>
      <c r="I10" s="34">
        <v>0.0</v>
      </c>
      <c r="J10" s="35">
        <f t="shared" si="1"/>
        <v>13200000</v>
      </c>
      <c r="K10" s="34">
        <v>840000.0</v>
      </c>
      <c r="L10" s="34">
        <v>0.0</v>
      </c>
      <c r="M10" s="34">
        <v>1720000.0</v>
      </c>
      <c r="N10" s="35">
        <f t="shared" si="2"/>
        <v>12360000</v>
      </c>
      <c r="O10" s="35">
        <f t="shared" si="3"/>
        <v>14920000</v>
      </c>
    </row>
    <row r="11">
      <c r="A11" s="26" t="s">
        <v>265</v>
      </c>
      <c r="B11" s="26" t="s">
        <v>266</v>
      </c>
      <c r="C11" s="26" t="s">
        <v>245</v>
      </c>
      <c r="D11" s="33" t="s">
        <v>267</v>
      </c>
      <c r="E11" s="26" t="s">
        <v>268</v>
      </c>
      <c r="F11" s="27">
        <v>45601.0</v>
      </c>
      <c r="G11" s="34">
        <v>1.1E7</v>
      </c>
      <c r="H11" s="34">
        <v>1000000.0</v>
      </c>
      <c r="I11" s="34">
        <v>0.0</v>
      </c>
      <c r="J11" s="35">
        <f t="shared" si="1"/>
        <v>12000000</v>
      </c>
      <c r="K11" s="34">
        <v>840000.0</v>
      </c>
      <c r="L11" s="34">
        <v>0.0</v>
      </c>
      <c r="M11" s="34">
        <v>1720000.0</v>
      </c>
      <c r="N11" s="35">
        <f t="shared" si="2"/>
        <v>11160000</v>
      </c>
      <c r="O11" s="35">
        <f t="shared" si="3"/>
        <v>13720000</v>
      </c>
    </row>
    <row r="12">
      <c r="A12" s="26" t="s">
        <v>269</v>
      </c>
      <c r="B12" s="26" t="s">
        <v>266</v>
      </c>
      <c r="C12" s="26" t="s">
        <v>245</v>
      </c>
      <c r="D12" s="33" t="s">
        <v>270</v>
      </c>
      <c r="F12" s="27">
        <v>45698.0</v>
      </c>
      <c r="G12" s="34">
        <v>9000000.0</v>
      </c>
      <c r="H12" s="34">
        <v>0.0</v>
      </c>
      <c r="I12" s="34">
        <v>0.0</v>
      </c>
      <c r="J12" s="35">
        <f t="shared" si="1"/>
        <v>9000000</v>
      </c>
      <c r="K12" s="34">
        <v>630000.0</v>
      </c>
      <c r="L12" s="34">
        <v>0.0</v>
      </c>
      <c r="M12" s="34">
        <v>1290000.0</v>
      </c>
      <c r="N12" s="35">
        <f t="shared" si="2"/>
        <v>8370000</v>
      </c>
      <c r="O12" s="35">
        <f t="shared" si="3"/>
        <v>10290000</v>
      </c>
    </row>
    <row r="13">
      <c r="C13" s="28"/>
    </row>
    <row r="14">
      <c r="A14" s="26" t="s">
        <v>271</v>
      </c>
      <c r="B14" s="26" t="s">
        <v>272</v>
      </c>
      <c r="C14" s="26" t="s">
        <v>273</v>
      </c>
      <c r="D14" s="26" t="s">
        <v>274</v>
      </c>
      <c r="E14" s="26" t="s">
        <v>275</v>
      </c>
    </row>
    <row r="15">
      <c r="A15" s="26" t="s">
        <v>276</v>
      </c>
      <c r="B15" s="26" t="s">
        <v>277</v>
      </c>
      <c r="C15" s="26" t="s">
        <v>245</v>
      </c>
      <c r="D15" s="27">
        <v>46112.0</v>
      </c>
    </row>
    <row r="16">
      <c r="A16" s="26" t="s">
        <v>278</v>
      </c>
      <c r="B16" s="26" t="s">
        <v>279</v>
      </c>
      <c r="C16" s="26" t="s">
        <v>255</v>
      </c>
      <c r="D16" s="27">
        <v>45728.0</v>
      </c>
    </row>
    <row r="17">
      <c r="A17" s="26" t="s">
        <v>280</v>
      </c>
      <c r="B17" s="26" t="s">
        <v>281</v>
      </c>
      <c r="C17" s="26" t="s">
        <v>255</v>
      </c>
      <c r="D17" s="27">
        <v>46112.0</v>
      </c>
      <c r="E17" s="26" t="s">
        <v>282</v>
      </c>
    </row>
  </sheetData>
  <mergeCells count="13">
    <mergeCell ref="G2:O2"/>
    <mergeCell ref="G3:J3"/>
    <mergeCell ref="K3:M3"/>
    <mergeCell ref="N3:N4"/>
    <mergeCell ref="O3:O4"/>
    <mergeCell ref="K4:L4"/>
    <mergeCell ref="A1:I1"/>
    <mergeCell ref="A2:A4"/>
    <mergeCell ref="B2:B4"/>
    <mergeCell ref="C2:C4"/>
    <mergeCell ref="D2:D4"/>
    <mergeCell ref="E2:E4"/>
    <mergeCell ref="F2:F4"/>
  </mergeCells>
  <dataValidations>
    <dataValidation type="list" allowBlank="1" sqref="C6:C17">
      <formula1>"Production,Sales,Quality,Finance,Warehouse,Front of House,Management,Maintenance"</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30.63"/>
    <col customWidth="1" min="3" max="3" width="35.63"/>
    <col customWidth="1" min="4" max="4" width="14.25"/>
    <col customWidth="1" min="5" max="5" width="11.63"/>
    <col customWidth="1" min="6" max="6" width="28.0"/>
    <col customWidth="1" min="7" max="7" width="55.25"/>
    <col customWidth="1" min="8" max="8" width="10.25"/>
    <col customWidth="1" min="9" max="9" width="9.75"/>
    <col customWidth="1" min="10" max="10" width="12.13"/>
    <col customWidth="1" min="11" max="11" width="15.0"/>
    <col customWidth="1" min="12" max="12" width="37.63"/>
    <col customWidth="1" min="13" max="13" width="8.75"/>
  </cols>
  <sheetData>
    <row r="1">
      <c r="A1" s="37" t="s">
        <v>283</v>
      </c>
      <c r="N1" s="38"/>
      <c r="O1" s="38"/>
      <c r="P1" s="38"/>
      <c r="Q1" s="38"/>
      <c r="R1" s="38"/>
      <c r="S1" s="38"/>
      <c r="T1" s="38"/>
      <c r="U1" s="38"/>
      <c r="V1" s="38"/>
      <c r="W1" s="38"/>
      <c r="X1" s="38"/>
      <c r="Y1" s="38"/>
      <c r="Z1" s="38"/>
      <c r="AA1" s="38"/>
    </row>
    <row r="2">
      <c r="A2" s="39" t="s">
        <v>284</v>
      </c>
      <c r="B2" s="39" t="s">
        <v>39</v>
      </c>
      <c r="C2" s="39" t="s">
        <v>285</v>
      </c>
      <c r="D2" s="39" t="s">
        <v>286</v>
      </c>
      <c r="E2" s="39" t="s">
        <v>227</v>
      </c>
      <c r="F2" s="40" t="s">
        <v>228</v>
      </c>
      <c r="G2" s="39" t="s">
        <v>287</v>
      </c>
      <c r="H2" s="39" t="s">
        <v>288</v>
      </c>
      <c r="I2" s="39" t="s">
        <v>289</v>
      </c>
      <c r="J2" s="39" t="s">
        <v>290</v>
      </c>
      <c r="K2" s="39" t="s">
        <v>291</v>
      </c>
      <c r="L2" s="39" t="s">
        <v>292</v>
      </c>
      <c r="M2" s="39" t="s">
        <v>98</v>
      </c>
      <c r="N2" s="38"/>
      <c r="O2" s="38"/>
      <c r="P2" s="38"/>
      <c r="Q2" s="38"/>
      <c r="R2" s="38"/>
      <c r="S2" s="38"/>
      <c r="T2" s="38"/>
      <c r="U2" s="38"/>
      <c r="V2" s="38"/>
      <c r="W2" s="38"/>
      <c r="X2" s="38"/>
      <c r="Y2" s="38"/>
      <c r="Z2" s="38"/>
      <c r="AA2" s="38"/>
    </row>
    <row r="3">
      <c r="A3" s="41"/>
      <c r="B3" s="41" t="s">
        <v>49</v>
      </c>
      <c r="C3" s="42"/>
      <c r="D3" s="43"/>
      <c r="E3" s="42"/>
      <c r="F3" s="44"/>
      <c r="G3" s="42"/>
      <c r="H3" s="42"/>
      <c r="I3" s="42"/>
      <c r="J3" s="42"/>
      <c r="K3" s="42"/>
      <c r="L3" s="42"/>
      <c r="M3" s="42"/>
      <c r="N3" s="38"/>
      <c r="O3" s="38"/>
      <c r="P3" s="38"/>
      <c r="Q3" s="38"/>
      <c r="R3" s="38"/>
      <c r="S3" s="38"/>
      <c r="T3" s="38"/>
      <c r="U3" s="38"/>
      <c r="V3" s="38"/>
      <c r="W3" s="38"/>
      <c r="X3" s="38"/>
      <c r="Y3" s="38"/>
      <c r="Z3" s="38"/>
      <c r="AA3" s="38"/>
    </row>
    <row r="4">
      <c r="A4" s="45"/>
      <c r="B4" s="45" t="s">
        <v>50</v>
      </c>
      <c r="C4" s="45" t="s">
        <v>293</v>
      </c>
      <c r="D4" s="46" t="s">
        <v>50</v>
      </c>
      <c r="E4" s="45" t="s">
        <v>50</v>
      </c>
      <c r="F4" s="47" t="s">
        <v>50</v>
      </c>
      <c r="G4" s="45" t="s">
        <v>50</v>
      </c>
      <c r="H4" s="45" t="s">
        <v>50</v>
      </c>
      <c r="I4" s="45" t="s">
        <v>50</v>
      </c>
      <c r="J4" s="45" t="s">
        <v>50</v>
      </c>
      <c r="K4" s="45" t="s">
        <v>51</v>
      </c>
      <c r="L4" s="45" t="s">
        <v>294</v>
      </c>
      <c r="M4" s="45" t="s">
        <v>50</v>
      </c>
      <c r="N4" s="38"/>
      <c r="O4" s="38"/>
      <c r="P4" s="38"/>
      <c r="Q4" s="38"/>
      <c r="R4" s="38"/>
      <c r="S4" s="38"/>
      <c r="T4" s="38"/>
      <c r="U4" s="38"/>
      <c r="V4" s="38"/>
      <c r="W4" s="38"/>
      <c r="X4" s="38"/>
      <c r="Y4" s="38"/>
      <c r="Z4" s="38"/>
      <c r="AA4" s="38"/>
    </row>
    <row r="5">
      <c r="A5" s="48">
        <v>1.0</v>
      </c>
      <c r="B5" s="49" t="s">
        <v>295</v>
      </c>
      <c r="C5" s="50" t="s">
        <v>296</v>
      </c>
      <c r="D5" s="51" t="s">
        <v>297</v>
      </c>
      <c r="E5" s="52" t="s">
        <v>298</v>
      </c>
      <c r="F5" s="53"/>
      <c r="G5" s="48" t="s">
        <v>299</v>
      </c>
      <c r="H5" s="50" t="s">
        <v>300</v>
      </c>
      <c r="I5" s="50" t="s">
        <v>301</v>
      </c>
      <c r="J5" s="38"/>
      <c r="K5" s="38"/>
      <c r="L5" s="48" t="s">
        <v>302</v>
      </c>
      <c r="M5" s="38"/>
      <c r="N5" s="38"/>
      <c r="O5" s="38"/>
      <c r="P5" s="38"/>
      <c r="Q5" s="38"/>
      <c r="R5" s="38"/>
      <c r="S5" s="38"/>
      <c r="T5" s="38"/>
      <c r="U5" s="38"/>
      <c r="V5" s="38"/>
      <c r="W5" s="38"/>
      <c r="X5" s="38"/>
      <c r="Y5" s="38"/>
      <c r="Z5" s="38"/>
      <c r="AA5" s="38"/>
    </row>
    <row r="6">
      <c r="A6" s="48">
        <v>2.0</v>
      </c>
      <c r="B6" s="49" t="s">
        <v>303</v>
      </c>
      <c r="C6" s="50" t="s">
        <v>304</v>
      </c>
      <c r="D6" s="51" t="s">
        <v>305</v>
      </c>
      <c r="E6" s="52" t="s">
        <v>306</v>
      </c>
      <c r="F6" s="53"/>
      <c r="G6" s="48" t="s">
        <v>307</v>
      </c>
      <c r="H6" s="50" t="s">
        <v>308</v>
      </c>
      <c r="I6" s="50" t="s">
        <v>309</v>
      </c>
      <c r="J6" s="38"/>
      <c r="K6" s="38"/>
      <c r="L6" s="48" t="s">
        <v>302</v>
      </c>
      <c r="M6" s="38"/>
      <c r="N6" s="38"/>
      <c r="O6" s="38"/>
      <c r="P6" s="38"/>
      <c r="Q6" s="38"/>
      <c r="R6" s="38"/>
      <c r="S6" s="38"/>
      <c r="T6" s="38"/>
      <c r="U6" s="38"/>
      <c r="V6" s="38"/>
      <c r="W6" s="38"/>
      <c r="X6" s="38"/>
      <c r="Y6" s="38"/>
      <c r="Z6" s="38"/>
      <c r="AA6" s="38"/>
    </row>
    <row r="7">
      <c r="A7" s="48">
        <v>3.0</v>
      </c>
      <c r="B7" s="49" t="s">
        <v>310</v>
      </c>
      <c r="C7" s="50" t="s">
        <v>296</v>
      </c>
      <c r="D7" s="51" t="s">
        <v>311</v>
      </c>
      <c r="E7" s="52" t="s">
        <v>312</v>
      </c>
      <c r="F7" s="53"/>
      <c r="G7" s="48" t="s">
        <v>313</v>
      </c>
      <c r="H7" s="50" t="s">
        <v>300</v>
      </c>
      <c r="I7" s="50" t="s">
        <v>314</v>
      </c>
      <c r="J7" s="38"/>
      <c r="K7" s="38"/>
      <c r="L7" s="48" t="s">
        <v>302</v>
      </c>
      <c r="M7" s="38"/>
      <c r="N7" s="38"/>
      <c r="O7" s="38"/>
      <c r="P7" s="38"/>
      <c r="Q7" s="38"/>
      <c r="R7" s="38"/>
      <c r="S7" s="38"/>
      <c r="T7" s="38"/>
      <c r="U7" s="38"/>
      <c r="V7" s="38"/>
      <c r="W7" s="38"/>
      <c r="X7" s="38"/>
      <c r="Y7" s="38"/>
      <c r="Z7" s="38"/>
      <c r="AA7" s="38"/>
    </row>
    <row r="8">
      <c r="A8" s="48">
        <v>4.0</v>
      </c>
      <c r="B8" s="49" t="s">
        <v>315</v>
      </c>
      <c r="C8" s="50" t="s">
        <v>296</v>
      </c>
      <c r="D8" s="51" t="s">
        <v>316</v>
      </c>
      <c r="E8" s="52" t="s">
        <v>317</v>
      </c>
      <c r="F8" s="53"/>
      <c r="G8" s="49" t="s">
        <v>318</v>
      </c>
      <c r="H8" s="50" t="s">
        <v>319</v>
      </c>
      <c r="I8" s="50" t="s">
        <v>320</v>
      </c>
      <c r="J8" s="38"/>
      <c r="K8" s="38"/>
      <c r="L8" s="48" t="s">
        <v>302</v>
      </c>
      <c r="M8" s="38"/>
      <c r="N8" s="38"/>
      <c r="O8" s="38"/>
      <c r="P8" s="38"/>
      <c r="Q8" s="38"/>
      <c r="R8" s="38"/>
      <c r="S8" s="38"/>
      <c r="T8" s="38"/>
      <c r="U8" s="38"/>
      <c r="V8" s="38"/>
      <c r="W8" s="38"/>
      <c r="X8" s="38"/>
      <c r="Y8" s="38"/>
      <c r="Z8" s="38"/>
      <c r="AA8" s="38"/>
    </row>
    <row r="9">
      <c r="A9" s="48">
        <v>5.0</v>
      </c>
      <c r="B9" s="49" t="s">
        <v>321</v>
      </c>
      <c r="C9" s="50" t="s">
        <v>304</v>
      </c>
      <c r="D9" s="51" t="s">
        <v>322</v>
      </c>
      <c r="E9" s="52" t="s">
        <v>323</v>
      </c>
      <c r="F9" s="53"/>
      <c r="G9" s="48" t="s">
        <v>324</v>
      </c>
      <c r="H9" s="50" t="s">
        <v>325</v>
      </c>
      <c r="I9" s="50" t="s">
        <v>326</v>
      </c>
      <c r="J9" s="38"/>
      <c r="K9" s="38"/>
      <c r="L9" s="48" t="s">
        <v>302</v>
      </c>
      <c r="M9" s="38"/>
      <c r="N9" s="38"/>
      <c r="O9" s="38"/>
      <c r="P9" s="38"/>
      <c r="Q9" s="38"/>
      <c r="R9" s="38"/>
      <c r="S9" s="38"/>
      <c r="T9" s="38"/>
      <c r="U9" s="38"/>
      <c r="V9" s="38"/>
      <c r="W9" s="38"/>
      <c r="X9" s="38"/>
      <c r="Y9" s="38"/>
      <c r="Z9" s="38"/>
      <c r="AA9" s="38"/>
    </row>
    <row r="10">
      <c r="A10" s="48">
        <v>6.0</v>
      </c>
      <c r="B10" s="49" t="s">
        <v>327</v>
      </c>
      <c r="C10" s="50" t="s">
        <v>328</v>
      </c>
      <c r="D10" s="54" t="s">
        <v>329</v>
      </c>
      <c r="E10" s="52" t="s">
        <v>330</v>
      </c>
      <c r="F10" s="53"/>
      <c r="G10" s="48" t="s">
        <v>331</v>
      </c>
      <c r="H10" s="50" t="s">
        <v>332</v>
      </c>
      <c r="I10" s="50" t="s">
        <v>333</v>
      </c>
      <c r="J10" s="38"/>
      <c r="K10" s="38"/>
      <c r="L10" s="48" t="s">
        <v>334</v>
      </c>
      <c r="M10" s="38"/>
      <c r="N10" s="38"/>
      <c r="O10" s="38"/>
      <c r="P10" s="38"/>
      <c r="Q10" s="38"/>
      <c r="R10" s="38"/>
      <c r="S10" s="38"/>
      <c r="T10" s="38"/>
      <c r="U10" s="38"/>
      <c r="V10" s="38"/>
      <c r="W10" s="38"/>
      <c r="X10" s="38"/>
      <c r="Y10" s="38"/>
      <c r="Z10" s="38"/>
      <c r="AA10" s="38"/>
    </row>
    <row r="11">
      <c r="A11" s="48">
        <v>7.0</v>
      </c>
      <c r="B11" s="49" t="s">
        <v>335</v>
      </c>
      <c r="C11" s="50" t="s">
        <v>304</v>
      </c>
      <c r="D11" s="51" t="s">
        <v>336</v>
      </c>
      <c r="E11" s="52" t="s">
        <v>337</v>
      </c>
      <c r="F11" s="53"/>
      <c r="G11" s="55" t="s">
        <v>338</v>
      </c>
      <c r="H11" s="50" t="s">
        <v>332</v>
      </c>
      <c r="I11" s="50" t="s">
        <v>339</v>
      </c>
      <c r="J11" s="38"/>
      <c r="K11" s="38"/>
      <c r="L11" s="48" t="s">
        <v>302</v>
      </c>
      <c r="M11" s="38"/>
      <c r="N11" s="38"/>
      <c r="O11" s="38"/>
      <c r="P11" s="38"/>
      <c r="Q11" s="38"/>
      <c r="R11" s="38"/>
      <c r="S11" s="38"/>
      <c r="T11" s="38"/>
      <c r="U11" s="38"/>
      <c r="V11" s="38"/>
      <c r="W11" s="38"/>
      <c r="X11" s="38"/>
      <c r="Y11" s="38"/>
      <c r="Z11" s="38"/>
      <c r="AA11" s="38"/>
    </row>
    <row r="12">
      <c r="A12" s="48">
        <v>8.0</v>
      </c>
      <c r="B12" s="49" t="s">
        <v>340</v>
      </c>
      <c r="C12" s="50" t="s">
        <v>304</v>
      </c>
      <c r="D12" s="51" t="s">
        <v>341</v>
      </c>
      <c r="E12" s="52" t="s">
        <v>342</v>
      </c>
      <c r="F12" s="53"/>
      <c r="G12" s="49" t="s">
        <v>343</v>
      </c>
      <c r="H12" s="50" t="s">
        <v>344</v>
      </c>
      <c r="I12" s="50" t="s">
        <v>345</v>
      </c>
      <c r="J12" s="38"/>
      <c r="K12" s="38"/>
      <c r="L12" s="48" t="s">
        <v>302</v>
      </c>
      <c r="M12" s="38"/>
      <c r="N12" s="38"/>
      <c r="O12" s="38"/>
      <c r="P12" s="38"/>
      <c r="Q12" s="38"/>
      <c r="R12" s="38"/>
      <c r="S12" s="38"/>
      <c r="T12" s="38"/>
      <c r="U12" s="38"/>
      <c r="V12" s="38"/>
      <c r="W12" s="38"/>
      <c r="X12" s="38"/>
      <c r="Y12" s="38"/>
      <c r="Z12" s="38"/>
      <c r="AA12" s="38"/>
    </row>
    <row r="13">
      <c r="A13" s="48">
        <v>9.0</v>
      </c>
      <c r="B13" s="49" t="s">
        <v>346</v>
      </c>
      <c r="C13" s="50" t="s">
        <v>347</v>
      </c>
      <c r="D13" s="54" t="s">
        <v>348</v>
      </c>
      <c r="E13" s="52" t="s">
        <v>349</v>
      </c>
      <c r="F13" s="53"/>
      <c r="G13" s="48" t="s">
        <v>350</v>
      </c>
      <c r="H13" s="50" t="s">
        <v>332</v>
      </c>
      <c r="I13" s="50" t="s">
        <v>351</v>
      </c>
      <c r="J13" s="38"/>
      <c r="K13" s="38"/>
      <c r="L13" s="48" t="s">
        <v>302</v>
      </c>
      <c r="M13" s="38"/>
      <c r="N13" s="38"/>
      <c r="O13" s="38"/>
      <c r="P13" s="38"/>
      <c r="Q13" s="38"/>
      <c r="R13" s="38"/>
      <c r="S13" s="38"/>
      <c r="T13" s="38"/>
      <c r="U13" s="38"/>
      <c r="V13" s="38"/>
      <c r="W13" s="38"/>
      <c r="X13" s="38"/>
      <c r="Y13" s="38"/>
      <c r="Z13" s="38"/>
      <c r="AA13" s="38"/>
    </row>
    <row r="14">
      <c r="A14" s="48">
        <v>10.0</v>
      </c>
      <c r="B14" s="49" t="s">
        <v>352</v>
      </c>
      <c r="C14" s="50" t="s">
        <v>347</v>
      </c>
      <c r="D14" s="54" t="s">
        <v>353</v>
      </c>
      <c r="E14" s="56" t="s">
        <v>354</v>
      </c>
      <c r="F14" s="53"/>
      <c r="G14" s="48" t="s">
        <v>355</v>
      </c>
      <c r="H14" s="50" t="s">
        <v>332</v>
      </c>
      <c r="I14" s="50" t="s">
        <v>356</v>
      </c>
      <c r="J14" s="38"/>
      <c r="K14" s="38"/>
      <c r="L14" s="48" t="s">
        <v>302</v>
      </c>
      <c r="M14" s="38"/>
      <c r="N14" s="38"/>
      <c r="O14" s="38"/>
      <c r="P14" s="38"/>
      <c r="Q14" s="38"/>
      <c r="R14" s="38"/>
      <c r="S14" s="38"/>
      <c r="T14" s="38"/>
      <c r="U14" s="38"/>
      <c r="V14" s="38"/>
      <c r="W14" s="38"/>
      <c r="X14" s="38"/>
      <c r="Y14" s="38"/>
      <c r="Z14" s="38"/>
      <c r="AA14" s="38"/>
    </row>
    <row r="15">
      <c r="A15" s="48">
        <v>11.0</v>
      </c>
      <c r="B15" s="49" t="s">
        <v>357</v>
      </c>
      <c r="C15" s="50" t="s">
        <v>304</v>
      </c>
      <c r="D15" s="54" t="s">
        <v>358</v>
      </c>
      <c r="E15" s="52" t="s">
        <v>359</v>
      </c>
      <c r="F15" s="53"/>
      <c r="G15" s="48" t="s">
        <v>360</v>
      </c>
      <c r="H15" s="50" t="s">
        <v>332</v>
      </c>
      <c r="I15" s="50" t="s">
        <v>351</v>
      </c>
      <c r="J15" s="38"/>
      <c r="K15" s="38"/>
      <c r="L15" s="48" t="s">
        <v>302</v>
      </c>
      <c r="M15" s="38"/>
      <c r="N15" s="38"/>
      <c r="O15" s="38"/>
      <c r="P15" s="38"/>
      <c r="Q15" s="38"/>
      <c r="R15" s="38"/>
      <c r="S15" s="38"/>
      <c r="T15" s="38"/>
      <c r="U15" s="38"/>
      <c r="V15" s="38"/>
      <c r="W15" s="38"/>
      <c r="X15" s="38"/>
      <c r="Y15" s="38"/>
      <c r="Z15" s="38"/>
      <c r="AA15" s="38"/>
    </row>
    <row r="16">
      <c r="A16" s="48">
        <v>12.0</v>
      </c>
      <c r="B16" s="49" t="s">
        <v>361</v>
      </c>
      <c r="C16" s="50" t="s">
        <v>347</v>
      </c>
      <c r="D16" s="54" t="s">
        <v>362</v>
      </c>
      <c r="E16" s="52" t="s">
        <v>363</v>
      </c>
      <c r="F16" s="53"/>
      <c r="G16" s="48" t="s">
        <v>364</v>
      </c>
      <c r="H16" s="50" t="s">
        <v>332</v>
      </c>
      <c r="I16" s="50" t="s">
        <v>351</v>
      </c>
      <c r="J16" s="38"/>
      <c r="K16" s="38"/>
      <c r="L16" s="48" t="s">
        <v>302</v>
      </c>
      <c r="M16" s="38"/>
      <c r="N16" s="38"/>
      <c r="O16" s="38"/>
      <c r="P16" s="38"/>
      <c r="Q16" s="38"/>
      <c r="R16" s="38"/>
      <c r="S16" s="38"/>
      <c r="T16" s="38"/>
      <c r="U16" s="38"/>
      <c r="V16" s="38"/>
      <c r="W16" s="38"/>
      <c r="X16" s="38"/>
      <c r="Y16" s="38"/>
      <c r="Z16" s="38"/>
      <c r="AA16" s="38"/>
    </row>
    <row r="17">
      <c r="A17" s="48">
        <v>13.0</v>
      </c>
      <c r="B17" s="49" t="s">
        <v>365</v>
      </c>
      <c r="C17" s="50" t="s">
        <v>304</v>
      </c>
      <c r="D17" s="54" t="s">
        <v>366</v>
      </c>
      <c r="E17" s="57" t="s">
        <v>367</v>
      </c>
      <c r="F17" s="53"/>
      <c r="G17" s="48" t="s">
        <v>368</v>
      </c>
      <c r="H17" s="50" t="s">
        <v>332</v>
      </c>
      <c r="I17" s="50" t="s">
        <v>369</v>
      </c>
      <c r="J17" s="38"/>
      <c r="K17" s="38"/>
      <c r="L17" s="48" t="s">
        <v>302</v>
      </c>
      <c r="M17" s="38"/>
      <c r="N17" s="38"/>
      <c r="O17" s="38"/>
      <c r="P17" s="38"/>
      <c r="Q17" s="38"/>
      <c r="R17" s="38"/>
      <c r="S17" s="38"/>
      <c r="T17" s="38"/>
      <c r="U17" s="38"/>
      <c r="V17" s="38"/>
      <c r="W17" s="38"/>
      <c r="X17" s="38"/>
      <c r="Y17" s="38"/>
      <c r="Z17" s="38"/>
      <c r="AA17" s="38"/>
    </row>
    <row r="18">
      <c r="A18" s="48">
        <v>14.0</v>
      </c>
      <c r="B18" s="49" t="s">
        <v>370</v>
      </c>
      <c r="C18" s="50" t="s">
        <v>296</v>
      </c>
      <c r="D18" s="51" t="s">
        <v>371</v>
      </c>
      <c r="E18" s="57" t="s">
        <v>372</v>
      </c>
      <c r="F18" s="53"/>
      <c r="G18" s="48" t="s">
        <v>373</v>
      </c>
      <c r="H18" s="50" t="s">
        <v>332</v>
      </c>
      <c r="I18" s="50" t="s">
        <v>374</v>
      </c>
      <c r="J18" s="38"/>
      <c r="K18" s="38"/>
      <c r="L18" s="48" t="s">
        <v>302</v>
      </c>
      <c r="M18" s="38"/>
      <c r="N18" s="38"/>
      <c r="O18" s="38"/>
      <c r="P18" s="38"/>
      <c r="Q18" s="38"/>
      <c r="R18" s="38"/>
      <c r="S18" s="38"/>
      <c r="T18" s="38"/>
      <c r="U18" s="38"/>
      <c r="V18" s="38"/>
      <c r="W18" s="38"/>
      <c r="X18" s="38"/>
      <c r="Y18" s="38"/>
      <c r="Z18" s="38"/>
      <c r="AA18" s="38"/>
    </row>
    <row r="19">
      <c r="A19" s="48">
        <v>15.0</v>
      </c>
      <c r="B19" s="49" t="s">
        <v>375</v>
      </c>
      <c r="C19" s="50" t="s">
        <v>347</v>
      </c>
      <c r="D19" s="51" t="s">
        <v>376</v>
      </c>
      <c r="E19" s="52" t="s">
        <v>377</v>
      </c>
      <c r="F19" s="53"/>
      <c r="G19" s="48" t="s">
        <v>378</v>
      </c>
      <c r="H19" s="50" t="s">
        <v>332</v>
      </c>
      <c r="I19" s="50" t="s">
        <v>369</v>
      </c>
      <c r="J19" s="38"/>
      <c r="K19" s="38"/>
      <c r="L19" s="48" t="s">
        <v>302</v>
      </c>
      <c r="M19" s="38"/>
      <c r="N19" s="38"/>
      <c r="O19" s="38"/>
      <c r="P19" s="38"/>
      <c r="Q19" s="38"/>
      <c r="R19" s="38"/>
      <c r="S19" s="38"/>
      <c r="T19" s="38"/>
      <c r="U19" s="38"/>
      <c r="V19" s="38"/>
      <c r="W19" s="38"/>
      <c r="X19" s="38"/>
      <c r="Y19" s="38"/>
      <c r="Z19" s="38"/>
      <c r="AA19" s="38"/>
    </row>
    <row r="20">
      <c r="A20" s="48">
        <v>16.0</v>
      </c>
      <c r="B20" s="49" t="s">
        <v>379</v>
      </c>
      <c r="C20" s="50" t="s">
        <v>296</v>
      </c>
      <c r="D20" s="51" t="s">
        <v>380</v>
      </c>
      <c r="E20" s="52" t="s">
        <v>381</v>
      </c>
      <c r="F20" s="53"/>
      <c r="G20" s="48" t="s">
        <v>382</v>
      </c>
      <c r="H20" s="50" t="s">
        <v>332</v>
      </c>
      <c r="I20" s="50" t="s">
        <v>369</v>
      </c>
      <c r="J20" s="38"/>
      <c r="K20" s="38"/>
      <c r="L20" s="48" t="s">
        <v>302</v>
      </c>
      <c r="M20" s="38"/>
      <c r="N20" s="38"/>
      <c r="O20" s="38"/>
      <c r="P20" s="38"/>
      <c r="Q20" s="38"/>
      <c r="R20" s="38"/>
      <c r="S20" s="38"/>
      <c r="T20" s="38"/>
      <c r="U20" s="38"/>
      <c r="V20" s="38"/>
      <c r="W20" s="38"/>
      <c r="X20" s="38"/>
      <c r="Y20" s="38"/>
      <c r="Z20" s="38"/>
      <c r="AA20" s="38"/>
    </row>
    <row r="21">
      <c r="A21" s="48">
        <v>17.0</v>
      </c>
      <c r="B21" s="49" t="s">
        <v>383</v>
      </c>
      <c r="C21" s="50" t="s">
        <v>296</v>
      </c>
      <c r="D21" s="51" t="s">
        <v>384</v>
      </c>
      <c r="E21" s="52" t="s">
        <v>385</v>
      </c>
      <c r="F21" s="53"/>
      <c r="G21" s="48" t="s">
        <v>386</v>
      </c>
      <c r="H21" s="50" t="s">
        <v>332</v>
      </c>
      <c r="I21" s="50" t="s">
        <v>369</v>
      </c>
      <c r="J21" s="38"/>
      <c r="K21" s="38"/>
      <c r="L21" s="48" t="s">
        <v>302</v>
      </c>
      <c r="M21" s="38"/>
      <c r="N21" s="38"/>
      <c r="O21" s="38"/>
      <c r="P21" s="38"/>
      <c r="Q21" s="38"/>
      <c r="R21" s="38"/>
      <c r="S21" s="38"/>
      <c r="T21" s="38"/>
      <c r="U21" s="38"/>
      <c r="V21" s="38"/>
      <c r="W21" s="38"/>
      <c r="X21" s="38"/>
      <c r="Y21" s="38"/>
      <c r="Z21" s="38"/>
      <c r="AA21" s="38"/>
    </row>
    <row r="22">
      <c r="A22" s="48">
        <v>18.0</v>
      </c>
      <c r="B22" s="49" t="s">
        <v>387</v>
      </c>
      <c r="C22" s="50" t="s">
        <v>304</v>
      </c>
      <c r="D22" s="51"/>
      <c r="E22" s="52" t="s">
        <v>388</v>
      </c>
      <c r="F22" s="53"/>
      <c r="G22" s="48" t="s">
        <v>389</v>
      </c>
      <c r="H22" s="50" t="s">
        <v>390</v>
      </c>
      <c r="I22" s="50" t="s">
        <v>391</v>
      </c>
      <c r="J22" s="38"/>
      <c r="K22" s="38"/>
      <c r="L22" s="48" t="s">
        <v>302</v>
      </c>
      <c r="M22" s="38"/>
      <c r="N22" s="38"/>
      <c r="O22" s="38"/>
      <c r="P22" s="38"/>
      <c r="Q22" s="38"/>
      <c r="R22" s="38"/>
      <c r="S22" s="38"/>
      <c r="T22" s="38"/>
      <c r="U22" s="38"/>
      <c r="V22" s="38"/>
      <c r="W22" s="38"/>
      <c r="X22" s="38"/>
      <c r="Y22" s="38"/>
      <c r="Z22" s="38"/>
      <c r="AA22" s="38"/>
    </row>
    <row r="23">
      <c r="A23" s="48">
        <v>19.0</v>
      </c>
      <c r="B23" s="49" t="s">
        <v>392</v>
      </c>
      <c r="C23" s="50" t="s">
        <v>304</v>
      </c>
      <c r="D23" s="54" t="s">
        <v>393</v>
      </c>
      <c r="E23" s="58" t="s">
        <v>394</v>
      </c>
      <c r="F23" s="53"/>
      <c r="G23" s="48" t="s">
        <v>395</v>
      </c>
      <c r="H23" s="50" t="s">
        <v>390</v>
      </c>
      <c r="I23" s="50" t="s">
        <v>396</v>
      </c>
      <c r="J23" s="38"/>
      <c r="K23" s="38"/>
      <c r="L23" s="48" t="s">
        <v>302</v>
      </c>
      <c r="M23" s="38"/>
      <c r="N23" s="38"/>
      <c r="O23" s="38"/>
      <c r="P23" s="38"/>
      <c r="Q23" s="38"/>
      <c r="R23" s="38"/>
      <c r="S23" s="38"/>
      <c r="T23" s="38"/>
      <c r="U23" s="38"/>
      <c r="V23" s="38"/>
      <c r="W23" s="38"/>
      <c r="X23" s="38"/>
      <c r="Y23" s="38"/>
      <c r="Z23" s="38"/>
      <c r="AA23" s="38"/>
    </row>
    <row r="24">
      <c r="A24" s="48">
        <v>20.0</v>
      </c>
      <c r="B24" s="49" t="s">
        <v>397</v>
      </c>
      <c r="C24" s="50" t="s">
        <v>304</v>
      </c>
      <c r="D24" s="54" t="s">
        <v>393</v>
      </c>
      <c r="E24" s="58" t="s">
        <v>398</v>
      </c>
      <c r="F24" s="53"/>
      <c r="G24" s="49" t="s">
        <v>399</v>
      </c>
      <c r="H24" s="50" t="s">
        <v>390</v>
      </c>
      <c r="I24" s="50" t="s">
        <v>391</v>
      </c>
      <c r="J24" s="38"/>
      <c r="K24" s="38"/>
      <c r="L24" s="48" t="s">
        <v>302</v>
      </c>
      <c r="M24" s="38"/>
      <c r="N24" s="38"/>
      <c r="O24" s="38"/>
      <c r="P24" s="38"/>
      <c r="Q24" s="38"/>
      <c r="R24" s="38"/>
      <c r="S24" s="38"/>
      <c r="T24" s="38"/>
      <c r="U24" s="38"/>
      <c r="V24" s="38"/>
      <c r="W24" s="38"/>
      <c r="X24" s="38"/>
      <c r="Y24" s="38"/>
      <c r="Z24" s="38"/>
      <c r="AA24" s="38"/>
    </row>
    <row r="25">
      <c r="A25" s="48">
        <v>21.0</v>
      </c>
      <c r="B25" s="49" t="s">
        <v>400</v>
      </c>
      <c r="C25" s="50" t="s">
        <v>296</v>
      </c>
      <c r="D25" s="54" t="s">
        <v>401</v>
      </c>
      <c r="E25" s="57" t="s">
        <v>402</v>
      </c>
      <c r="F25" s="53"/>
      <c r="G25" s="48" t="s">
        <v>403</v>
      </c>
      <c r="H25" s="50" t="s">
        <v>390</v>
      </c>
      <c r="I25" s="50" t="s">
        <v>404</v>
      </c>
      <c r="J25" s="38"/>
      <c r="K25" s="38"/>
      <c r="L25" s="48" t="s">
        <v>302</v>
      </c>
      <c r="M25" s="38"/>
      <c r="N25" s="38"/>
      <c r="O25" s="38"/>
      <c r="P25" s="38"/>
      <c r="Q25" s="38"/>
      <c r="R25" s="38"/>
      <c r="S25" s="38"/>
      <c r="T25" s="38"/>
      <c r="U25" s="38"/>
      <c r="V25" s="38"/>
      <c r="W25" s="38"/>
      <c r="X25" s="38"/>
      <c r="Y25" s="38"/>
      <c r="Z25" s="38"/>
      <c r="AA25" s="38"/>
    </row>
    <row r="26">
      <c r="A26" s="48">
        <v>22.0</v>
      </c>
      <c r="B26" s="49" t="s">
        <v>405</v>
      </c>
      <c r="C26" s="50" t="s">
        <v>296</v>
      </c>
      <c r="D26" s="51" t="s">
        <v>406</v>
      </c>
      <c r="E26" s="52" t="s">
        <v>407</v>
      </c>
      <c r="F26" s="53"/>
      <c r="G26" s="49" t="s">
        <v>408</v>
      </c>
      <c r="H26" s="50" t="s">
        <v>409</v>
      </c>
      <c r="I26" s="50" t="s">
        <v>410</v>
      </c>
      <c r="J26" s="38"/>
      <c r="K26" s="38"/>
      <c r="L26" s="48" t="s">
        <v>302</v>
      </c>
      <c r="M26" s="38"/>
      <c r="N26" s="38"/>
      <c r="O26" s="38"/>
      <c r="P26" s="38"/>
      <c r="Q26" s="38"/>
      <c r="R26" s="38"/>
      <c r="S26" s="38"/>
      <c r="T26" s="38"/>
      <c r="U26" s="38"/>
      <c r="V26" s="38"/>
      <c r="W26" s="38"/>
      <c r="X26" s="38"/>
      <c r="Y26" s="38"/>
      <c r="Z26" s="38"/>
      <c r="AA26" s="38"/>
    </row>
    <row r="27">
      <c r="A27" s="48">
        <v>23.0</v>
      </c>
      <c r="B27" s="49" t="s">
        <v>411</v>
      </c>
      <c r="C27" s="50" t="s">
        <v>304</v>
      </c>
      <c r="D27" s="51" t="s">
        <v>412</v>
      </c>
      <c r="E27" s="52" t="s">
        <v>413</v>
      </c>
      <c r="F27" s="53"/>
      <c r="G27" s="48" t="s">
        <v>414</v>
      </c>
      <c r="H27" s="50" t="s">
        <v>390</v>
      </c>
      <c r="I27" s="50" t="s">
        <v>415</v>
      </c>
      <c r="J27" s="38"/>
      <c r="K27" s="38"/>
      <c r="L27" s="48" t="s">
        <v>302</v>
      </c>
      <c r="M27" s="38"/>
      <c r="N27" s="38"/>
      <c r="O27" s="38"/>
      <c r="P27" s="38"/>
      <c r="Q27" s="38"/>
      <c r="R27" s="38"/>
      <c r="S27" s="38"/>
      <c r="T27" s="38"/>
      <c r="U27" s="38"/>
      <c r="V27" s="38"/>
      <c r="W27" s="38"/>
      <c r="X27" s="38"/>
      <c r="Y27" s="38"/>
      <c r="Z27" s="38"/>
      <c r="AA27" s="38"/>
    </row>
    <row r="28">
      <c r="A28" s="48">
        <v>24.0</v>
      </c>
      <c r="B28" s="49" t="s">
        <v>416</v>
      </c>
      <c r="C28" s="50" t="s">
        <v>304</v>
      </c>
      <c r="D28" s="51" t="s">
        <v>417</v>
      </c>
      <c r="E28" s="57" t="s">
        <v>418</v>
      </c>
      <c r="F28" s="53" t="s">
        <v>419</v>
      </c>
      <c r="G28" s="48" t="s">
        <v>420</v>
      </c>
      <c r="H28" s="50" t="s">
        <v>421</v>
      </c>
      <c r="I28" s="50" t="s">
        <v>422</v>
      </c>
      <c r="J28" s="59" t="s">
        <v>423</v>
      </c>
      <c r="K28" s="38"/>
      <c r="L28" s="48" t="s">
        <v>302</v>
      </c>
      <c r="M28" s="38"/>
      <c r="N28" s="38"/>
      <c r="O28" s="38"/>
      <c r="P28" s="38"/>
      <c r="Q28" s="38"/>
      <c r="R28" s="38"/>
      <c r="S28" s="38"/>
      <c r="T28" s="38"/>
      <c r="U28" s="38"/>
      <c r="V28" s="38"/>
      <c r="W28" s="38"/>
      <c r="X28" s="38"/>
      <c r="Y28" s="38"/>
      <c r="Z28" s="38"/>
      <c r="AA28" s="38"/>
    </row>
    <row r="29">
      <c r="A29" s="48">
        <v>25.0</v>
      </c>
      <c r="B29" s="49" t="s">
        <v>424</v>
      </c>
      <c r="C29" s="50" t="s">
        <v>304</v>
      </c>
      <c r="D29" s="51" t="s">
        <v>417</v>
      </c>
      <c r="E29" s="57" t="s">
        <v>418</v>
      </c>
      <c r="F29" s="53" t="s">
        <v>419</v>
      </c>
      <c r="G29" s="48" t="s">
        <v>425</v>
      </c>
      <c r="H29" s="50" t="s">
        <v>421</v>
      </c>
      <c r="I29" s="50" t="s">
        <v>426</v>
      </c>
      <c r="J29" s="59" t="s">
        <v>427</v>
      </c>
      <c r="K29" s="38"/>
      <c r="L29" s="48" t="s">
        <v>302</v>
      </c>
      <c r="M29" s="38"/>
      <c r="N29" s="38"/>
      <c r="O29" s="38"/>
      <c r="P29" s="38"/>
      <c r="Q29" s="38"/>
      <c r="R29" s="38"/>
      <c r="S29" s="38"/>
      <c r="T29" s="38"/>
      <c r="U29" s="38"/>
      <c r="V29" s="38"/>
      <c r="W29" s="38"/>
      <c r="X29" s="38"/>
      <c r="Y29" s="38"/>
      <c r="Z29" s="38"/>
      <c r="AA29" s="38"/>
    </row>
    <row r="30">
      <c r="A30" s="48">
        <v>26.0</v>
      </c>
      <c r="B30" s="49" t="s">
        <v>428</v>
      </c>
      <c r="C30" s="50" t="s">
        <v>304</v>
      </c>
      <c r="D30" s="51" t="s">
        <v>417</v>
      </c>
      <c r="E30" s="57" t="s">
        <v>418</v>
      </c>
      <c r="F30" s="53" t="s">
        <v>419</v>
      </c>
      <c r="G30" s="48" t="s">
        <v>429</v>
      </c>
      <c r="H30" s="50" t="s">
        <v>421</v>
      </c>
      <c r="I30" s="50" t="s">
        <v>430</v>
      </c>
      <c r="J30" s="60" t="s">
        <v>431</v>
      </c>
      <c r="K30" s="38"/>
      <c r="L30" s="48" t="s">
        <v>302</v>
      </c>
      <c r="M30" s="38"/>
      <c r="N30" s="38"/>
      <c r="O30" s="38"/>
      <c r="P30" s="38"/>
      <c r="Q30" s="38"/>
      <c r="R30" s="38"/>
      <c r="S30" s="38"/>
      <c r="T30" s="38"/>
      <c r="U30" s="38"/>
      <c r="V30" s="38"/>
      <c r="W30" s="38"/>
      <c r="X30" s="38"/>
      <c r="Y30" s="38"/>
      <c r="Z30" s="38"/>
      <c r="AA30" s="38"/>
    </row>
    <row r="31">
      <c r="A31" s="48">
        <v>27.0</v>
      </c>
      <c r="B31" s="49" t="s">
        <v>432</v>
      </c>
      <c r="C31" s="50" t="s">
        <v>304</v>
      </c>
      <c r="D31" s="51" t="s">
        <v>417</v>
      </c>
      <c r="E31" s="57" t="s">
        <v>418</v>
      </c>
      <c r="F31" s="53" t="s">
        <v>419</v>
      </c>
      <c r="G31" s="48" t="s">
        <v>433</v>
      </c>
      <c r="H31" s="50" t="s">
        <v>421</v>
      </c>
      <c r="I31" s="50" t="s">
        <v>422</v>
      </c>
      <c r="J31" s="59" t="s">
        <v>434</v>
      </c>
      <c r="K31" s="38"/>
      <c r="L31" s="48" t="s">
        <v>302</v>
      </c>
      <c r="M31" s="38"/>
      <c r="N31" s="38"/>
      <c r="O31" s="38"/>
      <c r="P31" s="38"/>
      <c r="Q31" s="38"/>
      <c r="R31" s="38"/>
      <c r="S31" s="38"/>
      <c r="T31" s="38"/>
      <c r="U31" s="38"/>
      <c r="V31" s="38"/>
      <c r="W31" s="38"/>
      <c r="X31" s="38"/>
      <c r="Y31" s="38"/>
      <c r="Z31" s="38"/>
      <c r="AA31" s="38"/>
    </row>
    <row r="32">
      <c r="A32" s="48">
        <v>28.0</v>
      </c>
      <c r="B32" s="49" t="s">
        <v>435</v>
      </c>
      <c r="C32" s="50" t="s">
        <v>304</v>
      </c>
      <c r="D32" s="51" t="s">
        <v>417</v>
      </c>
      <c r="E32" s="57" t="s">
        <v>418</v>
      </c>
      <c r="F32" s="53" t="s">
        <v>419</v>
      </c>
      <c r="G32" s="48" t="s">
        <v>436</v>
      </c>
      <c r="H32" s="50" t="s">
        <v>421</v>
      </c>
      <c r="I32" s="50" t="s">
        <v>437</v>
      </c>
      <c r="J32" s="59" t="s">
        <v>438</v>
      </c>
      <c r="K32" s="38"/>
      <c r="L32" s="48" t="s">
        <v>302</v>
      </c>
      <c r="M32" s="38"/>
      <c r="N32" s="38"/>
      <c r="O32" s="38"/>
      <c r="P32" s="38"/>
      <c r="Q32" s="38"/>
      <c r="R32" s="38"/>
      <c r="S32" s="38"/>
      <c r="T32" s="38"/>
      <c r="U32" s="38"/>
      <c r="V32" s="38"/>
      <c r="W32" s="38"/>
      <c r="X32" s="38"/>
      <c r="Y32" s="38"/>
      <c r="Z32" s="38"/>
      <c r="AA32" s="38"/>
    </row>
    <row r="33">
      <c r="A33" s="48">
        <v>29.0</v>
      </c>
      <c r="B33" s="49" t="s">
        <v>439</v>
      </c>
      <c r="C33" s="50" t="s">
        <v>296</v>
      </c>
      <c r="D33" s="51" t="s">
        <v>440</v>
      </c>
      <c r="E33" s="61" t="s">
        <v>441</v>
      </c>
      <c r="F33" s="53"/>
      <c r="G33" s="48" t="s">
        <v>442</v>
      </c>
      <c r="H33" s="50" t="s">
        <v>421</v>
      </c>
      <c r="I33" s="50" t="s">
        <v>443</v>
      </c>
      <c r="J33" s="38"/>
      <c r="K33" s="38"/>
      <c r="L33" s="49" t="s">
        <v>334</v>
      </c>
      <c r="M33" s="38"/>
      <c r="N33" s="38"/>
      <c r="O33" s="38"/>
      <c r="P33" s="38"/>
      <c r="Q33" s="38"/>
      <c r="R33" s="38"/>
      <c r="S33" s="38"/>
      <c r="T33" s="38"/>
      <c r="U33" s="38"/>
      <c r="V33" s="38"/>
      <c r="W33" s="38"/>
      <c r="X33" s="38"/>
      <c r="Y33" s="38"/>
      <c r="Z33" s="38"/>
      <c r="AA33" s="38"/>
    </row>
    <row r="34">
      <c r="A34" s="48">
        <v>30.0</v>
      </c>
      <c r="B34" s="49" t="s">
        <v>444</v>
      </c>
      <c r="C34" s="50" t="s">
        <v>304</v>
      </c>
      <c r="D34" s="51" t="s">
        <v>445</v>
      </c>
      <c r="E34" s="52" t="s">
        <v>446</v>
      </c>
      <c r="F34" s="53"/>
      <c r="G34" s="48" t="s">
        <v>447</v>
      </c>
      <c r="H34" s="50" t="s">
        <v>421</v>
      </c>
      <c r="I34" s="50" t="s">
        <v>443</v>
      </c>
      <c r="J34" s="38"/>
      <c r="K34" s="38"/>
      <c r="L34" s="48" t="s">
        <v>302</v>
      </c>
      <c r="M34" s="38"/>
      <c r="N34" s="38"/>
      <c r="O34" s="38"/>
      <c r="P34" s="38"/>
      <c r="Q34" s="38"/>
      <c r="R34" s="38"/>
      <c r="S34" s="38"/>
      <c r="T34" s="38"/>
      <c r="U34" s="38"/>
      <c r="V34" s="38"/>
      <c r="W34" s="38"/>
      <c r="X34" s="38"/>
      <c r="Y34" s="38"/>
      <c r="Z34" s="38"/>
      <c r="AA34" s="38"/>
    </row>
    <row r="35">
      <c r="A35" s="48">
        <v>31.0</v>
      </c>
      <c r="B35" s="49" t="s">
        <v>448</v>
      </c>
      <c r="C35" s="50" t="s">
        <v>296</v>
      </c>
      <c r="D35" s="51" t="s">
        <v>449</v>
      </c>
      <c r="E35" s="52" t="s">
        <v>450</v>
      </c>
      <c r="F35" s="53" t="s">
        <v>451</v>
      </c>
      <c r="G35" s="49" t="s">
        <v>452</v>
      </c>
      <c r="H35" s="50" t="s">
        <v>421</v>
      </c>
      <c r="I35" s="50" t="s">
        <v>453</v>
      </c>
      <c r="J35" s="60" t="s">
        <v>454</v>
      </c>
      <c r="K35" s="38"/>
      <c r="L35" s="48" t="s">
        <v>302</v>
      </c>
      <c r="M35" s="38"/>
      <c r="N35" s="38"/>
      <c r="O35" s="38"/>
      <c r="P35" s="38"/>
      <c r="Q35" s="38"/>
      <c r="R35" s="38"/>
      <c r="S35" s="38"/>
      <c r="T35" s="38"/>
      <c r="U35" s="38"/>
      <c r="V35" s="38"/>
      <c r="W35" s="38"/>
      <c r="X35" s="38"/>
      <c r="Y35" s="38"/>
      <c r="Z35" s="38"/>
      <c r="AA35" s="38"/>
    </row>
    <row r="36">
      <c r="A36" s="48">
        <v>32.0</v>
      </c>
      <c r="B36" s="49" t="s">
        <v>455</v>
      </c>
      <c r="C36" s="50" t="s">
        <v>304</v>
      </c>
      <c r="D36" s="51" t="s">
        <v>456</v>
      </c>
      <c r="E36" s="54">
        <v>9.08131568E8</v>
      </c>
      <c r="F36" s="53"/>
      <c r="G36" s="48" t="s">
        <v>457</v>
      </c>
      <c r="H36" s="50" t="s">
        <v>421</v>
      </c>
      <c r="I36" s="50" t="s">
        <v>422</v>
      </c>
      <c r="J36" s="38"/>
      <c r="K36" s="38"/>
      <c r="L36" s="49" t="s">
        <v>334</v>
      </c>
      <c r="M36" s="38"/>
      <c r="N36" s="38"/>
      <c r="O36" s="38"/>
      <c r="P36" s="38"/>
      <c r="Q36" s="38"/>
      <c r="R36" s="38"/>
      <c r="S36" s="38"/>
      <c r="T36" s="38"/>
      <c r="U36" s="38"/>
      <c r="V36" s="38"/>
      <c r="W36" s="38"/>
      <c r="X36" s="38"/>
      <c r="Y36" s="38"/>
      <c r="Z36" s="38"/>
      <c r="AA36" s="38"/>
    </row>
    <row r="37">
      <c r="A37" s="48">
        <v>33.0</v>
      </c>
      <c r="B37" s="49" t="s">
        <v>458</v>
      </c>
      <c r="C37" s="50" t="s">
        <v>304</v>
      </c>
      <c r="D37" s="51"/>
      <c r="E37" s="57" t="s">
        <v>459</v>
      </c>
      <c r="F37" s="53"/>
      <c r="G37" s="49" t="s">
        <v>460</v>
      </c>
      <c r="H37" s="50" t="s">
        <v>421</v>
      </c>
      <c r="I37" s="50" t="s">
        <v>453</v>
      </c>
      <c r="J37" s="59">
        <v>3.15970107E8</v>
      </c>
      <c r="K37" s="38"/>
      <c r="L37" s="49" t="s">
        <v>334</v>
      </c>
      <c r="M37" s="38"/>
      <c r="N37" s="38"/>
      <c r="O37" s="38"/>
      <c r="P37" s="38"/>
      <c r="Q37" s="38"/>
      <c r="R37" s="38"/>
      <c r="S37" s="38"/>
      <c r="T37" s="38"/>
      <c r="U37" s="38"/>
      <c r="V37" s="38"/>
      <c r="W37" s="38"/>
      <c r="X37" s="38"/>
      <c r="Y37" s="38"/>
      <c r="Z37" s="38"/>
      <c r="AA37" s="38"/>
    </row>
    <row r="38">
      <c r="A38" s="48">
        <v>34.0</v>
      </c>
      <c r="B38" s="49" t="s">
        <v>461</v>
      </c>
      <c r="C38" s="50" t="s">
        <v>296</v>
      </c>
      <c r="D38" s="51" t="s">
        <v>462</v>
      </c>
      <c r="E38" s="62" t="s">
        <v>463</v>
      </c>
      <c r="F38" s="53" t="s">
        <v>464</v>
      </c>
      <c r="G38" s="49" t="s">
        <v>465</v>
      </c>
      <c r="H38" s="50" t="s">
        <v>421</v>
      </c>
      <c r="I38" s="50" t="s">
        <v>443</v>
      </c>
      <c r="J38" s="60" t="s">
        <v>466</v>
      </c>
      <c r="K38" s="38"/>
      <c r="L38" s="48" t="s">
        <v>302</v>
      </c>
      <c r="M38" s="38"/>
      <c r="N38" s="38"/>
      <c r="O38" s="38"/>
      <c r="P38" s="38"/>
      <c r="Q38" s="38"/>
      <c r="R38" s="38"/>
      <c r="S38" s="38"/>
      <c r="T38" s="38"/>
      <c r="U38" s="38"/>
      <c r="V38" s="38"/>
      <c r="W38" s="38"/>
      <c r="X38" s="38"/>
      <c r="Y38" s="38"/>
      <c r="Z38" s="38"/>
      <c r="AA38" s="38"/>
    </row>
    <row r="39">
      <c r="A39" s="48">
        <v>35.0</v>
      </c>
      <c r="B39" s="49" t="s">
        <v>467</v>
      </c>
      <c r="C39" s="50" t="s">
        <v>296</v>
      </c>
      <c r="D39" s="51" t="s">
        <v>468</v>
      </c>
      <c r="E39" s="57" t="s">
        <v>469</v>
      </c>
      <c r="F39" s="53" t="s">
        <v>464</v>
      </c>
      <c r="G39" s="49" t="s">
        <v>470</v>
      </c>
      <c r="H39" s="50" t="s">
        <v>421</v>
      </c>
      <c r="I39" s="50" t="s">
        <v>471</v>
      </c>
      <c r="J39" s="60" t="s">
        <v>466</v>
      </c>
      <c r="K39" s="38"/>
      <c r="L39" s="48" t="s">
        <v>302</v>
      </c>
      <c r="M39" s="38"/>
      <c r="N39" s="38"/>
      <c r="O39" s="38"/>
      <c r="P39" s="38"/>
      <c r="Q39" s="38"/>
      <c r="R39" s="38"/>
      <c r="S39" s="38"/>
      <c r="T39" s="38"/>
      <c r="U39" s="38"/>
      <c r="V39" s="38"/>
      <c r="W39" s="38"/>
      <c r="X39" s="38"/>
      <c r="Y39" s="38"/>
      <c r="Z39" s="38"/>
      <c r="AA39" s="38"/>
    </row>
    <row r="40">
      <c r="A40" s="48">
        <v>36.0</v>
      </c>
      <c r="B40" s="49" t="s">
        <v>472</v>
      </c>
      <c r="C40" s="50" t="s">
        <v>296</v>
      </c>
      <c r="D40" s="51" t="s">
        <v>473</v>
      </c>
      <c r="E40" s="57" t="s">
        <v>474</v>
      </c>
      <c r="F40" s="63" t="s">
        <v>475</v>
      </c>
      <c r="G40" s="48" t="s">
        <v>476</v>
      </c>
      <c r="H40" s="50" t="s">
        <v>421</v>
      </c>
      <c r="I40" s="50" t="s">
        <v>422</v>
      </c>
      <c r="J40" s="60" t="s">
        <v>477</v>
      </c>
      <c r="K40" s="38"/>
      <c r="L40" s="49" t="s">
        <v>334</v>
      </c>
      <c r="M40" s="38"/>
      <c r="N40" s="38"/>
      <c r="O40" s="38"/>
      <c r="P40" s="38"/>
      <c r="Q40" s="38"/>
      <c r="R40" s="38"/>
      <c r="S40" s="38"/>
      <c r="T40" s="38"/>
      <c r="U40" s="38"/>
      <c r="V40" s="38"/>
      <c r="W40" s="38"/>
      <c r="X40" s="38"/>
      <c r="Y40" s="38"/>
      <c r="Z40" s="38"/>
      <c r="AA40" s="38"/>
    </row>
    <row r="41">
      <c r="A41" s="48">
        <v>37.0</v>
      </c>
      <c r="B41" s="49" t="s">
        <v>478</v>
      </c>
      <c r="C41" s="50" t="s">
        <v>296</v>
      </c>
      <c r="D41" s="51" t="s">
        <v>479</v>
      </c>
      <c r="E41" s="57" t="s">
        <v>480</v>
      </c>
      <c r="F41" s="53"/>
      <c r="G41" s="48" t="s">
        <v>481</v>
      </c>
      <c r="H41" s="50" t="s">
        <v>421</v>
      </c>
      <c r="I41" s="50" t="s">
        <v>482</v>
      </c>
      <c r="J41" s="38"/>
      <c r="K41" s="38"/>
      <c r="L41" s="48" t="s">
        <v>302</v>
      </c>
      <c r="M41" s="38"/>
      <c r="N41" s="38"/>
      <c r="O41" s="38"/>
      <c r="P41" s="38"/>
      <c r="Q41" s="38"/>
      <c r="R41" s="38"/>
      <c r="S41" s="38"/>
      <c r="T41" s="38"/>
      <c r="U41" s="38"/>
      <c r="V41" s="38"/>
      <c r="W41" s="38"/>
      <c r="X41" s="38"/>
      <c r="Y41" s="38"/>
      <c r="Z41" s="38"/>
      <c r="AA41" s="38"/>
    </row>
    <row r="42">
      <c r="A42" s="48">
        <v>38.0</v>
      </c>
      <c r="B42" s="49" t="s">
        <v>483</v>
      </c>
      <c r="C42" s="50" t="s">
        <v>304</v>
      </c>
      <c r="D42" s="51" t="s">
        <v>484</v>
      </c>
      <c r="E42" s="57" t="s">
        <v>485</v>
      </c>
      <c r="F42" s="53"/>
      <c r="G42" s="48" t="s">
        <v>486</v>
      </c>
      <c r="H42" s="50" t="s">
        <v>421</v>
      </c>
      <c r="I42" s="50" t="s">
        <v>487</v>
      </c>
      <c r="J42" s="38"/>
      <c r="K42" s="38"/>
      <c r="L42" s="48" t="s">
        <v>302</v>
      </c>
      <c r="M42" s="38"/>
      <c r="N42" s="38"/>
      <c r="O42" s="38"/>
      <c r="P42" s="38"/>
      <c r="Q42" s="38"/>
      <c r="R42" s="38"/>
      <c r="S42" s="38"/>
      <c r="T42" s="38"/>
      <c r="U42" s="38"/>
      <c r="V42" s="38"/>
      <c r="W42" s="38"/>
      <c r="X42" s="38"/>
      <c r="Y42" s="38"/>
      <c r="Z42" s="38"/>
      <c r="AA42" s="38"/>
    </row>
    <row r="43">
      <c r="A43" s="48">
        <v>39.0</v>
      </c>
      <c r="B43" s="49" t="s">
        <v>488</v>
      </c>
      <c r="C43" s="50" t="s">
        <v>304</v>
      </c>
      <c r="D43" s="51" t="s">
        <v>489</v>
      </c>
      <c r="E43" s="52" t="s">
        <v>490</v>
      </c>
      <c r="F43" s="53"/>
      <c r="G43" s="48" t="s">
        <v>491</v>
      </c>
      <c r="H43" s="50" t="s">
        <v>421</v>
      </c>
      <c r="I43" s="50" t="s">
        <v>492</v>
      </c>
      <c r="J43" s="38"/>
      <c r="K43" s="38"/>
      <c r="L43" s="48" t="s">
        <v>302</v>
      </c>
      <c r="M43" s="38"/>
      <c r="N43" s="38"/>
      <c r="O43" s="38"/>
      <c r="P43" s="38"/>
      <c r="Q43" s="38"/>
      <c r="R43" s="38"/>
      <c r="S43" s="38"/>
      <c r="T43" s="38"/>
      <c r="U43" s="38"/>
      <c r="V43" s="38"/>
      <c r="W43" s="38"/>
      <c r="X43" s="38"/>
      <c r="Y43" s="38"/>
      <c r="Z43" s="38"/>
      <c r="AA43" s="38"/>
    </row>
    <row r="44">
      <c r="A44" s="48">
        <v>40.0</v>
      </c>
      <c r="B44" s="49" t="s">
        <v>493</v>
      </c>
      <c r="C44" s="50" t="s">
        <v>296</v>
      </c>
      <c r="D44" s="51" t="s">
        <v>494</v>
      </c>
      <c r="E44" s="57" t="s">
        <v>495</v>
      </c>
      <c r="F44" s="53"/>
      <c r="G44" s="48" t="s">
        <v>496</v>
      </c>
      <c r="H44" s="50" t="s">
        <v>421</v>
      </c>
      <c r="I44" s="50" t="s">
        <v>422</v>
      </c>
      <c r="J44" s="38"/>
      <c r="K44" s="38"/>
      <c r="L44" s="48" t="s">
        <v>302</v>
      </c>
      <c r="M44" s="38"/>
      <c r="N44" s="38"/>
      <c r="O44" s="38"/>
      <c r="P44" s="38"/>
      <c r="Q44" s="38"/>
      <c r="R44" s="38"/>
      <c r="S44" s="38"/>
      <c r="T44" s="38"/>
      <c r="U44" s="38"/>
      <c r="V44" s="38"/>
      <c r="W44" s="38"/>
      <c r="X44" s="38"/>
      <c r="Y44" s="38"/>
      <c r="Z44" s="38"/>
      <c r="AA44" s="38"/>
    </row>
    <row r="45">
      <c r="A45" s="48">
        <v>41.0</v>
      </c>
      <c r="B45" s="49" t="s">
        <v>497</v>
      </c>
      <c r="C45" s="50" t="s">
        <v>296</v>
      </c>
      <c r="D45" s="54" t="s">
        <v>498</v>
      </c>
      <c r="E45" s="57" t="s">
        <v>499</v>
      </c>
      <c r="F45" s="53"/>
      <c r="G45" s="48" t="s">
        <v>500</v>
      </c>
      <c r="H45" s="50" t="s">
        <v>421</v>
      </c>
      <c r="I45" s="50" t="s">
        <v>426</v>
      </c>
      <c r="J45" s="38"/>
      <c r="K45" s="38"/>
      <c r="L45" s="49" t="s">
        <v>334</v>
      </c>
      <c r="M45" s="38"/>
      <c r="N45" s="38"/>
      <c r="O45" s="38"/>
      <c r="P45" s="38"/>
      <c r="Q45" s="38"/>
      <c r="R45" s="38"/>
      <c r="S45" s="38"/>
      <c r="T45" s="38"/>
      <c r="U45" s="38"/>
      <c r="V45" s="38"/>
      <c r="W45" s="38"/>
      <c r="X45" s="38"/>
      <c r="Y45" s="38"/>
      <c r="Z45" s="38"/>
      <c r="AA45" s="38"/>
    </row>
    <row r="46">
      <c r="A46" s="48">
        <v>42.0</v>
      </c>
      <c r="B46" s="49" t="s">
        <v>501</v>
      </c>
      <c r="C46" s="50" t="s">
        <v>328</v>
      </c>
      <c r="D46" s="51"/>
      <c r="E46" s="52" t="s">
        <v>502</v>
      </c>
      <c r="F46" s="53"/>
      <c r="G46" s="49" t="s">
        <v>503</v>
      </c>
      <c r="H46" s="50" t="s">
        <v>421</v>
      </c>
      <c r="I46" s="50" t="s">
        <v>504</v>
      </c>
      <c r="J46" s="38"/>
      <c r="K46" s="38"/>
      <c r="L46" s="48" t="s">
        <v>334</v>
      </c>
      <c r="M46" s="38"/>
      <c r="N46" s="38"/>
      <c r="O46" s="38"/>
      <c r="P46" s="38"/>
      <c r="Q46" s="38"/>
      <c r="R46" s="38"/>
      <c r="S46" s="38"/>
      <c r="T46" s="38"/>
      <c r="U46" s="38"/>
      <c r="V46" s="38"/>
      <c r="W46" s="38"/>
      <c r="X46" s="38"/>
      <c r="Y46" s="38"/>
      <c r="Z46" s="38"/>
      <c r="AA46" s="38"/>
    </row>
    <row r="47">
      <c r="A47" s="48">
        <v>43.0</v>
      </c>
      <c r="B47" s="49" t="s">
        <v>505</v>
      </c>
      <c r="C47" s="50" t="s">
        <v>296</v>
      </c>
      <c r="D47" s="51" t="s">
        <v>498</v>
      </c>
      <c r="E47" s="57" t="s">
        <v>499</v>
      </c>
      <c r="F47" s="53"/>
      <c r="G47" s="48" t="s">
        <v>506</v>
      </c>
      <c r="H47" s="50" t="s">
        <v>421</v>
      </c>
      <c r="I47" s="50" t="s">
        <v>426</v>
      </c>
      <c r="J47" s="38"/>
      <c r="K47" s="38"/>
      <c r="L47" s="48" t="s">
        <v>302</v>
      </c>
      <c r="M47" s="38"/>
      <c r="N47" s="38"/>
      <c r="O47" s="38"/>
      <c r="P47" s="38"/>
      <c r="Q47" s="38"/>
      <c r="R47" s="38"/>
      <c r="S47" s="38"/>
      <c r="T47" s="38"/>
      <c r="U47" s="38"/>
      <c r="V47" s="38"/>
      <c r="W47" s="38"/>
      <c r="X47" s="38"/>
      <c r="Y47" s="38"/>
      <c r="Z47" s="38"/>
      <c r="AA47" s="38"/>
    </row>
    <row r="48">
      <c r="A48" s="48">
        <v>44.0</v>
      </c>
      <c r="B48" s="49" t="s">
        <v>507</v>
      </c>
      <c r="C48" s="50" t="s">
        <v>304</v>
      </c>
      <c r="D48" s="54" t="s">
        <v>508</v>
      </c>
      <c r="E48" s="57" t="s">
        <v>509</v>
      </c>
      <c r="F48" s="53"/>
      <c r="G48" s="48" t="s">
        <v>510</v>
      </c>
      <c r="H48" s="50" t="s">
        <v>421</v>
      </c>
      <c r="I48" s="50" t="s">
        <v>511</v>
      </c>
      <c r="J48" s="38"/>
      <c r="K48" s="38"/>
      <c r="L48" s="48" t="s">
        <v>302</v>
      </c>
      <c r="M48" s="38"/>
      <c r="N48" s="38"/>
      <c r="O48" s="38"/>
      <c r="P48" s="38"/>
      <c r="Q48" s="38"/>
      <c r="R48" s="38"/>
      <c r="S48" s="38"/>
      <c r="T48" s="38"/>
      <c r="U48" s="38"/>
      <c r="V48" s="38"/>
      <c r="W48" s="38"/>
      <c r="X48" s="38"/>
      <c r="Y48" s="38"/>
      <c r="Z48" s="38"/>
      <c r="AA48" s="38"/>
    </row>
    <row r="49">
      <c r="A49" s="48">
        <v>45.0</v>
      </c>
      <c r="B49" s="49" t="s">
        <v>512</v>
      </c>
      <c r="C49" s="50" t="s">
        <v>328</v>
      </c>
      <c r="D49" s="51" t="s">
        <v>513</v>
      </c>
      <c r="E49" s="52" t="s">
        <v>514</v>
      </c>
      <c r="F49" s="53"/>
      <c r="G49" s="64" t="s">
        <v>515</v>
      </c>
      <c r="H49" s="50" t="s">
        <v>421</v>
      </c>
      <c r="I49" s="50" t="s">
        <v>422</v>
      </c>
      <c r="J49" s="38"/>
      <c r="K49" s="38"/>
      <c r="L49" s="48" t="s">
        <v>334</v>
      </c>
      <c r="M49" s="38"/>
      <c r="N49" s="38"/>
      <c r="O49" s="38"/>
      <c r="P49" s="38"/>
      <c r="Q49" s="38"/>
      <c r="R49" s="38"/>
      <c r="S49" s="38"/>
      <c r="T49" s="38"/>
      <c r="U49" s="38"/>
      <c r="V49" s="38"/>
      <c r="W49" s="38"/>
      <c r="X49" s="38"/>
      <c r="Y49" s="38"/>
      <c r="Z49" s="38"/>
      <c r="AA49" s="38"/>
    </row>
    <row r="50">
      <c r="A50" s="48">
        <v>46.0</v>
      </c>
      <c r="B50" s="49" t="s">
        <v>516</v>
      </c>
      <c r="C50" s="50" t="s">
        <v>304</v>
      </c>
      <c r="D50" s="51" t="s">
        <v>517</v>
      </c>
      <c r="E50" s="52" t="s">
        <v>518</v>
      </c>
      <c r="F50" s="53"/>
      <c r="G50" s="48" t="s">
        <v>519</v>
      </c>
      <c r="H50" s="50" t="s">
        <v>421</v>
      </c>
      <c r="I50" s="50" t="s">
        <v>520</v>
      </c>
      <c r="J50" s="60" t="s">
        <v>521</v>
      </c>
      <c r="K50" s="38"/>
      <c r="L50" s="48" t="s">
        <v>302</v>
      </c>
      <c r="M50" s="38"/>
      <c r="N50" s="38"/>
      <c r="O50" s="38"/>
      <c r="P50" s="38"/>
      <c r="Q50" s="38"/>
      <c r="R50" s="38"/>
      <c r="S50" s="38"/>
      <c r="T50" s="38"/>
      <c r="U50" s="38"/>
      <c r="V50" s="38"/>
      <c r="W50" s="38"/>
      <c r="X50" s="38"/>
      <c r="Y50" s="38"/>
      <c r="Z50" s="38"/>
      <c r="AA50" s="38"/>
    </row>
    <row r="51">
      <c r="A51" s="48">
        <v>47.0</v>
      </c>
      <c r="B51" s="49" t="s">
        <v>522</v>
      </c>
      <c r="C51" s="50" t="s">
        <v>304</v>
      </c>
      <c r="D51" s="54" t="s">
        <v>523</v>
      </c>
      <c r="E51" s="65" t="s">
        <v>524</v>
      </c>
      <c r="F51" s="53"/>
      <c r="G51" s="48" t="s">
        <v>525</v>
      </c>
      <c r="H51" s="50" t="s">
        <v>526</v>
      </c>
      <c r="I51" s="50" t="s">
        <v>527</v>
      </c>
      <c r="J51" s="38"/>
      <c r="K51" s="38"/>
      <c r="L51" s="48" t="s">
        <v>302</v>
      </c>
      <c r="M51" s="38"/>
      <c r="N51" s="38"/>
      <c r="O51" s="38"/>
      <c r="P51" s="38"/>
      <c r="Q51" s="38"/>
      <c r="R51" s="38"/>
      <c r="S51" s="38"/>
      <c r="T51" s="38"/>
      <c r="U51" s="38"/>
      <c r="V51" s="38"/>
      <c r="W51" s="38"/>
      <c r="X51" s="38"/>
      <c r="Y51" s="38"/>
      <c r="Z51" s="38"/>
      <c r="AA51" s="38"/>
    </row>
    <row r="52">
      <c r="A52" s="48">
        <v>48.0</v>
      </c>
      <c r="B52" s="49" t="s">
        <v>528</v>
      </c>
      <c r="C52" s="50" t="s">
        <v>296</v>
      </c>
      <c r="D52" s="54" t="s">
        <v>529</v>
      </c>
      <c r="E52" s="57" t="s">
        <v>530</v>
      </c>
      <c r="F52" s="53" t="s">
        <v>531</v>
      </c>
      <c r="G52" s="48" t="s">
        <v>532</v>
      </c>
      <c r="H52" s="50" t="s">
        <v>421</v>
      </c>
      <c r="I52" s="50" t="s">
        <v>533</v>
      </c>
      <c r="J52" s="60" t="s">
        <v>534</v>
      </c>
      <c r="K52" s="38"/>
      <c r="L52" s="48" t="s">
        <v>302</v>
      </c>
      <c r="M52" s="38"/>
      <c r="N52" s="38"/>
      <c r="O52" s="38"/>
      <c r="P52" s="38"/>
      <c r="Q52" s="38"/>
      <c r="R52" s="38"/>
      <c r="S52" s="38"/>
      <c r="T52" s="38"/>
      <c r="U52" s="38"/>
      <c r="V52" s="38"/>
      <c r="W52" s="38"/>
      <c r="X52" s="38"/>
      <c r="Y52" s="38"/>
      <c r="Z52" s="38"/>
      <c r="AA52" s="38"/>
    </row>
    <row r="53">
      <c r="A53" s="48">
        <v>49.0</v>
      </c>
      <c r="B53" s="49" t="s">
        <v>535</v>
      </c>
      <c r="C53" s="50" t="s">
        <v>304</v>
      </c>
      <c r="D53" s="51"/>
      <c r="E53" s="66"/>
      <c r="F53" s="53"/>
      <c r="G53" s="48" t="s">
        <v>536</v>
      </c>
      <c r="H53" s="50" t="s">
        <v>421</v>
      </c>
      <c r="I53" s="50" t="s">
        <v>537</v>
      </c>
      <c r="J53" s="38"/>
      <c r="K53" s="38"/>
      <c r="L53" s="48" t="s">
        <v>302</v>
      </c>
      <c r="M53" s="38"/>
      <c r="N53" s="38"/>
      <c r="O53" s="38"/>
      <c r="P53" s="38"/>
      <c r="Q53" s="38"/>
      <c r="R53" s="38"/>
      <c r="S53" s="38"/>
      <c r="T53" s="38"/>
      <c r="U53" s="38"/>
      <c r="V53" s="38"/>
      <c r="W53" s="38"/>
      <c r="X53" s="38"/>
      <c r="Y53" s="38"/>
      <c r="Z53" s="38"/>
      <c r="AA53" s="38"/>
    </row>
    <row r="54">
      <c r="A54" s="48">
        <v>50.0</v>
      </c>
      <c r="B54" s="49" t="s">
        <v>538</v>
      </c>
      <c r="C54" s="50" t="s">
        <v>347</v>
      </c>
      <c r="D54" s="51" t="s">
        <v>539</v>
      </c>
      <c r="E54" s="66"/>
      <c r="F54" s="53"/>
      <c r="G54" s="48" t="s">
        <v>540</v>
      </c>
      <c r="H54" s="50" t="s">
        <v>421</v>
      </c>
      <c r="I54" s="50" t="s">
        <v>541</v>
      </c>
      <c r="J54" s="38"/>
      <c r="K54" s="38"/>
      <c r="L54" s="48" t="s">
        <v>302</v>
      </c>
      <c r="M54" s="38"/>
      <c r="N54" s="38"/>
      <c r="O54" s="38"/>
      <c r="P54" s="38"/>
      <c r="Q54" s="38"/>
      <c r="R54" s="38"/>
      <c r="S54" s="38"/>
      <c r="T54" s="38"/>
      <c r="U54" s="38"/>
      <c r="V54" s="38"/>
      <c r="W54" s="38"/>
      <c r="X54" s="38"/>
      <c r="Y54" s="38"/>
      <c r="Z54" s="38"/>
      <c r="AA54" s="38"/>
    </row>
    <row r="55">
      <c r="A55" s="48">
        <v>51.0</v>
      </c>
      <c r="B55" s="49" t="s">
        <v>542</v>
      </c>
      <c r="C55" s="50" t="s">
        <v>304</v>
      </c>
      <c r="D55" s="54" t="s">
        <v>543</v>
      </c>
      <c r="E55" s="52" t="s">
        <v>544</v>
      </c>
      <c r="F55" s="53"/>
      <c r="G55" s="48" t="s">
        <v>545</v>
      </c>
      <c r="H55" s="50" t="s">
        <v>332</v>
      </c>
      <c r="I55" s="50" t="s">
        <v>351</v>
      </c>
      <c r="J55" s="38"/>
      <c r="K55" s="38"/>
      <c r="L55" s="48" t="s">
        <v>302</v>
      </c>
      <c r="M55" s="38"/>
      <c r="N55" s="38"/>
      <c r="O55" s="38"/>
      <c r="P55" s="38"/>
      <c r="Q55" s="38"/>
      <c r="R55" s="38"/>
      <c r="S55" s="38"/>
      <c r="T55" s="38"/>
      <c r="U55" s="38"/>
      <c r="V55" s="38"/>
      <c r="W55" s="38"/>
      <c r="X55" s="38"/>
      <c r="Y55" s="38"/>
      <c r="Z55" s="38"/>
      <c r="AA55" s="38"/>
    </row>
    <row r="56">
      <c r="A56" s="48">
        <v>52.0</v>
      </c>
      <c r="B56" s="49" t="s">
        <v>546</v>
      </c>
      <c r="C56" s="50" t="s">
        <v>304</v>
      </c>
      <c r="D56" s="51" t="s">
        <v>547</v>
      </c>
      <c r="E56" s="67" t="s">
        <v>548</v>
      </c>
      <c r="F56" s="53"/>
      <c r="G56" s="48" t="s">
        <v>549</v>
      </c>
      <c r="H56" s="50" t="s">
        <v>421</v>
      </c>
      <c r="I56" s="50" t="s">
        <v>541</v>
      </c>
      <c r="J56" s="60" t="s">
        <v>550</v>
      </c>
      <c r="K56" s="38"/>
      <c r="L56" s="48" t="s">
        <v>302</v>
      </c>
      <c r="M56" s="38"/>
      <c r="N56" s="38"/>
      <c r="O56" s="38"/>
      <c r="P56" s="38"/>
      <c r="Q56" s="38"/>
      <c r="R56" s="38"/>
      <c r="S56" s="38"/>
      <c r="T56" s="38"/>
      <c r="U56" s="38"/>
      <c r="V56" s="38"/>
      <c r="W56" s="38"/>
      <c r="X56" s="38"/>
      <c r="Y56" s="38"/>
      <c r="Z56" s="38"/>
      <c r="AA56" s="38"/>
    </row>
    <row r="57">
      <c r="A57" s="48">
        <v>53.0</v>
      </c>
      <c r="B57" s="49" t="s">
        <v>551</v>
      </c>
      <c r="C57" s="50" t="s">
        <v>304</v>
      </c>
      <c r="D57" s="51" t="s">
        <v>552</v>
      </c>
      <c r="E57" s="52" t="s">
        <v>553</v>
      </c>
      <c r="F57" s="53"/>
      <c r="G57" s="48" t="s">
        <v>554</v>
      </c>
      <c r="H57" s="50" t="s">
        <v>300</v>
      </c>
      <c r="I57" s="50" t="s">
        <v>555</v>
      </c>
      <c r="J57" s="38"/>
      <c r="K57" s="38"/>
      <c r="L57" s="48" t="s">
        <v>302</v>
      </c>
      <c r="M57" s="38"/>
      <c r="N57" s="38"/>
      <c r="O57" s="38"/>
      <c r="P57" s="38"/>
      <c r="Q57" s="38"/>
      <c r="R57" s="38"/>
      <c r="S57" s="38"/>
      <c r="T57" s="38"/>
      <c r="U57" s="38"/>
      <c r="V57" s="38"/>
      <c r="W57" s="38"/>
      <c r="X57" s="38"/>
      <c r="Y57" s="38"/>
      <c r="Z57" s="38"/>
      <c r="AA57" s="38"/>
    </row>
    <row r="58">
      <c r="A58" s="48">
        <v>54.0</v>
      </c>
      <c r="B58" s="49" t="s">
        <v>556</v>
      </c>
      <c r="C58" s="50" t="s">
        <v>304</v>
      </c>
      <c r="D58" s="51" t="s">
        <v>557</v>
      </c>
      <c r="E58" s="66"/>
      <c r="F58" s="53"/>
      <c r="G58" s="48" t="s">
        <v>558</v>
      </c>
      <c r="H58" s="50" t="s">
        <v>300</v>
      </c>
      <c r="I58" s="50" t="s">
        <v>537</v>
      </c>
      <c r="J58" s="38"/>
      <c r="K58" s="38"/>
      <c r="L58" s="48" t="s">
        <v>302</v>
      </c>
      <c r="M58" s="38"/>
      <c r="N58" s="38"/>
      <c r="O58" s="38"/>
      <c r="P58" s="38"/>
      <c r="Q58" s="38"/>
      <c r="R58" s="38"/>
      <c r="S58" s="38"/>
      <c r="T58" s="38"/>
      <c r="U58" s="38"/>
      <c r="V58" s="38"/>
      <c r="W58" s="38"/>
      <c r="X58" s="38"/>
      <c r="Y58" s="38"/>
      <c r="Z58" s="38"/>
      <c r="AA58" s="38"/>
    </row>
    <row r="59">
      <c r="A59" s="48">
        <v>55.0</v>
      </c>
      <c r="B59" s="49" t="s">
        <v>559</v>
      </c>
      <c r="C59" s="50" t="s">
        <v>304</v>
      </c>
      <c r="D59" s="51" t="s">
        <v>560</v>
      </c>
      <c r="E59" s="67" t="s">
        <v>561</v>
      </c>
      <c r="F59" s="53"/>
      <c r="G59" s="48" t="s">
        <v>562</v>
      </c>
      <c r="H59" s="50" t="s">
        <v>300</v>
      </c>
      <c r="I59" s="50" t="s">
        <v>537</v>
      </c>
      <c r="J59" s="38"/>
      <c r="K59" s="38"/>
      <c r="L59" s="48" t="s">
        <v>302</v>
      </c>
      <c r="M59" s="38"/>
      <c r="N59" s="38"/>
      <c r="O59" s="38"/>
      <c r="P59" s="38"/>
      <c r="Q59" s="38"/>
      <c r="R59" s="38"/>
      <c r="S59" s="38"/>
      <c r="T59" s="38"/>
      <c r="U59" s="38"/>
      <c r="V59" s="38"/>
      <c r="W59" s="38"/>
      <c r="X59" s="38"/>
      <c r="Y59" s="38"/>
      <c r="Z59" s="38"/>
      <c r="AA59" s="38"/>
    </row>
    <row r="60">
      <c r="A60" s="48">
        <v>56.0</v>
      </c>
      <c r="B60" s="49" t="s">
        <v>563</v>
      </c>
      <c r="C60" s="50" t="s">
        <v>296</v>
      </c>
      <c r="D60" s="51" t="s">
        <v>498</v>
      </c>
      <c r="E60" s="57" t="s">
        <v>564</v>
      </c>
      <c r="F60" s="53"/>
      <c r="G60" s="48" t="s">
        <v>565</v>
      </c>
      <c r="H60" s="50" t="s">
        <v>300</v>
      </c>
      <c r="I60" s="50" t="s">
        <v>566</v>
      </c>
      <c r="J60" s="38"/>
      <c r="K60" s="38"/>
      <c r="L60" s="48" t="s">
        <v>302</v>
      </c>
      <c r="M60" s="38"/>
      <c r="N60" s="38"/>
      <c r="O60" s="38"/>
      <c r="P60" s="38"/>
      <c r="Q60" s="38"/>
      <c r="R60" s="38"/>
      <c r="S60" s="38"/>
      <c r="T60" s="38"/>
      <c r="U60" s="38"/>
      <c r="V60" s="38"/>
      <c r="W60" s="38"/>
      <c r="X60" s="38"/>
      <c r="Y60" s="38"/>
      <c r="Z60" s="38"/>
      <c r="AA60" s="38"/>
    </row>
    <row r="61">
      <c r="A61" s="48">
        <v>57.0</v>
      </c>
      <c r="B61" s="49" t="s">
        <v>567</v>
      </c>
      <c r="C61" s="50" t="s">
        <v>304</v>
      </c>
      <c r="D61" s="51" t="s">
        <v>568</v>
      </c>
      <c r="E61" s="57" t="s">
        <v>569</v>
      </c>
      <c r="F61" s="53"/>
      <c r="G61" s="48" t="s">
        <v>570</v>
      </c>
      <c r="H61" s="50" t="s">
        <v>300</v>
      </c>
      <c r="I61" s="50" t="s">
        <v>422</v>
      </c>
      <c r="J61" s="38"/>
      <c r="K61" s="38"/>
      <c r="L61" s="48" t="s">
        <v>302</v>
      </c>
      <c r="M61" s="38"/>
      <c r="N61" s="38"/>
      <c r="O61" s="38"/>
      <c r="P61" s="38"/>
      <c r="Q61" s="38"/>
      <c r="R61" s="38"/>
      <c r="S61" s="38"/>
      <c r="T61" s="38"/>
      <c r="U61" s="38"/>
      <c r="V61" s="38"/>
      <c r="W61" s="38"/>
      <c r="X61" s="38"/>
      <c r="Y61" s="38"/>
      <c r="Z61" s="38"/>
      <c r="AA61" s="38"/>
    </row>
    <row r="62">
      <c r="A62" s="48">
        <v>58.0</v>
      </c>
      <c r="B62" s="49" t="s">
        <v>571</v>
      </c>
      <c r="C62" s="50" t="s">
        <v>304</v>
      </c>
      <c r="D62" s="51" t="s">
        <v>568</v>
      </c>
      <c r="E62" s="65" t="s">
        <v>572</v>
      </c>
      <c r="F62" s="53"/>
      <c r="G62" s="48" t="s">
        <v>573</v>
      </c>
      <c r="H62" s="50" t="s">
        <v>300</v>
      </c>
      <c r="I62" s="50" t="s">
        <v>520</v>
      </c>
      <c r="J62" s="49"/>
      <c r="K62" s="38"/>
      <c r="L62" s="48" t="s">
        <v>302</v>
      </c>
      <c r="M62" s="38"/>
      <c r="N62" s="38"/>
      <c r="O62" s="38"/>
      <c r="P62" s="38"/>
      <c r="Q62" s="38"/>
      <c r="R62" s="38"/>
      <c r="S62" s="38"/>
      <c r="T62" s="38"/>
      <c r="U62" s="38"/>
      <c r="V62" s="38"/>
      <c r="W62" s="38"/>
      <c r="X62" s="38"/>
      <c r="Y62" s="38"/>
      <c r="Z62" s="38"/>
      <c r="AA62" s="38"/>
    </row>
    <row r="63">
      <c r="A63" s="48">
        <v>59.0</v>
      </c>
      <c r="B63" s="49" t="s">
        <v>574</v>
      </c>
      <c r="C63" s="50" t="s">
        <v>304</v>
      </c>
      <c r="D63" s="51" t="s">
        <v>575</v>
      </c>
      <c r="E63" s="65" t="s">
        <v>576</v>
      </c>
      <c r="F63" s="53" t="s">
        <v>577</v>
      </c>
      <c r="G63" s="68" t="s">
        <v>578</v>
      </c>
      <c r="H63" s="50" t="s">
        <v>300</v>
      </c>
      <c r="I63" s="50" t="s">
        <v>537</v>
      </c>
      <c r="J63" s="60" t="s">
        <v>579</v>
      </c>
      <c r="K63" s="38"/>
      <c r="L63" s="48" t="s">
        <v>302</v>
      </c>
      <c r="M63" s="38"/>
      <c r="N63" s="38"/>
      <c r="O63" s="38"/>
      <c r="P63" s="38"/>
      <c r="Q63" s="38"/>
      <c r="R63" s="38"/>
      <c r="S63" s="38"/>
      <c r="T63" s="38"/>
      <c r="U63" s="38"/>
      <c r="V63" s="38"/>
      <c r="W63" s="38"/>
      <c r="X63" s="38"/>
      <c r="Y63" s="38"/>
      <c r="Z63" s="38"/>
      <c r="AA63" s="38"/>
    </row>
    <row r="64">
      <c r="A64" s="48">
        <v>60.0</v>
      </c>
      <c r="B64" s="49" t="s">
        <v>580</v>
      </c>
      <c r="C64" s="50" t="s">
        <v>304</v>
      </c>
      <c r="D64" s="51"/>
      <c r="E64" s="57" t="s">
        <v>459</v>
      </c>
      <c r="F64" s="53"/>
      <c r="G64" s="48" t="s">
        <v>581</v>
      </c>
      <c r="H64" s="50" t="s">
        <v>300</v>
      </c>
      <c r="I64" s="50" t="s">
        <v>422</v>
      </c>
      <c r="J64" s="59">
        <v>7.9193028617E10</v>
      </c>
      <c r="K64" s="38"/>
      <c r="L64" s="48" t="s">
        <v>302</v>
      </c>
      <c r="M64" s="38"/>
      <c r="N64" s="38"/>
      <c r="O64" s="38"/>
      <c r="P64" s="38"/>
      <c r="Q64" s="38"/>
      <c r="R64" s="38"/>
      <c r="S64" s="38"/>
      <c r="T64" s="38"/>
      <c r="U64" s="38"/>
      <c r="V64" s="38"/>
      <c r="W64" s="38"/>
      <c r="X64" s="38"/>
      <c r="Y64" s="38"/>
      <c r="Z64" s="38"/>
      <c r="AA64" s="38"/>
    </row>
    <row r="65">
      <c r="A65" s="48">
        <v>61.0</v>
      </c>
      <c r="B65" s="49" t="s">
        <v>582</v>
      </c>
      <c r="C65" s="50" t="s">
        <v>304</v>
      </c>
      <c r="D65" s="51"/>
      <c r="E65" s="57" t="s">
        <v>583</v>
      </c>
      <c r="F65" s="53"/>
      <c r="G65" s="48" t="s">
        <v>584</v>
      </c>
      <c r="H65" s="50" t="s">
        <v>300</v>
      </c>
      <c r="I65" s="50" t="s">
        <v>585</v>
      </c>
      <c r="J65" s="38"/>
      <c r="K65" s="38"/>
      <c r="L65" s="48" t="s">
        <v>302</v>
      </c>
      <c r="M65" s="38"/>
      <c r="N65" s="38"/>
      <c r="O65" s="38"/>
      <c r="P65" s="38"/>
      <c r="Q65" s="38"/>
      <c r="R65" s="38"/>
      <c r="S65" s="38"/>
      <c r="T65" s="38"/>
      <c r="U65" s="38"/>
      <c r="V65" s="38"/>
      <c r="W65" s="38"/>
      <c r="X65" s="38"/>
      <c r="Y65" s="38"/>
      <c r="Z65" s="38"/>
      <c r="AA65" s="38"/>
    </row>
    <row r="66">
      <c r="A66" s="48">
        <v>62.0</v>
      </c>
      <c r="B66" s="49" t="s">
        <v>586</v>
      </c>
      <c r="C66" s="50" t="s">
        <v>304</v>
      </c>
      <c r="D66" s="54" t="s">
        <v>587</v>
      </c>
      <c r="E66" s="57" t="s">
        <v>588</v>
      </c>
      <c r="F66" s="53"/>
      <c r="G66" s="48" t="s">
        <v>589</v>
      </c>
      <c r="H66" s="50" t="s">
        <v>390</v>
      </c>
      <c r="I66" s="50" t="s">
        <v>590</v>
      </c>
      <c r="J66" s="38"/>
      <c r="K66" s="38"/>
      <c r="L66" s="48" t="s">
        <v>302</v>
      </c>
      <c r="M66" s="38"/>
      <c r="N66" s="38"/>
      <c r="O66" s="38"/>
      <c r="P66" s="38"/>
      <c r="Q66" s="38"/>
      <c r="R66" s="38"/>
      <c r="S66" s="38"/>
      <c r="T66" s="38"/>
      <c r="U66" s="38"/>
      <c r="V66" s="38"/>
      <c r="W66" s="38"/>
      <c r="X66" s="38"/>
      <c r="Y66" s="38"/>
      <c r="Z66" s="38"/>
      <c r="AA66" s="38"/>
    </row>
    <row r="67">
      <c r="A67" s="48">
        <v>63.0</v>
      </c>
      <c r="B67" s="49" t="s">
        <v>591</v>
      </c>
      <c r="C67" s="50" t="s">
        <v>296</v>
      </c>
      <c r="D67" s="51"/>
      <c r="E67" s="57" t="s">
        <v>592</v>
      </c>
      <c r="F67" s="53"/>
      <c r="G67" s="48" t="s">
        <v>593</v>
      </c>
      <c r="H67" s="50" t="s">
        <v>300</v>
      </c>
      <c r="I67" s="50" t="s">
        <v>566</v>
      </c>
      <c r="J67" s="59" t="s">
        <v>594</v>
      </c>
      <c r="K67" s="38"/>
      <c r="L67" s="48" t="s">
        <v>302</v>
      </c>
      <c r="M67" s="38"/>
      <c r="N67" s="38"/>
      <c r="O67" s="38"/>
      <c r="P67" s="38"/>
      <c r="Q67" s="38"/>
      <c r="R67" s="38"/>
      <c r="S67" s="38"/>
      <c r="T67" s="38"/>
      <c r="U67" s="38"/>
      <c r="V67" s="38"/>
      <c r="W67" s="38"/>
      <c r="X67" s="38"/>
      <c r="Y67" s="38"/>
      <c r="Z67" s="38"/>
      <c r="AA67" s="38"/>
    </row>
    <row r="68">
      <c r="A68" s="48">
        <v>64.0</v>
      </c>
      <c r="B68" s="49" t="s">
        <v>595</v>
      </c>
      <c r="C68" s="50" t="s">
        <v>296</v>
      </c>
      <c r="D68" s="51" t="s">
        <v>596</v>
      </c>
      <c r="E68" s="52" t="s">
        <v>597</v>
      </c>
      <c r="F68" s="53"/>
      <c r="G68" s="49" t="s">
        <v>598</v>
      </c>
      <c r="H68" s="50" t="s">
        <v>300</v>
      </c>
      <c r="I68" s="50" t="s">
        <v>555</v>
      </c>
      <c r="J68" s="38"/>
      <c r="K68" s="38"/>
      <c r="L68" s="48" t="s">
        <v>302</v>
      </c>
      <c r="M68" s="38"/>
      <c r="N68" s="38"/>
      <c r="O68" s="38"/>
      <c r="P68" s="38"/>
      <c r="Q68" s="38"/>
      <c r="R68" s="38"/>
      <c r="S68" s="38"/>
      <c r="T68" s="38"/>
      <c r="U68" s="38"/>
      <c r="V68" s="38"/>
      <c r="W68" s="38"/>
      <c r="X68" s="38"/>
      <c r="Y68" s="38"/>
      <c r="Z68" s="38"/>
      <c r="AA68" s="38"/>
    </row>
    <row r="69">
      <c r="A69" s="48">
        <v>65.0</v>
      </c>
      <c r="B69" s="49" t="s">
        <v>599</v>
      </c>
      <c r="C69" s="50" t="s">
        <v>304</v>
      </c>
      <c r="D69" s="51" t="s">
        <v>600</v>
      </c>
      <c r="E69" s="52" t="s">
        <v>601</v>
      </c>
      <c r="F69" s="53"/>
      <c r="G69" s="48" t="s">
        <v>602</v>
      </c>
      <c r="H69" s="50" t="s">
        <v>300</v>
      </c>
      <c r="I69" s="50" t="s">
        <v>603</v>
      </c>
      <c r="J69" s="38"/>
      <c r="K69" s="38"/>
      <c r="L69" s="48" t="s">
        <v>302</v>
      </c>
      <c r="M69" s="38"/>
      <c r="N69" s="38"/>
      <c r="O69" s="38"/>
      <c r="P69" s="38"/>
      <c r="Q69" s="38"/>
      <c r="R69" s="38"/>
      <c r="S69" s="38"/>
      <c r="T69" s="38"/>
      <c r="U69" s="38"/>
      <c r="V69" s="38"/>
      <c r="W69" s="38"/>
      <c r="X69" s="38"/>
      <c r="Y69" s="38"/>
      <c r="Z69" s="38"/>
      <c r="AA69" s="38"/>
    </row>
    <row r="70">
      <c r="A70" s="48">
        <v>66.0</v>
      </c>
      <c r="B70" s="49" t="s">
        <v>604</v>
      </c>
      <c r="C70" s="50" t="s">
        <v>304</v>
      </c>
      <c r="D70" s="51" t="s">
        <v>605</v>
      </c>
      <c r="E70" s="52" t="s">
        <v>606</v>
      </c>
      <c r="F70" s="53" t="s">
        <v>607</v>
      </c>
      <c r="G70" s="49" t="s">
        <v>608</v>
      </c>
      <c r="H70" s="50" t="s">
        <v>300</v>
      </c>
      <c r="I70" s="50" t="s">
        <v>555</v>
      </c>
      <c r="J70" s="60" t="s">
        <v>609</v>
      </c>
      <c r="K70" s="38"/>
      <c r="L70" s="48" t="s">
        <v>302</v>
      </c>
      <c r="M70" s="38"/>
      <c r="N70" s="38"/>
      <c r="O70" s="38"/>
      <c r="P70" s="38"/>
      <c r="Q70" s="38"/>
      <c r="R70" s="38"/>
      <c r="S70" s="38"/>
      <c r="T70" s="38"/>
      <c r="U70" s="38"/>
      <c r="V70" s="38"/>
      <c r="W70" s="38"/>
      <c r="X70" s="38"/>
      <c r="Y70" s="38"/>
      <c r="Z70" s="38"/>
      <c r="AA70" s="38"/>
    </row>
    <row r="71">
      <c r="A71" s="48">
        <v>67.0</v>
      </c>
      <c r="B71" s="49" t="s">
        <v>610</v>
      </c>
      <c r="C71" s="50" t="s">
        <v>296</v>
      </c>
      <c r="D71" s="51"/>
      <c r="E71" s="66"/>
      <c r="F71" s="53"/>
      <c r="G71" s="48" t="s">
        <v>611</v>
      </c>
      <c r="H71" s="50" t="s">
        <v>300</v>
      </c>
      <c r="I71" s="50" t="s">
        <v>537</v>
      </c>
      <c r="J71" s="38"/>
      <c r="K71" s="38"/>
      <c r="L71" s="48" t="s">
        <v>302</v>
      </c>
      <c r="M71" s="38"/>
      <c r="N71" s="38"/>
      <c r="O71" s="38"/>
      <c r="P71" s="38"/>
      <c r="Q71" s="38"/>
      <c r="R71" s="38"/>
      <c r="S71" s="38"/>
      <c r="T71" s="38"/>
      <c r="U71" s="38"/>
      <c r="V71" s="38"/>
      <c r="W71" s="38"/>
      <c r="X71" s="38"/>
      <c r="Y71" s="38"/>
      <c r="Z71" s="38"/>
      <c r="AA71" s="38"/>
    </row>
    <row r="72">
      <c r="A72" s="48">
        <v>68.0</v>
      </c>
      <c r="B72" s="49" t="s">
        <v>612</v>
      </c>
      <c r="C72" s="50" t="s">
        <v>296</v>
      </c>
      <c r="D72" s="51" t="s">
        <v>613</v>
      </c>
      <c r="E72" s="57" t="s">
        <v>614</v>
      </c>
      <c r="F72" s="53"/>
      <c r="G72" s="48" t="s">
        <v>615</v>
      </c>
      <c r="H72" s="50" t="s">
        <v>300</v>
      </c>
      <c r="I72" s="50" t="s">
        <v>555</v>
      </c>
      <c r="J72" s="38"/>
      <c r="K72" s="38"/>
      <c r="L72" s="48" t="s">
        <v>302</v>
      </c>
      <c r="M72" s="38"/>
      <c r="N72" s="38"/>
      <c r="O72" s="38"/>
      <c r="P72" s="38"/>
      <c r="Q72" s="38"/>
      <c r="R72" s="38"/>
      <c r="S72" s="38"/>
      <c r="T72" s="38"/>
      <c r="U72" s="38"/>
      <c r="V72" s="38"/>
      <c r="W72" s="38"/>
      <c r="X72" s="38"/>
      <c r="Y72" s="38"/>
      <c r="Z72" s="38"/>
      <c r="AA72" s="38"/>
    </row>
    <row r="73">
      <c r="A73" s="48">
        <v>69.0</v>
      </c>
      <c r="B73" s="49" t="s">
        <v>616</v>
      </c>
      <c r="C73" s="50" t="s">
        <v>304</v>
      </c>
      <c r="D73" s="54" t="s">
        <v>523</v>
      </c>
      <c r="E73" s="57" t="s">
        <v>617</v>
      </c>
      <c r="F73" s="53"/>
      <c r="G73" s="48" t="s">
        <v>618</v>
      </c>
      <c r="H73" s="50" t="s">
        <v>300</v>
      </c>
      <c r="I73" s="50" t="s">
        <v>566</v>
      </c>
      <c r="J73" s="38"/>
      <c r="K73" s="38"/>
      <c r="L73" s="48" t="s">
        <v>302</v>
      </c>
      <c r="M73" s="38"/>
      <c r="N73" s="38"/>
      <c r="O73" s="38"/>
      <c r="P73" s="38"/>
      <c r="Q73" s="38"/>
      <c r="R73" s="38"/>
      <c r="S73" s="38"/>
      <c r="T73" s="38"/>
      <c r="U73" s="38"/>
      <c r="V73" s="38"/>
      <c r="W73" s="38"/>
      <c r="X73" s="38"/>
      <c r="Y73" s="38"/>
      <c r="Z73" s="38"/>
      <c r="AA73" s="38"/>
    </row>
    <row r="74">
      <c r="A74" s="48">
        <v>70.0</v>
      </c>
      <c r="B74" s="49" t="s">
        <v>619</v>
      </c>
      <c r="C74" s="50" t="s">
        <v>296</v>
      </c>
      <c r="D74" s="51" t="s">
        <v>620</v>
      </c>
      <c r="E74" s="52" t="s">
        <v>621</v>
      </c>
      <c r="F74" s="53"/>
      <c r="G74" s="48" t="s">
        <v>622</v>
      </c>
      <c r="H74" s="50" t="s">
        <v>300</v>
      </c>
      <c r="I74" s="50" t="s">
        <v>623</v>
      </c>
      <c r="J74" s="38"/>
      <c r="K74" s="38"/>
      <c r="L74" s="48" t="s">
        <v>302</v>
      </c>
      <c r="M74" s="38"/>
      <c r="N74" s="38"/>
      <c r="O74" s="38"/>
      <c r="P74" s="38"/>
      <c r="Q74" s="38"/>
      <c r="R74" s="38"/>
      <c r="S74" s="38"/>
      <c r="T74" s="38"/>
      <c r="U74" s="38"/>
      <c r="V74" s="38"/>
      <c r="W74" s="38"/>
      <c r="X74" s="38"/>
      <c r="Y74" s="38"/>
      <c r="Z74" s="38"/>
      <c r="AA74" s="38"/>
    </row>
    <row r="75">
      <c r="A75" s="48">
        <v>71.0</v>
      </c>
      <c r="B75" s="49" t="s">
        <v>624</v>
      </c>
      <c r="C75" s="50" t="s">
        <v>304</v>
      </c>
      <c r="D75" s="51" t="s">
        <v>625</v>
      </c>
      <c r="E75" s="57" t="s">
        <v>626</v>
      </c>
      <c r="F75" s="53"/>
      <c r="G75" s="48" t="s">
        <v>627</v>
      </c>
      <c r="H75" s="50" t="s">
        <v>300</v>
      </c>
      <c r="I75" s="50" t="s">
        <v>422</v>
      </c>
      <c r="J75" s="38"/>
      <c r="K75" s="38"/>
      <c r="L75" s="48" t="s">
        <v>302</v>
      </c>
      <c r="M75" s="38"/>
      <c r="N75" s="38"/>
      <c r="O75" s="38"/>
      <c r="P75" s="38"/>
      <c r="Q75" s="38"/>
      <c r="R75" s="38"/>
      <c r="S75" s="38"/>
      <c r="T75" s="38"/>
      <c r="U75" s="38"/>
      <c r="V75" s="38"/>
      <c r="W75" s="38"/>
      <c r="X75" s="38"/>
      <c r="Y75" s="38"/>
      <c r="Z75" s="38"/>
      <c r="AA75" s="38"/>
    </row>
    <row r="76">
      <c r="A76" s="48">
        <v>72.0</v>
      </c>
      <c r="B76" s="49" t="s">
        <v>628</v>
      </c>
      <c r="C76" s="50" t="s">
        <v>304</v>
      </c>
      <c r="D76" s="51" t="s">
        <v>629</v>
      </c>
      <c r="E76" s="52" t="s">
        <v>474</v>
      </c>
      <c r="F76" s="53"/>
      <c r="G76" s="48" t="s">
        <v>630</v>
      </c>
      <c r="H76" s="50" t="s">
        <v>300</v>
      </c>
      <c r="I76" s="50" t="s">
        <v>422</v>
      </c>
      <c r="J76" s="38"/>
      <c r="K76" s="38"/>
      <c r="L76" s="48" t="s">
        <v>302</v>
      </c>
      <c r="M76" s="38"/>
      <c r="N76" s="38"/>
      <c r="O76" s="38"/>
      <c r="P76" s="38"/>
      <c r="Q76" s="38"/>
      <c r="R76" s="38"/>
      <c r="S76" s="38"/>
      <c r="T76" s="38"/>
      <c r="U76" s="38"/>
      <c r="V76" s="38"/>
      <c r="W76" s="38"/>
      <c r="X76" s="38"/>
      <c r="Y76" s="38"/>
      <c r="Z76" s="38"/>
      <c r="AA76" s="38"/>
    </row>
    <row r="77">
      <c r="A77" s="48">
        <v>73.0</v>
      </c>
      <c r="B77" s="49" t="s">
        <v>631</v>
      </c>
      <c r="C77" s="50" t="s">
        <v>296</v>
      </c>
      <c r="D77" s="51"/>
      <c r="E77" s="57" t="s">
        <v>632</v>
      </c>
      <c r="F77" s="53"/>
      <c r="G77" s="48" t="s">
        <v>633</v>
      </c>
      <c r="H77" s="50" t="s">
        <v>300</v>
      </c>
      <c r="I77" s="50" t="s">
        <v>422</v>
      </c>
      <c r="J77" s="38"/>
      <c r="K77" s="38"/>
      <c r="L77" s="48" t="s">
        <v>302</v>
      </c>
      <c r="M77" s="38"/>
      <c r="N77" s="38"/>
      <c r="O77" s="38"/>
      <c r="P77" s="38"/>
      <c r="Q77" s="38"/>
      <c r="R77" s="38"/>
      <c r="S77" s="38"/>
      <c r="T77" s="38"/>
      <c r="U77" s="38"/>
      <c r="V77" s="38"/>
      <c r="W77" s="38"/>
      <c r="X77" s="38"/>
      <c r="Y77" s="38"/>
      <c r="Z77" s="38"/>
      <c r="AA77" s="38"/>
    </row>
    <row r="78">
      <c r="A78" s="48">
        <v>74.0</v>
      </c>
      <c r="B78" s="49" t="s">
        <v>634</v>
      </c>
      <c r="C78" s="50" t="s">
        <v>304</v>
      </c>
      <c r="D78" s="51" t="s">
        <v>635</v>
      </c>
      <c r="E78" s="52" t="s">
        <v>636</v>
      </c>
      <c r="F78" s="53"/>
      <c r="G78" s="48" t="s">
        <v>637</v>
      </c>
      <c r="H78" s="50" t="s">
        <v>300</v>
      </c>
      <c r="I78" s="50" t="s">
        <v>638</v>
      </c>
      <c r="J78" s="38"/>
      <c r="K78" s="38"/>
      <c r="L78" s="48" t="s">
        <v>302</v>
      </c>
      <c r="M78" s="38"/>
      <c r="N78" s="38"/>
      <c r="O78" s="38"/>
      <c r="P78" s="38"/>
      <c r="Q78" s="38"/>
      <c r="R78" s="38"/>
      <c r="S78" s="38"/>
      <c r="T78" s="38"/>
      <c r="U78" s="38"/>
      <c r="V78" s="38"/>
      <c r="W78" s="38"/>
      <c r="X78" s="38"/>
      <c r="Y78" s="38"/>
      <c r="Z78" s="38"/>
      <c r="AA78" s="38"/>
    </row>
    <row r="79">
      <c r="A79" s="48">
        <v>75.0</v>
      </c>
      <c r="B79" s="49" t="s">
        <v>639</v>
      </c>
      <c r="C79" s="50" t="s">
        <v>304</v>
      </c>
      <c r="D79" s="51" t="s">
        <v>640</v>
      </c>
      <c r="E79" s="52" t="s">
        <v>641</v>
      </c>
      <c r="F79" s="53"/>
      <c r="G79" s="48" t="s">
        <v>642</v>
      </c>
      <c r="H79" s="50" t="s">
        <v>300</v>
      </c>
      <c r="I79" s="50" t="s">
        <v>643</v>
      </c>
      <c r="J79" s="38"/>
      <c r="K79" s="38"/>
      <c r="L79" s="48" t="s">
        <v>302</v>
      </c>
      <c r="M79" s="38"/>
      <c r="N79" s="38"/>
      <c r="O79" s="38"/>
      <c r="P79" s="38"/>
      <c r="Q79" s="38"/>
      <c r="R79" s="38"/>
      <c r="S79" s="38"/>
      <c r="T79" s="38"/>
      <c r="U79" s="38"/>
      <c r="V79" s="38"/>
      <c r="W79" s="38"/>
      <c r="X79" s="38"/>
      <c r="Y79" s="38"/>
      <c r="Z79" s="38"/>
      <c r="AA79" s="38"/>
    </row>
    <row r="80">
      <c r="A80" s="48">
        <v>76.0</v>
      </c>
      <c r="B80" s="49" t="s">
        <v>644</v>
      </c>
      <c r="C80" s="50" t="s">
        <v>296</v>
      </c>
      <c r="D80" s="51" t="s">
        <v>645</v>
      </c>
      <c r="E80" s="52" t="s">
        <v>646</v>
      </c>
      <c r="F80" s="53" t="s">
        <v>647</v>
      </c>
      <c r="G80" s="48" t="s">
        <v>648</v>
      </c>
      <c r="H80" s="50" t="s">
        <v>300</v>
      </c>
      <c r="I80" s="50" t="s">
        <v>649</v>
      </c>
      <c r="J80" s="60" t="s">
        <v>650</v>
      </c>
      <c r="K80" s="38"/>
      <c r="L80" s="48" t="s">
        <v>302</v>
      </c>
      <c r="M80" s="38"/>
      <c r="N80" s="38"/>
      <c r="O80" s="38"/>
      <c r="P80" s="38"/>
      <c r="Q80" s="38"/>
      <c r="R80" s="38"/>
      <c r="S80" s="38"/>
      <c r="T80" s="38"/>
      <c r="U80" s="38"/>
      <c r="V80" s="38"/>
      <c r="W80" s="38"/>
      <c r="X80" s="38"/>
      <c r="Y80" s="38"/>
      <c r="Z80" s="38"/>
      <c r="AA80" s="38"/>
    </row>
    <row r="81">
      <c r="A81" s="48">
        <v>77.0</v>
      </c>
      <c r="B81" s="49" t="s">
        <v>651</v>
      </c>
      <c r="C81" s="50" t="s">
        <v>304</v>
      </c>
      <c r="D81" s="51" t="s">
        <v>652</v>
      </c>
      <c r="E81" s="52" t="s">
        <v>653</v>
      </c>
      <c r="F81" s="53"/>
      <c r="G81" s="48" t="s">
        <v>654</v>
      </c>
      <c r="H81" s="50" t="s">
        <v>300</v>
      </c>
      <c r="I81" s="50" t="s">
        <v>655</v>
      </c>
      <c r="J81" s="38"/>
      <c r="K81" s="38"/>
      <c r="L81" s="48" t="s">
        <v>302</v>
      </c>
      <c r="M81" s="38"/>
      <c r="N81" s="38"/>
      <c r="O81" s="38"/>
      <c r="P81" s="38"/>
      <c r="Q81" s="38"/>
      <c r="R81" s="38"/>
      <c r="S81" s="38"/>
      <c r="T81" s="38"/>
      <c r="U81" s="38"/>
      <c r="V81" s="38"/>
      <c r="W81" s="38"/>
      <c r="X81" s="38"/>
      <c r="Y81" s="38"/>
      <c r="Z81" s="38"/>
      <c r="AA81" s="38"/>
    </row>
    <row r="82">
      <c r="A82" s="48">
        <v>78.0</v>
      </c>
      <c r="B82" s="49" t="s">
        <v>656</v>
      </c>
      <c r="C82" s="50" t="s">
        <v>657</v>
      </c>
      <c r="D82" s="51" t="s">
        <v>658</v>
      </c>
      <c r="E82" s="52" t="s">
        <v>659</v>
      </c>
      <c r="F82" s="53"/>
      <c r="G82" s="48" t="s">
        <v>660</v>
      </c>
      <c r="H82" s="50" t="s">
        <v>300</v>
      </c>
      <c r="I82" s="50" t="s">
        <v>661</v>
      </c>
      <c r="J82" s="38"/>
      <c r="K82" s="38"/>
      <c r="L82" s="48" t="s">
        <v>302</v>
      </c>
      <c r="M82" s="38"/>
      <c r="N82" s="38"/>
      <c r="O82" s="38"/>
      <c r="P82" s="38"/>
      <c r="Q82" s="38"/>
      <c r="R82" s="38"/>
      <c r="S82" s="38"/>
      <c r="T82" s="38"/>
      <c r="U82" s="38"/>
      <c r="V82" s="38"/>
      <c r="W82" s="38"/>
      <c r="X82" s="38"/>
      <c r="Y82" s="38"/>
      <c r="Z82" s="38"/>
      <c r="AA82" s="38"/>
    </row>
    <row r="83">
      <c r="A83" s="48">
        <v>79.0</v>
      </c>
      <c r="B83" s="49" t="s">
        <v>662</v>
      </c>
      <c r="C83" s="50" t="s">
        <v>304</v>
      </c>
      <c r="D83" s="51" t="s">
        <v>663</v>
      </c>
      <c r="E83" s="52" t="s">
        <v>664</v>
      </c>
      <c r="F83" s="53"/>
      <c r="G83" s="48" t="s">
        <v>665</v>
      </c>
      <c r="H83" s="50" t="s">
        <v>666</v>
      </c>
      <c r="I83" s="50" t="s">
        <v>667</v>
      </c>
      <c r="J83" s="38"/>
      <c r="K83" s="38"/>
      <c r="L83" s="48" t="s">
        <v>302</v>
      </c>
      <c r="M83" s="38"/>
      <c r="N83" s="38"/>
      <c r="O83" s="38"/>
      <c r="P83" s="38"/>
      <c r="Q83" s="38"/>
      <c r="R83" s="38"/>
      <c r="S83" s="38"/>
      <c r="T83" s="38"/>
      <c r="U83" s="38"/>
      <c r="V83" s="38"/>
      <c r="W83" s="38"/>
      <c r="X83" s="38"/>
      <c r="Y83" s="38"/>
      <c r="Z83" s="38"/>
      <c r="AA83" s="38"/>
    </row>
    <row r="84">
      <c r="A84" s="48">
        <v>80.0</v>
      </c>
      <c r="B84" s="49" t="s">
        <v>668</v>
      </c>
      <c r="C84" s="50" t="s">
        <v>296</v>
      </c>
      <c r="D84" s="51" t="s">
        <v>669</v>
      </c>
      <c r="E84" s="52" t="s">
        <v>670</v>
      </c>
      <c r="F84" s="53"/>
      <c r="G84" s="48" t="s">
        <v>671</v>
      </c>
      <c r="H84" s="50" t="s">
        <v>300</v>
      </c>
      <c r="I84" s="50" t="s">
        <v>537</v>
      </c>
      <c r="J84" s="38"/>
      <c r="K84" s="38"/>
      <c r="L84" s="48" t="s">
        <v>302</v>
      </c>
      <c r="M84" s="38"/>
      <c r="N84" s="38"/>
      <c r="O84" s="38"/>
      <c r="P84" s="38"/>
      <c r="Q84" s="38"/>
      <c r="R84" s="38"/>
      <c r="S84" s="38"/>
      <c r="T84" s="38"/>
      <c r="U84" s="38"/>
      <c r="V84" s="38"/>
      <c r="W84" s="38"/>
      <c r="X84" s="38"/>
      <c r="Y84" s="38"/>
      <c r="Z84" s="38"/>
      <c r="AA84" s="38"/>
    </row>
    <row r="85">
      <c r="A85" s="48">
        <v>81.0</v>
      </c>
      <c r="B85" s="49" t="s">
        <v>672</v>
      </c>
      <c r="C85" s="50" t="s">
        <v>328</v>
      </c>
      <c r="D85" s="51" t="s">
        <v>672</v>
      </c>
      <c r="E85" s="52" t="s">
        <v>312</v>
      </c>
      <c r="F85" s="53"/>
      <c r="G85" s="48" t="s">
        <v>673</v>
      </c>
      <c r="H85" s="50" t="s">
        <v>300</v>
      </c>
      <c r="I85" s="50" t="s">
        <v>674</v>
      </c>
      <c r="J85" s="38"/>
      <c r="K85" s="38"/>
      <c r="L85" s="48" t="s">
        <v>334</v>
      </c>
      <c r="M85" s="38"/>
      <c r="N85" s="38"/>
      <c r="O85" s="38"/>
      <c r="P85" s="38"/>
      <c r="Q85" s="38"/>
      <c r="R85" s="38"/>
      <c r="S85" s="38"/>
      <c r="T85" s="38"/>
      <c r="U85" s="38"/>
      <c r="V85" s="38"/>
      <c r="W85" s="38"/>
      <c r="X85" s="38"/>
      <c r="Y85" s="38"/>
      <c r="Z85" s="38"/>
      <c r="AA85" s="38"/>
    </row>
    <row r="86">
      <c r="A86" s="48">
        <v>82.0</v>
      </c>
      <c r="B86" s="49" t="s">
        <v>675</v>
      </c>
      <c r="C86" s="50" t="s">
        <v>304</v>
      </c>
      <c r="D86" s="51" t="s">
        <v>676</v>
      </c>
      <c r="E86" s="52" t="s">
        <v>677</v>
      </c>
      <c r="F86" s="53"/>
      <c r="G86" s="48" t="s">
        <v>678</v>
      </c>
      <c r="H86" s="50" t="s">
        <v>300</v>
      </c>
      <c r="I86" s="50" t="s">
        <v>487</v>
      </c>
      <c r="J86" s="38"/>
      <c r="K86" s="38"/>
      <c r="L86" s="48" t="s">
        <v>302</v>
      </c>
      <c r="M86" s="38"/>
      <c r="N86" s="38"/>
      <c r="O86" s="38"/>
      <c r="P86" s="38"/>
      <c r="Q86" s="38"/>
      <c r="R86" s="38"/>
      <c r="S86" s="38"/>
      <c r="T86" s="38"/>
      <c r="U86" s="38"/>
      <c r="V86" s="38"/>
      <c r="W86" s="38"/>
      <c r="X86" s="38"/>
      <c r="Y86" s="38"/>
      <c r="Z86" s="38"/>
      <c r="AA86" s="38"/>
    </row>
    <row r="87">
      <c r="A87" s="48">
        <v>83.0</v>
      </c>
      <c r="B87" s="49" t="s">
        <v>679</v>
      </c>
      <c r="C87" s="50" t="s">
        <v>296</v>
      </c>
      <c r="D87" s="51" t="s">
        <v>680</v>
      </c>
      <c r="E87" s="57" t="s">
        <v>681</v>
      </c>
      <c r="F87" s="53"/>
      <c r="G87" s="48" t="s">
        <v>682</v>
      </c>
      <c r="H87" s="50" t="s">
        <v>421</v>
      </c>
      <c r="I87" s="50" t="s">
        <v>683</v>
      </c>
      <c r="J87" s="38"/>
      <c r="K87" s="38"/>
      <c r="L87" s="48" t="s">
        <v>302</v>
      </c>
      <c r="M87" s="38"/>
      <c r="N87" s="38"/>
      <c r="O87" s="38"/>
      <c r="P87" s="38"/>
      <c r="Q87" s="38"/>
      <c r="R87" s="38"/>
      <c r="S87" s="38"/>
      <c r="T87" s="38"/>
      <c r="U87" s="38"/>
      <c r="V87" s="38"/>
      <c r="W87" s="38"/>
      <c r="X87" s="38"/>
      <c r="Y87" s="38"/>
      <c r="Z87" s="38"/>
      <c r="AA87" s="38"/>
    </row>
    <row r="88">
      <c r="A88" s="48">
        <v>84.0</v>
      </c>
      <c r="B88" s="49" t="s">
        <v>684</v>
      </c>
      <c r="C88" s="50" t="s">
        <v>657</v>
      </c>
      <c r="D88" s="51" t="s">
        <v>672</v>
      </c>
      <c r="E88" s="52" t="s">
        <v>685</v>
      </c>
      <c r="F88" s="53"/>
      <c r="G88" s="48" t="s">
        <v>686</v>
      </c>
      <c r="H88" s="50" t="s">
        <v>300</v>
      </c>
      <c r="I88" s="50" t="s">
        <v>687</v>
      </c>
      <c r="J88" s="38"/>
      <c r="K88" s="38"/>
      <c r="L88" s="48" t="s">
        <v>334</v>
      </c>
      <c r="M88" s="38"/>
      <c r="N88" s="38"/>
      <c r="O88" s="38"/>
      <c r="P88" s="38"/>
      <c r="Q88" s="38"/>
      <c r="R88" s="38"/>
      <c r="S88" s="38"/>
      <c r="T88" s="38"/>
      <c r="U88" s="38"/>
      <c r="V88" s="38"/>
      <c r="W88" s="38"/>
      <c r="X88" s="38"/>
      <c r="Y88" s="38"/>
      <c r="Z88" s="38"/>
      <c r="AA88" s="38"/>
    </row>
    <row r="89">
      <c r="A89" s="48">
        <v>85.0</v>
      </c>
      <c r="B89" s="49" t="s">
        <v>688</v>
      </c>
      <c r="C89" s="50" t="s">
        <v>296</v>
      </c>
      <c r="D89" s="51" t="s">
        <v>689</v>
      </c>
      <c r="E89" s="52" t="s">
        <v>690</v>
      </c>
      <c r="F89" s="53"/>
      <c r="G89" s="48" t="s">
        <v>691</v>
      </c>
      <c r="H89" s="50" t="s">
        <v>300</v>
      </c>
      <c r="I89" s="50" t="s">
        <v>692</v>
      </c>
      <c r="J89" s="38"/>
      <c r="K89" s="38"/>
      <c r="L89" s="48" t="s">
        <v>302</v>
      </c>
      <c r="M89" s="38"/>
      <c r="N89" s="38"/>
      <c r="O89" s="38"/>
      <c r="P89" s="38"/>
      <c r="Q89" s="38"/>
      <c r="R89" s="38"/>
      <c r="S89" s="38"/>
      <c r="T89" s="38"/>
      <c r="U89" s="38"/>
      <c r="V89" s="38"/>
      <c r="W89" s="38"/>
      <c r="X89" s="38"/>
      <c r="Y89" s="38"/>
      <c r="Z89" s="38"/>
      <c r="AA89" s="38"/>
    </row>
    <row r="90">
      <c r="A90" s="48">
        <v>86.0</v>
      </c>
      <c r="B90" s="49" t="s">
        <v>693</v>
      </c>
      <c r="C90" s="50" t="s">
        <v>296</v>
      </c>
      <c r="D90" s="51" t="s">
        <v>694</v>
      </c>
      <c r="E90" s="52" t="s">
        <v>695</v>
      </c>
      <c r="F90" s="53"/>
      <c r="G90" s="48" t="s">
        <v>696</v>
      </c>
      <c r="H90" s="50" t="s">
        <v>300</v>
      </c>
      <c r="I90" s="50" t="s">
        <v>697</v>
      </c>
      <c r="J90" s="60" t="s">
        <v>698</v>
      </c>
      <c r="K90" s="38"/>
      <c r="L90" s="48" t="s">
        <v>302</v>
      </c>
      <c r="M90" s="38"/>
      <c r="N90" s="38"/>
      <c r="O90" s="38"/>
      <c r="P90" s="38"/>
      <c r="Q90" s="38"/>
      <c r="R90" s="38"/>
      <c r="S90" s="38"/>
      <c r="T90" s="38"/>
      <c r="U90" s="38"/>
      <c r="V90" s="38"/>
      <c r="W90" s="38"/>
      <c r="X90" s="38"/>
      <c r="Y90" s="38"/>
      <c r="Z90" s="38"/>
      <c r="AA90" s="38"/>
    </row>
    <row r="91">
      <c r="A91" s="48">
        <v>87.0</v>
      </c>
      <c r="B91" s="49" t="s">
        <v>699</v>
      </c>
      <c r="C91" s="50" t="s">
        <v>296</v>
      </c>
      <c r="D91" s="51" t="s">
        <v>700</v>
      </c>
      <c r="E91" s="52" t="s">
        <v>701</v>
      </c>
      <c r="F91" s="53"/>
      <c r="G91" s="48" t="s">
        <v>702</v>
      </c>
      <c r="H91" s="50" t="s">
        <v>300</v>
      </c>
      <c r="I91" s="50" t="s">
        <v>703</v>
      </c>
      <c r="J91" s="38"/>
      <c r="K91" s="38"/>
      <c r="L91" s="48" t="s">
        <v>302</v>
      </c>
      <c r="M91" s="38"/>
      <c r="N91" s="38"/>
      <c r="O91" s="38"/>
      <c r="P91" s="38"/>
      <c r="Q91" s="38"/>
      <c r="R91" s="38"/>
      <c r="S91" s="38"/>
      <c r="T91" s="38"/>
      <c r="U91" s="38"/>
      <c r="V91" s="38"/>
      <c r="W91" s="38"/>
      <c r="X91" s="38"/>
      <c r="Y91" s="38"/>
      <c r="Z91" s="38"/>
      <c r="AA91" s="38"/>
    </row>
    <row r="92">
      <c r="A92" s="48">
        <v>88.0</v>
      </c>
      <c r="B92" s="49" t="s">
        <v>704</v>
      </c>
      <c r="C92" s="50" t="s">
        <v>304</v>
      </c>
      <c r="D92" s="51" t="s">
        <v>645</v>
      </c>
      <c r="E92" s="52" t="s">
        <v>705</v>
      </c>
      <c r="F92" s="53"/>
      <c r="G92" s="48" t="s">
        <v>706</v>
      </c>
      <c r="H92" s="50" t="s">
        <v>300</v>
      </c>
      <c r="I92" s="50" t="s">
        <v>707</v>
      </c>
      <c r="J92" s="38"/>
      <c r="K92" s="38"/>
      <c r="L92" s="48" t="s">
        <v>302</v>
      </c>
      <c r="M92" s="38"/>
      <c r="N92" s="38"/>
      <c r="O92" s="38"/>
      <c r="P92" s="38"/>
      <c r="Q92" s="38"/>
      <c r="R92" s="38"/>
      <c r="S92" s="38"/>
      <c r="T92" s="38"/>
      <c r="U92" s="38"/>
      <c r="V92" s="38"/>
      <c r="W92" s="38"/>
      <c r="X92" s="38"/>
      <c r="Y92" s="38"/>
      <c r="Z92" s="38"/>
      <c r="AA92" s="38"/>
    </row>
    <row r="93">
      <c r="A93" s="48">
        <v>89.0</v>
      </c>
      <c r="B93" s="49" t="s">
        <v>708</v>
      </c>
      <c r="C93" s="50" t="s">
        <v>304</v>
      </c>
      <c r="D93" s="51" t="s">
        <v>709</v>
      </c>
      <c r="E93" s="57" t="s">
        <v>710</v>
      </c>
      <c r="F93" s="53"/>
      <c r="G93" s="49" t="s">
        <v>711</v>
      </c>
      <c r="H93" s="50" t="s">
        <v>300</v>
      </c>
      <c r="I93" s="50" t="s">
        <v>712</v>
      </c>
      <c r="J93" s="38"/>
      <c r="K93" s="38"/>
      <c r="L93" s="48" t="s">
        <v>302</v>
      </c>
      <c r="M93" s="38"/>
      <c r="N93" s="38"/>
      <c r="O93" s="38"/>
      <c r="P93" s="38"/>
      <c r="Q93" s="38"/>
      <c r="R93" s="38"/>
      <c r="S93" s="38"/>
      <c r="T93" s="38"/>
      <c r="U93" s="38"/>
      <c r="V93" s="38"/>
      <c r="W93" s="38"/>
      <c r="X93" s="38"/>
      <c r="Y93" s="38"/>
      <c r="Z93" s="38"/>
      <c r="AA93" s="38"/>
    </row>
    <row r="94">
      <c r="A94" s="48">
        <v>90.0</v>
      </c>
      <c r="B94" s="49" t="s">
        <v>713</v>
      </c>
      <c r="C94" s="50" t="s">
        <v>296</v>
      </c>
      <c r="D94" s="51" t="s">
        <v>714</v>
      </c>
      <c r="E94" s="57" t="s">
        <v>715</v>
      </c>
      <c r="F94" s="53"/>
      <c r="G94" s="48" t="s">
        <v>716</v>
      </c>
      <c r="H94" s="50" t="s">
        <v>300</v>
      </c>
      <c r="I94" s="50" t="s">
        <v>674</v>
      </c>
      <c r="J94" s="38"/>
      <c r="K94" s="38"/>
      <c r="L94" s="48" t="s">
        <v>302</v>
      </c>
      <c r="M94" s="38"/>
      <c r="N94" s="38"/>
      <c r="O94" s="38"/>
      <c r="P94" s="38"/>
      <c r="Q94" s="38"/>
      <c r="R94" s="38"/>
      <c r="S94" s="38"/>
      <c r="T94" s="38"/>
      <c r="U94" s="38"/>
      <c r="V94" s="38"/>
      <c r="W94" s="38"/>
      <c r="X94" s="38"/>
      <c r="Y94" s="38"/>
      <c r="Z94" s="38"/>
      <c r="AA94" s="38"/>
    </row>
    <row r="95">
      <c r="A95" s="48">
        <v>91.0</v>
      </c>
      <c r="B95" s="49" t="s">
        <v>717</v>
      </c>
      <c r="C95" s="50" t="s">
        <v>304</v>
      </c>
      <c r="D95" s="51" t="s">
        <v>547</v>
      </c>
      <c r="E95" s="57" t="s">
        <v>548</v>
      </c>
      <c r="F95" s="53"/>
      <c r="G95" s="48" t="s">
        <v>718</v>
      </c>
      <c r="H95" s="50" t="s">
        <v>300</v>
      </c>
      <c r="I95" s="50" t="s">
        <v>719</v>
      </c>
      <c r="J95" s="38"/>
      <c r="K95" s="38"/>
      <c r="L95" s="48" t="s">
        <v>302</v>
      </c>
      <c r="M95" s="38"/>
      <c r="N95" s="38"/>
      <c r="O95" s="38"/>
      <c r="P95" s="38"/>
      <c r="Q95" s="38"/>
      <c r="R95" s="38"/>
      <c r="S95" s="38"/>
      <c r="T95" s="38"/>
      <c r="U95" s="38"/>
      <c r="V95" s="38"/>
      <c r="W95" s="38"/>
      <c r="X95" s="38"/>
      <c r="Y95" s="38"/>
      <c r="Z95" s="38"/>
      <c r="AA95" s="38"/>
    </row>
    <row r="96">
      <c r="A96" s="48">
        <v>92.0</v>
      </c>
      <c r="B96" s="49" t="s">
        <v>720</v>
      </c>
      <c r="C96" s="50" t="s">
        <v>296</v>
      </c>
      <c r="D96" s="51" t="s">
        <v>721</v>
      </c>
      <c r="E96" s="52" t="s">
        <v>722</v>
      </c>
      <c r="F96" s="53"/>
      <c r="G96" s="48" t="s">
        <v>723</v>
      </c>
      <c r="H96" s="50" t="s">
        <v>300</v>
      </c>
      <c r="I96" s="50" t="s">
        <v>724</v>
      </c>
      <c r="J96" s="60" t="s">
        <v>725</v>
      </c>
      <c r="K96" s="38"/>
      <c r="L96" s="48" t="s">
        <v>302</v>
      </c>
      <c r="M96" s="38"/>
      <c r="N96" s="38"/>
      <c r="O96" s="38"/>
      <c r="P96" s="38"/>
      <c r="Q96" s="38"/>
      <c r="R96" s="38"/>
      <c r="S96" s="38"/>
      <c r="T96" s="38"/>
      <c r="U96" s="38"/>
      <c r="V96" s="38"/>
      <c r="W96" s="38"/>
      <c r="X96" s="38"/>
      <c r="Y96" s="38"/>
      <c r="Z96" s="38"/>
      <c r="AA96" s="38"/>
    </row>
    <row r="97">
      <c r="A97" s="48">
        <v>93.0</v>
      </c>
      <c r="B97" s="49" t="s">
        <v>726</v>
      </c>
      <c r="C97" s="50" t="s">
        <v>657</v>
      </c>
      <c r="D97" s="51" t="s">
        <v>727</v>
      </c>
      <c r="E97" s="52">
        <f>84917716890</f>
        <v>84917716890</v>
      </c>
      <c r="F97" s="53"/>
      <c r="G97" s="49" t="s">
        <v>728</v>
      </c>
      <c r="H97" s="50" t="s">
        <v>729</v>
      </c>
      <c r="I97" s="50" t="s">
        <v>730</v>
      </c>
      <c r="J97" s="38"/>
      <c r="K97" s="38"/>
      <c r="L97" s="48" t="s">
        <v>302</v>
      </c>
      <c r="M97" s="38"/>
      <c r="N97" s="38"/>
      <c r="O97" s="38"/>
      <c r="P97" s="38"/>
      <c r="Q97" s="38"/>
      <c r="R97" s="38"/>
      <c r="S97" s="38"/>
      <c r="T97" s="38"/>
      <c r="U97" s="38"/>
      <c r="V97" s="38"/>
      <c r="W97" s="38"/>
      <c r="X97" s="38"/>
      <c r="Y97" s="38"/>
      <c r="Z97" s="38"/>
      <c r="AA97" s="38"/>
    </row>
    <row r="98">
      <c r="A98" s="48">
        <v>94.0</v>
      </c>
      <c r="B98" s="69" t="s">
        <v>731</v>
      </c>
      <c r="C98" s="70" t="s">
        <v>732</v>
      </c>
      <c r="D98" s="71" t="s">
        <v>733</v>
      </c>
      <c r="E98" s="72" t="s">
        <v>734</v>
      </c>
      <c r="F98" s="73"/>
      <c r="G98" s="74" t="s">
        <v>735</v>
      </c>
      <c r="H98" s="70" t="s">
        <v>736</v>
      </c>
      <c r="I98" s="70" t="s">
        <v>737</v>
      </c>
      <c r="J98" s="75"/>
      <c r="K98" s="75"/>
      <c r="L98" s="74" t="s">
        <v>302</v>
      </c>
      <c r="M98" s="70" t="s">
        <v>738</v>
      </c>
      <c r="N98" s="38"/>
      <c r="O98" s="38"/>
      <c r="P98" s="38"/>
      <c r="Q98" s="38"/>
      <c r="R98" s="38"/>
      <c r="S98" s="38"/>
      <c r="T98" s="38"/>
      <c r="U98" s="38"/>
      <c r="V98" s="38"/>
      <c r="W98" s="38"/>
      <c r="X98" s="38"/>
      <c r="Y98" s="38"/>
      <c r="Z98" s="38"/>
      <c r="AA98" s="38"/>
    </row>
    <row r="99">
      <c r="A99" s="48">
        <v>95.0</v>
      </c>
      <c r="B99" s="49" t="s">
        <v>739</v>
      </c>
      <c r="C99" s="50" t="s">
        <v>304</v>
      </c>
      <c r="D99" s="51" t="s">
        <v>740</v>
      </c>
      <c r="E99" s="52" t="s">
        <v>741</v>
      </c>
      <c r="F99" s="53"/>
      <c r="G99" s="48" t="s">
        <v>742</v>
      </c>
      <c r="H99" s="50" t="s">
        <v>743</v>
      </c>
      <c r="I99" s="50" t="s">
        <v>744</v>
      </c>
      <c r="J99" s="38"/>
      <c r="K99" s="38"/>
      <c r="L99" s="48" t="s">
        <v>302</v>
      </c>
      <c r="M99" s="38"/>
      <c r="N99" s="38"/>
      <c r="O99" s="38"/>
      <c r="P99" s="38"/>
      <c r="Q99" s="38"/>
      <c r="R99" s="38"/>
      <c r="S99" s="38"/>
      <c r="T99" s="38"/>
      <c r="U99" s="38"/>
      <c r="V99" s="38"/>
      <c r="W99" s="38"/>
      <c r="X99" s="38"/>
      <c r="Y99" s="38"/>
      <c r="Z99" s="38"/>
      <c r="AA99" s="38"/>
    </row>
    <row r="100">
      <c r="A100" s="48">
        <v>96.0</v>
      </c>
      <c r="B100" s="69" t="s">
        <v>745</v>
      </c>
      <c r="C100" s="70" t="s">
        <v>732</v>
      </c>
      <c r="D100" s="71" t="s">
        <v>746</v>
      </c>
      <c r="E100" s="72" t="s">
        <v>747</v>
      </c>
      <c r="F100" s="73"/>
      <c r="G100" s="74" t="s">
        <v>748</v>
      </c>
      <c r="H100" s="70" t="s">
        <v>749</v>
      </c>
      <c r="I100" s="70" t="s">
        <v>750</v>
      </c>
      <c r="J100" s="75"/>
      <c r="K100" s="75"/>
      <c r="L100" s="74" t="s">
        <v>302</v>
      </c>
      <c r="M100" s="70" t="s">
        <v>751</v>
      </c>
      <c r="N100" s="38"/>
      <c r="O100" s="38"/>
      <c r="P100" s="38"/>
      <c r="Q100" s="38"/>
      <c r="R100" s="38"/>
      <c r="S100" s="38"/>
      <c r="T100" s="38"/>
      <c r="U100" s="38"/>
      <c r="V100" s="38"/>
      <c r="W100" s="38"/>
      <c r="X100" s="38"/>
      <c r="Y100" s="38"/>
      <c r="Z100" s="38"/>
      <c r="AA100" s="38"/>
    </row>
    <row r="101">
      <c r="A101" s="48">
        <v>97.0</v>
      </c>
      <c r="B101" s="49" t="s">
        <v>752</v>
      </c>
      <c r="C101" s="50" t="s">
        <v>296</v>
      </c>
      <c r="D101" s="51" t="s">
        <v>753</v>
      </c>
      <c r="E101" s="52" t="s">
        <v>754</v>
      </c>
      <c r="F101" s="53"/>
      <c r="G101" s="48" t="s">
        <v>755</v>
      </c>
      <c r="H101" s="50" t="s">
        <v>526</v>
      </c>
      <c r="I101" s="50" t="s">
        <v>756</v>
      </c>
      <c r="J101" s="38"/>
      <c r="K101" s="38"/>
      <c r="L101" s="48" t="s">
        <v>302</v>
      </c>
      <c r="M101" s="38"/>
      <c r="N101" s="38"/>
      <c r="O101" s="38"/>
      <c r="P101" s="38"/>
      <c r="Q101" s="38"/>
      <c r="R101" s="38"/>
      <c r="S101" s="38"/>
      <c r="T101" s="38"/>
      <c r="U101" s="38"/>
      <c r="V101" s="38"/>
      <c r="W101" s="38"/>
      <c r="X101" s="38"/>
      <c r="Y101" s="38"/>
      <c r="Z101" s="38"/>
      <c r="AA101" s="38"/>
    </row>
    <row r="102">
      <c r="A102" s="48">
        <v>98.0</v>
      </c>
      <c r="B102" s="49" t="s">
        <v>757</v>
      </c>
      <c r="C102" s="50" t="s">
        <v>732</v>
      </c>
      <c r="D102" s="51"/>
      <c r="E102" s="52" t="s">
        <v>758</v>
      </c>
      <c r="F102" s="53"/>
      <c r="G102" s="48" t="s">
        <v>759</v>
      </c>
      <c r="H102" s="50" t="s">
        <v>526</v>
      </c>
      <c r="I102" s="50" t="s">
        <v>756</v>
      </c>
      <c r="J102" s="38"/>
      <c r="K102" s="38"/>
      <c r="L102" s="48" t="s">
        <v>302</v>
      </c>
      <c r="M102" s="38"/>
      <c r="N102" s="38"/>
      <c r="O102" s="38"/>
      <c r="P102" s="38"/>
      <c r="Q102" s="38"/>
      <c r="R102" s="38"/>
      <c r="S102" s="38"/>
      <c r="T102" s="38"/>
      <c r="U102" s="38"/>
      <c r="V102" s="38"/>
      <c r="W102" s="38"/>
      <c r="X102" s="38"/>
      <c r="Y102" s="38"/>
      <c r="Z102" s="38"/>
      <c r="AA102" s="38"/>
    </row>
    <row r="103">
      <c r="A103" s="48">
        <v>99.0</v>
      </c>
      <c r="B103" s="49" t="s">
        <v>760</v>
      </c>
      <c r="C103" s="50" t="s">
        <v>304</v>
      </c>
      <c r="D103" s="54" t="s">
        <v>353</v>
      </c>
      <c r="E103" s="52" t="s">
        <v>761</v>
      </c>
      <c r="F103" s="53"/>
      <c r="G103" s="48" t="s">
        <v>762</v>
      </c>
      <c r="H103" s="50" t="s">
        <v>666</v>
      </c>
      <c r="I103" s="50" t="s">
        <v>667</v>
      </c>
      <c r="J103" s="38"/>
      <c r="K103" s="38"/>
      <c r="L103" s="48" t="s">
        <v>302</v>
      </c>
      <c r="M103" s="38"/>
      <c r="N103" s="38"/>
      <c r="O103" s="38"/>
      <c r="P103" s="38"/>
      <c r="Q103" s="38"/>
      <c r="R103" s="38"/>
      <c r="S103" s="38"/>
      <c r="T103" s="38"/>
      <c r="U103" s="38"/>
      <c r="V103" s="38"/>
      <c r="W103" s="38"/>
      <c r="X103" s="38"/>
      <c r="Y103" s="38"/>
      <c r="Z103" s="38"/>
      <c r="AA103" s="38"/>
    </row>
    <row r="104">
      <c r="A104" s="48">
        <v>100.0</v>
      </c>
      <c r="B104" s="49" t="s">
        <v>763</v>
      </c>
      <c r="C104" s="50" t="s">
        <v>304</v>
      </c>
      <c r="D104" s="54" t="s">
        <v>764</v>
      </c>
      <c r="E104" s="57" t="s">
        <v>765</v>
      </c>
      <c r="F104" s="53"/>
      <c r="G104" s="48" t="s">
        <v>766</v>
      </c>
      <c r="H104" s="50" t="s">
        <v>666</v>
      </c>
      <c r="I104" s="50" t="s">
        <v>667</v>
      </c>
      <c r="J104" s="38"/>
      <c r="K104" s="38"/>
      <c r="L104" s="48" t="s">
        <v>302</v>
      </c>
      <c r="M104" s="38"/>
      <c r="N104" s="38"/>
      <c r="O104" s="38"/>
      <c r="P104" s="38"/>
      <c r="Q104" s="38"/>
      <c r="R104" s="38"/>
      <c r="S104" s="38"/>
      <c r="T104" s="38"/>
      <c r="U104" s="38"/>
      <c r="V104" s="38"/>
      <c r="W104" s="38"/>
      <c r="X104" s="38"/>
      <c r="Y104" s="38"/>
      <c r="Z104" s="38"/>
      <c r="AA104" s="38"/>
    </row>
    <row r="105">
      <c r="A105" s="48">
        <v>101.0</v>
      </c>
      <c r="B105" s="49" t="s">
        <v>767</v>
      </c>
      <c r="C105" s="50" t="s">
        <v>304</v>
      </c>
      <c r="D105" s="54" t="s">
        <v>768</v>
      </c>
      <c r="E105" s="54" t="s">
        <v>769</v>
      </c>
      <c r="F105" s="53"/>
      <c r="G105" s="48" t="s">
        <v>770</v>
      </c>
      <c r="H105" s="50" t="s">
        <v>390</v>
      </c>
      <c r="I105" s="50" t="s">
        <v>404</v>
      </c>
      <c r="J105" s="60" t="s">
        <v>579</v>
      </c>
      <c r="K105" s="38"/>
      <c r="L105" s="48" t="s">
        <v>302</v>
      </c>
      <c r="M105" s="38"/>
      <c r="N105" s="38"/>
      <c r="O105" s="38"/>
      <c r="P105" s="38"/>
      <c r="Q105" s="38"/>
      <c r="R105" s="38"/>
      <c r="S105" s="38"/>
      <c r="T105" s="38"/>
      <c r="U105" s="38"/>
      <c r="V105" s="38"/>
      <c r="W105" s="38"/>
      <c r="X105" s="38"/>
      <c r="Y105" s="38"/>
      <c r="Z105" s="38"/>
      <c r="AA105" s="38"/>
    </row>
    <row r="106">
      <c r="A106" s="48">
        <v>102.0</v>
      </c>
      <c r="B106" s="49" t="s">
        <v>771</v>
      </c>
      <c r="C106" s="50" t="s">
        <v>296</v>
      </c>
      <c r="D106" s="51" t="s">
        <v>772</v>
      </c>
      <c r="E106" s="57" t="s">
        <v>773</v>
      </c>
      <c r="F106" s="53"/>
      <c r="G106" s="48" t="s">
        <v>774</v>
      </c>
      <c r="H106" s="50" t="s">
        <v>300</v>
      </c>
      <c r="I106" s="50" t="s">
        <v>775</v>
      </c>
      <c r="J106" s="38"/>
      <c r="K106" s="38"/>
      <c r="L106" s="48" t="s">
        <v>302</v>
      </c>
      <c r="M106" s="38"/>
      <c r="N106" s="38"/>
      <c r="O106" s="38"/>
      <c r="P106" s="38"/>
      <c r="Q106" s="38"/>
      <c r="R106" s="38"/>
      <c r="S106" s="38"/>
      <c r="T106" s="38"/>
      <c r="U106" s="38"/>
      <c r="V106" s="38"/>
      <c r="W106" s="38"/>
      <c r="X106" s="38"/>
      <c r="Y106" s="38"/>
      <c r="Z106" s="38"/>
      <c r="AA106" s="38"/>
    </row>
    <row r="107">
      <c r="A107" s="48">
        <v>103.0</v>
      </c>
      <c r="B107" s="49" t="s">
        <v>776</v>
      </c>
      <c r="C107" s="50" t="s">
        <v>296</v>
      </c>
      <c r="D107" s="51" t="s">
        <v>777</v>
      </c>
      <c r="E107" s="52" t="s">
        <v>778</v>
      </c>
      <c r="F107" s="53"/>
      <c r="G107" s="48" t="s">
        <v>779</v>
      </c>
      <c r="H107" s="50" t="s">
        <v>300</v>
      </c>
      <c r="I107" s="50" t="s">
        <v>780</v>
      </c>
      <c r="J107" s="38"/>
      <c r="K107" s="38"/>
      <c r="L107" s="48" t="s">
        <v>302</v>
      </c>
      <c r="M107" s="38"/>
      <c r="N107" s="38"/>
      <c r="O107" s="38"/>
      <c r="P107" s="38"/>
      <c r="Q107" s="38"/>
      <c r="R107" s="38"/>
      <c r="S107" s="38"/>
      <c r="T107" s="38"/>
      <c r="U107" s="38"/>
      <c r="V107" s="38"/>
      <c r="W107" s="38"/>
      <c r="X107" s="38"/>
      <c r="Y107" s="38"/>
      <c r="Z107" s="38"/>
      <c r="AA107" s="38"/>
    </row>
    <row r="108">
      <c r="A108" s="48">
        <v>104.0</v>
      </c>
      <c r="B108" s="49" t="s">
        <v>781</v>
      </c>
      <c r="C108" s="50" t="s">
        <v>304</v>
      </c>
      <c r="D108" s="51" t="s">
        <v>782</v>
      </c>
      <c r="E108" s="52" t="s">
        <v>783</v>
      </c>
      <c r="F108" s="53"/>
      <c r="G108" s="48" t="s">
        <v>784</v>
      </c>
      <c r="H108" s="50" t="s">
        <v>300</v>
      </c>
      <c r="I108" s="50" t="s">
        <v>785</v>
      </c>
      <c r="J108" s="38"/>
      <c r="K108" s="38"/>
      <c r="L108" s="48" t="s">
        <v>302</v>
      </c>
      <c r="M108" s="38"/>
      <c r="N108" s="38"/>
      <c r="O108" s="38"/>
      <c r="P108" s="38"/>
      <c r="Q108" s="38"/>
      <c r="R108" s="38"/>
      <c r="S108" s="38"/>
      <c r="T108" s="38"/>
      <c r="U108" s="38"/>
      <c r="V108" s="38"/>
      <c r="W108" s="38"/>
      <c r="X108" s="38"/>
      <c r="Y108" s="38"/>
      <c r="Z108" s="38"/>
      <c r="AA108" s="38"/>
    </row>
    <row r="109">
      <c r="A109" s="48">
        <v>105.0</v>
      </c>
      <c r="B109" s="49" t="s">
        <v>786</v>
      </c>
      <c r="C109" s="50" t="s">
        <v>304</v>
      </c>
      <c r="D109" s="51" t="s">
        <v>787</v>
      </c>
      <c r="E109" s="52" t="s">
        <v>788</v>
      </c>
      <c r="F109" s="53"/>
      <c r="G109" s="48" t="s">
        <v>789</v>
      </c>
      <c r="H109" s="50" t="s">
        <v>300</v>
      </c>
      <c r="I109" s="50" t="s">
        <v>785</v>
      </c>
      <c r="J109" s="38"/>
      <c r="K109" s="38"/>
      <c r="L109" s="48" t="s">
        <v>302</v>
      </c>
      <c r="M109" s="38"/>
      <c r="N109" s="38"/>
      <c r="O109" s="38"/>
      <c r="P109" s="38"/>
      <c r="Q109" s="38"/>
      <c r="R109" s="38"/>
      <c r="S109" s="38"/>
      <c r="T109" s="38"/>
      <c r="U109" s="38"/>
      <c r="V109" s="38"/>
      <c r="W109" s="38"/>
      <c r="X109" s="38"/>
      <c r="Y109" s="38"/>
      <c r="Z109" s="38"/>
      <c r="AA109" s="38"/>
    </row>
    <row r="110">
      <c r="A110" s="48">
        <v>106.0</v>
      </c>
      <c r="B110" s="49" t="s">
        <v>790</v>
      </c>
      <c r="C110" s="50" t="s">
        <v>296</v>
      </c>
      <c r="D110" s="51" t="s">
        <v>791</v>
      </c>
      <c r="E110" s="57" t="s">
        <v>792</v>
      </c>
      <c r="F110" s="53"/>
      <c r="G110" s="48" t="s">
        <v>793</v>
      </c>
      <c r="H110" s="50" t="s">
        <v>300</v>
      </c>
      <c r="I110" s="50" t="s">
        <v>785</v>
      </c>
      <c r="J110" s="38"/>
      <c r="K110" s="38"/>
      <c r="L110" s="48" t="s">
        <v>302</v>
      </c>
      <c r="M110" s="38"/>
      <c r="N110" s="38"/>
      <c r="O110" s="38"/>
      <c r="P110" s="38"/>
      <c r="Q110" s="38"/>
      <c r="R110" s="38"/>
      <c r="S110" s="38"/>
      <c r="T110" s="38"/>
      <c r="U110" s="38"/>
      <c r="V110" s="38"/>
      <c r="W110" s="38"/>
      <c r="X110" s="38"/>
      <c r="Y110" s="38"/>
      <c r="Z110" s="38"/>
      <c r="AA110" s="38"/>
    </row>
    <row r="111">
      <c r="A111" s="48">
        <v>107.0</v>
      </c>
      <c r="B111" s="49" t="s">
        <v>794</v>
      </c>
      <c r="C111" s="50" t="s">
        <v>328</v>
      </c>
      <c r="D111" s="51" t="s">
        <v>795</v>
      </c>
      <c r="E111" s="52" t="s">
        <v>796</v>
      </c>
      <c r="F111" s="53"/>
      <c r="G111" s="49" t="s">
        <v>797</v>
      </c>
      <c r="H111" s="50" t="s">
        <v>300</v>
      </c>
      <c r="I111" s="50" t="s">
        <v>798</v>
      </c>
      <c r="J111" s="38"/>
      <c r="K111" s="38"/>
      <c r="L111" s="48" t="s">
        <v>334</v>
      </c>
      <c r="M111" s="38"/>
      <c r="N111" s="38"/>
      <c r="O111" s="38"/>
      <c r="P111" s="38"/>
      <c r="Q111" s="38"/>
      <c r="R111" s="38"/>
      <c r="S111" s="38"/>
      <c r="T111" s="38"/>
      <c r="U111" s="38"/>
      <c r="V111" s="38"/>
      <c r="W111" s="38"/>
      <c r="X111" s="38"/>
      <c r="Y111" s="38"/>
      <c r="Z111" s="38"/>
      <c r="AA111" s="38"/>
    </row>
  </sheetData>
  <mergeCells count="1">
    <mergeCell ref="A1:M1"/>
  </mergeCells>
  <dataValidations>
    <dataValidation type="list" allowBlank="1" sqref="L5:L111">
      <formula1>"COD,NET 15,NET 30,NET 45,NET 60,Prepaid"</formula1>
    </dataValidation>
    <dataValidation type="list" allowBlank="1" sqref="C5:C111">
      <formula1>"retail,bar,restaurant,distributor,hotel,online,other"</formula1>
    </dataValidation>
  </dataValidations>
  <hyperlinks>
    <hyperlink r:id="rId1" ref="F4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3.5"/>
    <col customWidth="1" min="2" max="2" width="42.88"/>
    <col customWidth="1" min="3" max="3" width="8.38"/>
    <col customWidth="1" min="4" max="4" width="13.13"/>
    <col customWidth="1" min="5" max="5" width="44.63"/>
    <col customWidth="1" min="6" max="6" width="25.5"/>
    <col customWidth="1" min="7" max="7" width="5.88"/>
  </cols>
  <sheetData>
    <row r="1">
      <c r="A1" s="21" t="s">
        <v>799</v>
      </c>
    </row>
    <row r="2">
      <c r="A2" s="22" t="s">
        <v>39</v>
      </c>
      <c r="B2" s="22" t="s">
        <v>800</v>
      </c>
      <c r="C2" s="22" t="s">
        <v>801</v>
      </c>
      <c r="D2" s="22" t="s">
        <v>802</v>
      </c>
      <c r="E2" s="22" t="s">
        <v>803</v>
      </c>
      <c r="F2" s="22" t="s">
        <v>804</v>
      </c>
      <c r="G2" s="22" t="s">
        <v>98</v>
      </c>
    </row>
    <row r="3">
      <c r="A3" s="23" t="s">
        <v>49</v>
      </c>
      <c r="B3" s="23" t="s">
        <v>49</v>
      </c>
      <c r="C3" s="24"/>
      <c r="D3" s="24"/>
      <c r="E3" s="24"/>
      <c r="F3" s="24"/>
      <c r="G3" s="24"/>
    </row>
    <row r="4">
      <c r="A4" s="25" t="s">
        <v>50</v>
      </c>
      <c r="B4" s="25" t="s">
        <v>805</v>
      </c>
      <c r="C4" s="25" t="s">
        <v>50</v>
      </c>
      <c r="D4" s="25" t="s">
        <v>806</v>
      </c>
      <c r="E4" s="25" t="s">
        <v>807</v>
      </c>
      <c r="F4" s="25" t="s">
        <v>50</v>
      </c>
      <c r="G4" s="25" t="s">
        <v>50</v>
      </c>
    </row>
    <row r="5" ht="15.0" customHeight="1">
      <c r="A5" s="26" t="s">
        <v>808</v>
      </c>
      <c r="B5" s="26" t="s">
        <v>809</v>
      </c>
      <c r="C5" s="26">
        <v>30.0</v>
      </c>
      <c r="D5" s="26" t="s">
        <v>810</v>
      </c>
      <c r="E5" s="26" t="s">
        <v>811</v>
      </c>
      <c r="F5" s="27">
        <v>46120.0</v>
      </c>
    </row>
    <row r="6" ht="15.0" customHeight="1">
      <c r="A6" s="26" t="s">
        <v>812</v>
      </c>
      <c r="B6" s="26" t="s">
        <v>809</v>
      </c>
      <c r="C6" s="26">
        <v>2000.0</v>
      </c>
      <c r="D6" s="26" t="s">
        <v>158</v>
      </c>
      <c r="E6" s="26" t="s">
        <v>811</v>
      </c>
      <c r="F6" s="27">
        <v>46120.0</v>
      </c>
    </row>
    <row r="7" ht="15.0" customHeight="1">
      <c r="A7" s="26" t="s">
        <v>813</v>
      </c>
      <c r="B7" s="26" t="s">
        <v>809</v>
      </c>
      <c r="C7" s="26">
        <v>400.0</v>
      </c>
      <c r="D7" s="26" t="s">
        <v>158</v>
      </c>
      <c r="E7" s="26" t="s">
        <v>811</v>
      </c>
      <c r="F7" s="27">
        <v>46120.0</v>
      </c>
    </row>
    <row r="8">
      <c r="A8" s="26" t="s">
        <v>814</v>
      </c>
      <c r="B8" s="26" t="s">
        <v>815</v>
      </c>
      <c r="C8" s="26">
        <v>200.0</v>
      </c>
      <c r="D8" s="26" t="s">
        <v>105</v>
      </c>
      <c r="E8" s="26" t="s">
        <v>811</v>
      </c>
      <c r="F8" s="27">
        <v>45752.0</v>
      </c>
    </row>
    <row r="9">
      <c r="A9" s="26" t="s">
        <v>816</v>
      </c>
      <c r="B9" s="26" t="s">
        <v>817</v>
      </c>
      <c r="C9" s="26">
        <v>2.0</v>
      </c>
      <c r="D9" s="26" t="s">
        <v>810</v>
      </c>
      <c r="E9" s="26" t="s">
        <v>811</v>
      </c>
      <c r="F9" s="27">
        <v>46120.0</v>
      </c>
    </row>
    <row r="10">
      <c r="A10" s="26" t="s">
        <v>108</v>
      </c>
      <c r="B10" s="26" t="s">
        <v>817</v>
      </c>
      <c r="C10" s="26">
        <v>40.0</v>
      </c>
      <c r="D10" s="26" t="s">
        <v>818</v>
      </c>
      <c r="E10" s="26" t="s">
        <v>811</v>
      </c>
      <c r="F10" s="27">
        <v>46120.0</v>
      </c>
    </row>
    <row r="11">
      <c r="A11" s="26" t="s">
        <v>819</v>
      </c>
      <c r="B11" s="26" t="s">
        <v>817</v>
      </c>
      <c r="C11" s="26">
        <v>5.0</v>
      </c>
      <c r="D11" s="26" t="s">
        <v>810</v>
      </c>
      <c r="E11" s="26" t="s">
        <v>811</v>
      </c>
      <c r="F11" s="27">
        <v>46120.0</v>
      </c>
    </row>
    <row r="12">
      <c r="A12" s="26" t="s">
        <v>136</v>
      </c>
      <c r="B12" s="26" t="s">
        <v>817</v>
      </c>
      <c r="C12" s="26">
        <v>90.0</v>
      </c>
      <c r="D12" s="26" t="s">
        <v>818</v>
      </c>
      <c r="E12" s="26" t="s">
        <v>811</v>
      </c>
      <c r="F12" s="27">
        <v>46120.0</v>
      </c>
    </row>
    <row r="13">
      <c r="A13" s="26" t="s">
        <v>820</v>
      </c>
      <c r="B13" s="26" t="s">
        <v>821</v>
      </c>
      <c r="C13" s="26">
        <v>200.0</v>
      </c>
      <c r="D13" s="26" t="s">
        <v>105</v>
      </c>
      <c r="E13" s="26" t="s">
        <v>811</v>
      </c>
      <c r="F13" s="27">
        <v>46141.0</v>
      </c>
    </row>
    <row r="14">
      <c r="A14" s="26" t="s">
        <v>822</v>
      </c>
      <c r="B14" s="26" t="s">
        <v>821</v>
      </c>
      <c r="C14" s="26">
        <v>100.0</v>
      </c>
      <c r="D14" s="26" t="s">
        <v>105</v>
      </c>
      <c r="E14" s="26" t="s">
        <v>811</v>
      </c>
      <c r="F14" s="27">
        <v>46141.0</v>
      </c>
    </row>
    <row r="15">
      <c r="A15" s="26" t="s">
        <v>823</v>
      </c>
      <c r="B15" s="26" t="s">
        <v>815</v>
      </c>
      <c r="C15" s="26">
        <v>1200.0</v>
      </c>
      <c r="D15" s="26" t="s">
        <v>158</v>
      </c>
      <c r="E15" s="26" t="s">
        <v>811</v>
      </c>
      <c r="F15" s="27">
        <v>46136.0</v>
      </c>
    </row>
    <row r="16">
      <c r="A16" s="26" t="s">
        <v>824</v>
      </c>
      <c r="B16" s="26" t="s">
        <v>815</v>
      </c>
      <c r="C16" s="26">
        <v>1500.0</v>
      </c>
      <c r="D16" s="26" t="s">
        <v>158</v>
      </c>
      <c r="E16" s="26" t="s">
        <v>811</v>
      </c>
      <c r="F16" s="27">
        <v>46136.0</v>
      </c>
    </row>
    <row r="17">
      <c r="A17" s="26" t="s">
        <v>825</v>
      </c>
      <c r="B17" s="26" t="s">
        <v>809</v>
      </c>
      <c r="C17" s="26">
        <v>1500.0</v>
      </c>
      <c r="D17" s="26" t="s">
        <v>158</v>
      </c>
      <c r="E17" s="26" t="s">
        <v>811</v>
      </c>
      <c r="F17" s="27">
        <v>46136.0</v>
      </c>
    </row>
    <row r="18">
      <c r="A18" s="26" t="s">
        <v>826</v>
      </c>
      <c r="B18" s="26" t="s">
        <v>809</v>
      </c>
      <c r="C18" s="26">
        <v>10.0</v>
      </c>
      <c r="D18" s="26" t="s">
        <v>827</v>
      </c>
      <c r="E18" s="26" t="s">
        <v>811</v>
      </c>
      <c r="F18" s="27">
        <v>46136.0</v>
      </c>
    </row>
    <row r="19">
      <c r="A19" s="26" t="s">
        <v>828</v>
      </c>
      <c r="B19" s="26" t="s">
        <v>821</v>
      </c>
      <c r="C19" s="26">
        <v>500.0</v>
      </c>
      <c r="D19" s="26" t="s">
        <v>158</v>
      </c>
      <c r="E19" s="26" t="s">
        <v>811</v>
      </c>
      <c r="F19" s="27">
        <v>45752.0</v>
      </c>
    </row>
    <row r="20">
      <c r="A20" s="26" t="s">
        <v>829</v>
      </c>
      <c r="B20" s="26" t="s">
        <v>821</v>
      </c>
      <c r="C20" s="26">
        <v>2000.0</v>
      </c>
      <c r="D20" s="26" t="s">
        <v>158</v>
      </c>
      <c r="E20" s="26" t="s">
        <v>811</v>
      </c>
      <c r="F20" s="27">
        <v>46141.0</v>
      </c>
    </row>
    <row r="21">
      <c r="A21" s="26" t="s">
        <v>830</v>
      </c>
      <c r="B21" s="26" t="s">
        <v>821</v>
      </c>
      <c r="C21" s="26">
        <v>500.0</v>
      </c>
      <c r="D21" s="26" t="s">
        <v>158</v>
      </c>
      <c r="E21" s="26" t="s">
        <v>811</v>
      </c>
      <c r="F21" s="27">
        <v>46141.0</v>
      </c>
    </row>
    <row r="22">
      <c r="A22" s="26" t="s">
        <v>831</v>
      </c>
      <c r="B22" s="26" t="s">
        <v>832</v>
      </c>
      <c r="C22" s="26">
        <v>2000.0</v>
      </c>
      <c r="D22" s="26" t="s">
        <v>158</v>
      </c>
      <c r="E22" s="26" t="s">
        <v>811</v>
      </c>
      <c r="F22" s="27">
        <v>46127.0</v>
      </c>
    </row>
    <row r="23">
      <c r="A23" s="26" t="s">
        <v>833</v>
      </c>
      <c r="B23" s="26" t="s">
        <v>832</v>
      </c>
      <c r="C23" s="26">
        <v>2000.0</v>
      </c>
      <c r="D23" s="26" t="s">
        <v>158</v>
      </c>
      <c r="E23" s="26" t="s">
        <v>811</v>
      </c>
      <c r="F23" s="27">
        <v>46120.0</v>
      </c>
    </row>
    <row r="24">
      <c r="A24" s="26" t="s">
        <v>834</v>
      </c>
      <c r="B24" s="26" t="s">
        <v>832</v>
      </c>
      <c r="C24" s="26">
        <v>2000.0</v>
      </c>
      <c r="D24" s="26" t="s">
        <v>158</v>
      </c>
      <c r="E24" s="26" t="s">
        <v>811</v>
      </c>
      <c r="F24" s="27">
        <v>46118.0</v>
      </c>
    </row>
    <row r="25">
      <c r="A25" s="26" t="s">
        <v>835</v>
      </c>
      <c r="B25" s="26" t="s">
        <v>832</v>
      </c>
      <c r="C25" s="26">
        <v>2000.0</v>
      </c>
      <c r="D25" s="26" t="s">
        <v>158</v>
      </c>
      <c r="E25" s="26" t="s">
        <v>811</v>
      </c>
      <c r="F25" s="27">
        <v>46118.0</v>
      </c>
    </row>
    <row r="26">
      <c r="A26" s="26" t="s">
        <v>836</v>
      </c>
      <c r="B26" s="26" t="s">
        <v>832</v>
      </c>
      <c r="C26" s="26">
        <v>2000.0</v>
      </c>
      <c r="D26" s="26" t="s">
        <v>158</v>
      </c>
      <c r="E26" s="26" t="s">
        <v>811</v>
      </c>
      <c r="F26" s="27">
        <v>46120.0</v>
      </c>
    </row>
    <row r="27">
      <c r="A27" s="26" t="s">
        <v>837</v>
      </c>
      <c r="B27" s="26" t="s">
        <v>832</v>
      </c>
      <c r="C27" s="26">
        <v>800.0</v>
      </c>
      <c r="D27" s="26" t="s">
        <v>158</v>
      </c>
      <c r="E27" s="26" t="s">
        <v>811</v>
      </c>
      <c r="F27" s="27">
        <v>46111.0</v>
      </c>
    </row>
    <row r="28">
      <c r="A28" s="26" t="s">
        <v>838</v>
      </c>
      <c r="B28" s="26" t="s">
        <v>832</v>
      </c>
      <c r="C28" s="26">
        <v>800.0</v>
      </c>
      <c r="D28" s="26" t="s">
        <v>158</v>
      </c>
      <c r="E28" s="26" t="s">
        <v>811</v>
      </c>
      <c r="F28" s="27">
        <v>46111.0</v>
      </c>
    </row>
    <row r="29">
      <c r="A29" s="26" t="s">
        <v>839</v>
      </c>
      <c r="B29" s="26" t="s">
        <v>832</v>
      </c>
      <c r="C29" s="26">
        <v>800.0</v>
      </c>
      <c r="D29" s="26" t="s">
        <v>158</v>
      </c>
      <c r="E29" s="26" t="s">
        <v>811</v>
      </c>
      <c r="F29" s="27">
        <v>46099.0</v>
      </c>
    </row>
    <row r="30">
      <c r="A30" s="26" t="s">
        <v>840</v>
      </c>
      <c r="B30" s="26" t="s">
        <v>832</v>
      </c>
      <c r="C30" s="26">
        <v>800.0</v>
      </c>
      <c r="D30" s="26" t="s">
        <v>158</v>
      </c>
      <c r="E30" s="26" t="s">
        <v>811</v>
      </c>
      <c r="F30" s="27">
        <v>46099.0</v>
      </c>
    </row>
    <row r="31">
      <c r="A31" s="26" t="s">
        <v>841</v>
      </c>
      <c r="B31" s="26" t="s">
        <v>188</v>
      </c>
      <c r="C31" s="26">
        <v>40.0</v>
      </c>
      <c r="D31" s="26" t="s">
        <v>842</v>
      </c>
      <c r="E31" s="26" t="s">
        <v>811</v>
      </c>
      <c r="F31" s="27">
        <v>46141.0</v>
      </c>
    </row>
    <row r="32">
      <c r="A32" s="26" t="s">
        <v>843</v>
      </c>
      <c r="B32" s="26" t="s">
        <v>188</v>
      </c>
      <c r="C32" s="26">
        <v>200.0</v>
      </c>
      <c r="D32" s="26" t="s">
        <v>105</v>
      </c>
      <c r="E32" s="26" t="s">
        <v>844</v>
      </c>
      <c r="F32" s="27">
        <v>46141.0</v>
      </c>
    </row>
    <row r="33">
      <c r="A33" s="26" t="s">
        <v>845</v>
      </c>
      <c r="B33" s="26" t="s">
        <v>188</v>
      </c>
      <c r="C33" s="26">
        <v>200.0</v>
      </c>
      <c r="D33" s="26" t="s">
        <v>105</v>
      </c>
      <c r="E33" s="26" t="s">
        <v>844</v>
      </c>
      <c r="F33" s="27">
        <v>46141.0</v>
      </c>
    </row>
    <row r="34">
      <c r="A34" s="26" t="s">
        <v>846</v>
      </c>
      <c r="B34" s="26" t="s">
        <v>188</v>
      </c>
      <c r="C34" s="26">
        <v>200.0</v>
      </c>
      <c r="D34" s="26" t="s">
        <v>105</v>
      </c>
      <c r="E34" s="26" t="s">
        <v>844</v>
      </c>
      <c r="F34" s="27">
        <v>46141.0</v>
      </c>
    </row>
    <row r="35">
      <c r="A35" s="26" t="s">
        <v>847</v>
      </c>
      <c r="B35" s="26" t="s">
        <v>848</v>
      </c>
      <c r="C35" s="26">
        <v>500.0</v>
      </c>
      <c r="D35" s="26" t="s">
        <v>158</v>
      </c>
      <c r="E35" s="26" t="s">
        <v>811</v>
      </c>
      <c r="F35" s="27">
        <v>46141.0</v>
      </c>
    </row>
    <row r="36">
      <c r="A36" s="26" t="s">
        <v>849</v>
      </c>
      <c r="B36" s="26" t="s">
        <v>821</v>
      </c>
      <c r="C36" s="26">
        <v>35.0</v>
      </c>
      <c r="D36" s="26" t="s">
        <v>105</v>
      </c>
      <c r="E36" s="26" t="s">
        <v>844</v>
      </c>
      <c r="F36" s="27">
        <v>46141.0</v>
      </c>
    </row>
    <row r="37">
      <c r="A37" s="26" t="s">
        <v>850</v>
      </c>
      <c r="B37" s="26" t="s">
        <v>848</v>
      </c>
      <c r="C37" s="26">
        <v>1.0</v>
      </c>
      <c r="D37" s="26" t="s">
        <v>818</v>
      </c>
      <c r="E37" s="26" t="s">
        <v>844</v>
      </c>
      <c r="F37" s="27">
        <v>46141.0</v>
      </c>
    </row>
    <row r="38">
      <c r="A38" s="26" t="s">
        <v>851</v>
      </c>
      <c r="B38" s="26" t="s">
        <v>815</v>
      </c>
      <c r="C38" s="26">
        <v>100.0</v>
      </c>
      <c r="D38" s="26" t="s">
        <v>158</v>
      </c>
      <c r="E38" s="26" t="s">
        <v>811</v>
      </c>
      <c r="F38" s="27">
        <v>46141.0</v>
      </c>
    </row>
    <row r="39">
      <c r="A39" s="26" t="s">
        <v>852</v>
      </c>
      <c r="B39" s="26" t="s">
        <v>832</v>
      </c>
      <c r="C39" s="26">
        <v>100.0</v>
      </c>
      <c r="D39" s="26" t="s">
        <v>158</v>
      </c>
      <c r="E39" s="26" t="s">
        <v>811</v>
      </c>
      <c r="F39" s="27">
        <v>46141.0</v>
      </c>
    </row>
    <row r="40">
      <c r="A40" s="26" t="s">
        <v>853</v>
      </c>
      <c r="B40" s="26" t="s">
        <v>832</v>
      </c>
      <c r="C40" s="26">
        <v>100.0</v>
      </c>
      <c r="D40" s="26" t="s">
        <v>158</v>
      </c>
      <c r="E40" s="26" t="s">
        <v>811</v>
      </c>
      <c r="F40" s="27">
        <v>46141.0</v>
      </c>
    </row>
    <row r="41">
      <c r="A41" s="26" t="s">
        <v>854</v>
      </c>
      <c r="B41" s="26" t="s">
        <v>832</v>
      </c>
      <c r="C41" s="26">
        <v>100.0</v>
      </c>
      <c r="D41" s="26" t="s">
        <v>158</v>
      </c>
      <c r="E41" s="26" t="s">
        <v>811</v>
      </c>
      <c r="F41" s="27">
        <v>46141.0</v>
      </c>
    </row>
    <row r="42">
      <c r="A42" s="26" t="s">
        <v>855</v>
      </c>
      <c r="B42" s="26" t="s">
        <v>821</v>
      </c>
      <c r="C42" s="26">
        <v>1.0</v>
      </c>
      <c r="D42" s="26" t="s">
        <v>189</v>
      </c>
      <c r="E42" s="26" t="s">
        <v>811</v>
      </c>
      <c r="F42" s="27">
        <v>46141.0</v>
      </c>
    </row>
    <row r="43">
      <c r="A43" s="26" t="s">
        <v>856</v>
      </c>
      <c r="B43" s="26" t="s">
        <v>821</v>
      </c>
      <c r="C43" s="26">
        <v>1.0</v>
      </c>
      <c r="D43" s="26" t="s">
        <v>189</v>
      </c>
      <c r="E43" s="26" t="s">
        <v>811</v>
      </c>
      <c r="F43" s="27">
        <v>46141.0</v>
      </c>
    </row>
    <row r="44">
      <c r="A44" s="26" t="s">
        <v>857</v>
      </c>
      <c r="B44" s="26" t="s">
        <v>821</v>
      </c>
      <c r="C44" s="26">
        <v>60.0</v>
      </c>
      <c r="D44" s="26" t="s">
        <v>105</v>
      </c>
      <c r="E44" s="26" t="s">
        <v>811</v>
      </c>
      <c r="F44" s="27">
        <v>46141.0</v>
      </c>
    </row>
    <row r="45">
      <c r="A45" s="26" t="s">
        <v>858</v>
      </c>
      <c r="B45" s="26" t="s">
        <v>821</v>
      </c>
      <c r="C45" s="26">
        <v>5.0</v>
      </c>
      <c r="D45" s="26" t="s">
        <v>105</v>
      </c>
      <c r="E45" s="26" t="s">
        <v>811</v>
      </c>
      <c r="F45" s="27">
        <v>46141.0</v>
      </c>
    </row>
    <row r="46">
      <c r="A46" s="26" t="s">
        <v>858</v>
      </c>
      <c r="B46" s="26" t="s">
        <v>821</v>
      </c>
      <c r="C46" s="26">
        <v>1.0</v>
      </c>
      <c r="D46" s="26" t="s">
        <v>105</v>
      </c>
      <c r="E46" s="26" t="s">
        <v>811</v>
      </c>
      <c r="F46" s="27">
        <v>46141.0</v>
      </c>
    </row>
    <row r="47">
      <c r="A47" s="26" t="s">
        <v>859</v>
      </c>
      <c r="B47" s="26" t="s">
        <v>179</v>
      </c>
      <c r="C47" s="26">
        <v>1.0</v>
      </c>
      <c r="D47" s="26" t="s">
        <v>189</v>
      </c>
      <c r="E47" s="26" t="s">
        <v>811</v>
      </c>
      <c r="F47" s="27">
        <v>46141.0</v>
      </c>
    </row>
    <row r="48">
      <c r="A48" s="26" t="s">
        <v>860</v>
      </c>
      <c r="B48" s="26" t="s">
        <v>821</v>
      </c>
      <c r="C48" s="26">
        <v>20.0</v>
      </c>
      <c r="D48" s="26" t="s">
        <v>861</v>
      </c>
      <c r="E48" s="26" t="s">
        <v>844</v>
      </c>
      <c r="F48" s="27">
        <v>46141.0</v>
      </c>
    </row>
    <row r="49">
      <c r="A49" s="26" t="s">
        <v>862</v>
      </c>
      <c r="B49" s="26" t="s">
        <v>821</v>
      </c>
      <c r="C49" s="26">
        <v>6.0</v>
      </c>
      <c r="D49" s="26" t="s">
        <v>861</v>
      </c>
      <c r="E49" s="26" t="s">
        <v>844</v>
      </c>
      <c r="F49" s="27">
        <v>46141.0</v>
      </c>
    </row>
    <row r="50">
      <c r="A50" s="26" t="s">
        <v>863</v>
      </c>
      <c r="B50" s="26" t="s">
        <v>848</v>
      </c>
      <c r="C50" s="26">
        <v>1.0</v>
      </c>
      <c r="D50" s="26" t="s">
        <v>189</v>
      </c>
      <c r="E50" s="26" t="s">
        <v>811</v>
      </c>
      <c r="F50" s="27">
        <v>46141.0</v>
      </c>
    </row>
    <row r="51">
      <c r="A51" s="26" t="s">
        <v>864</v>
      </c>
      <c r="B51" s="26" t="s">
        <v>188</v>
      </c>
      <c r="C51" s="26">
        <v>1.0</v>
      </c>
      <c r="D51" s="26" t="s">
        <v>189</v>
      </c>
      <c r="E51" s="26" t="s">
        <v>811</v>
      </c>
      <c r="F51" s="27">
        <v>46141.0</v>
      </c>
    </row>
    <row r="52">
      <c r="A52" s="26" t="s">
        <v>865</v>
      </c>
      <c r="B52" s="26" t="s">
        <v>179</v>
      </c>
      <c r="C52" s="26">
        <v>40.0</v>
      </c>
      <c r="D52" s="26" t="s">
        <v>866</v>
      </c>
      <c r="E52" s="26" t="s">
        <v>811</v>
      </c>
      <c r="F52" s="27">
        <v>46141.0</v>
      </c>
    </row>
    <row r="53">
      <c r="A53" s="26" t="s">
        <v>867</v>
      </c>
      <c r="B53" s="26" t="s">
        <v>821</v>
      </c>
      <c r="C53" s="26">
        <v>1.0</v>
      </c>
      <c r="D53" s="26" t="s">
        <v>810</v>
      </c>
      <c r="E53" s="26" t="s">
        <v>811</v>
      </c>
      <c r="F53" s="27">
        <v>46141.0</v>
      </c>
    </row>
    <row r="54">
      <c r="A54" s="26" t="s">
        <v>868</v>
      </c>
      <c r="B54" s="26" t="s">
        <v>821</v>
      </c>
      <c r="C54" s="26">
        <v>4.0</v>
      </c>
      <c r="D54" s="26" t="s">
        <v>869</v>
      </c>
      <c r="E54" s="26" t="s">
        <v>811</v>
      </c>
      <c r="F54" s="27">
        <v>46141.0</v>
      </c>
    </row>
    <row r="55">
      <c r="A55" s="26" t="s">
        <v>870</v>
      </c>
      <c r="B55" s="26" t="s">
        <v>821</v>
      </c>
      <c r="C55" s="26">
        <v>4.0</v>
      </c>
      <c r="D55" s="26" t="s">
        <v>869</v>
      </c>
      <c r="E55" s="26" t="s">
        <v>811</v>
      </c>
      <c r="F55" s="27">
        <v>46141.0</v>
      </c>
    </row>
    <row r="56">
      <c r="A56" s="26" t="s">
        <v>871</v>
      </c>
      <c r="B56" s="26" t="s">
        <v>821</v>
      </c>
      <c r="C56" s="26">
        <v>4.0</v>
      </c>
      <c r="D56" s="26" t="s">
        <v>869</v>
      </c>
      <c r="E56" s="26" t="s">
        <v>811</v>
      </c>
      <c r="F56" s="27">
        <v>46141.0</v>
      </c>
    </row>
    <row r="57">
      <c r="A57" s="26" t="s">
        <v>872</v>
      </c>
      <c r="B57" s="26" t="s">
        <v>821</v>
      </c>
      <c r="C57" s="26">
        <v>4.0</v>
      </c>
      <c r="D57" s="26" t="s">
        <v>869</v>
      </c>
      <c r="E57" s="26" t="s">
        <v>811</v>
      </c>
      <c r="F57" s="27">
        <v>46141.0</v>
      </c>
    </row>
    <row r="58">
      <c r="A58" s="26" t="s">
        <v>873</v>
      </c>
      <c r="B58" s="26" t="s">
        <v>821</v>
      </c>
      <c r="C58" s="26">
        <v>4.0</v>
      </c>
      <c r="D58" s="26" t="s">
        <v>869</v>
      </c>
      <c r="E58" s="26" t="s">
        <v>844</v>
      </c>
      <c r="F58" s="27">
        <v>46141.0</v>
      </c>
    </row>
    <row r="59">
      <c r="A59" s="26" t="s">
        <v>874</v>
      </c>
      <c r="B59" s="26" t="s">
        <v>821</v>
      </c>
      <c r="C59" s="26">
        <v>4.0</v>
      </c>
      <c r="D59" s="26" t="s">
        <v>869</v>
      </c>
      <c r="E59" s="26" t="s">
        <v>844</v>
      </c>
      <c r="F59" s="27">
        <v>46141.0</v>
      </c>
    </row>
    <row r="60">
      <c r="A60" s="26" t="s">
        <v>875</v>
      </c>
      <c r="B60" s="26" t="s">
        <v>821</v>
      </c>
      <c r="C60" s="26">
        <v>2.0</v>
      </c>
      <c r="D60" s="26" t="s">
        <v>869</v>
      </c>
      <c r="E60" s="26" t="s">
        <v>844</v>
      </c>
      <c r="F60" s="27">
        <v>46141.0</v>
      </c>
    </row>
    <row r="61">
      <c r="A61" s="26" t="s">
        <v>876</v>
      </c>
      <c r="B61" s="26" t="s">
        <v>821</v>
      </c>
      <c r="C61" s="26">
        <v>1.0</v>
      </c>
      <c r="D61" s="26" t="s">
        <v>869</v>
      </c>
      <c r="E61" s="26" t="s">
        <v>844</v>
      </c>
      <c r="F61" s="27">
        <v>46141.0</v>
      </c>
    </row>
    <row r="62">
      <c r="A62" s="26" t="s">
        <v>877</v>
      </c>
      <c r="B62" s="26" t="s">
        <v>821</v>
      </c>
      <c r="C62" s="26">
        <v>1.0</v>
      </c>
      <c r="D62" s="26" t="s">
        <v>869</v>
      </c>
      <c r="E62" s="26" t="s">
        <v>844</v>
      </c>
      <c r="F62" s="27">
        <v>46141.0</v>
      </c>
    </row>
    <row r="63">
      <c r="A63" s="26" t="s">
        <v>878</v>
      </c>
      <c r="B63" s="26" t="s">
        <v>821</v>
      </c>
      <c r="C63" s="26">
        <v>8.0</v>
      </c>
      <c r="D63" s="26" t="s">
        <v>869</v>
      </c>
      <c r="E63" s="26" t="s">
        <v>811</v>
      </c>
      <c r="F63" s="27">
        <v>46141.0</v>
      </c>
    </row>
    <row r="64">
      <c r="A64" s="26" t="s">
        <v>879</v>
      </c>
      <c r="B64" s="26" t="s">
        <v>821</v>
      </c>
      <c r="C64" s="26">
        <v>1.0</v>
      </c>
      <c r="D64" s="26" t="s">
        <v>189</v>
      </c>
      <c r="E64" s="26" t="s">
        <v>811</v>
      </c>
      <c r="F64" s="27">
        <v>46141.0</v>
      </c>
    </row>
    <row r="65">
      <c r="A65" s="26" t="s">
        <v>880</v>
      </c>
      <c r="B65" s="26" t="s">
        <v>821</v>
      </c>
      <c r="C65" s="26">
        <v>1.0</v>
      </c>
      <c r="D65" s="26" t="s">
        <v>189</v>
      </c>
      <c r="E65" s="26" t="s">
        <v>811</v>
      </c>
      <c r="F65" s="27">
        <v>46141.0</v>
      </c>
    </row>
    <row r="66">
      <c r="A66" s="26" t="s">
        <v>881</v>
      </c>
      <c r="B66" s="26" t="s">
        <v>188</v>
      </c>
      <c r="C66" s="26">
        <v>15.0</v>
      </c>
      <c r="D66" s="26" t="s">
        <v>842</v>
      </c>
      <c r="E66" s="26" t="s">
        <v>811</v>
      </c>
      <c r="F66" s="27">
        <v>46141.0</v>
      </c>
    </row>
  </sheetData>
  <mergeCells count="1">
    <mergeCell ref="A1:G1"/>
  </mergeCells>
  <dataValidations>
    <dataValidation type="list" allowBlank="1" sqref="D5:D66">
      <formula1>"L,kg,gal"</formula1>
    </dataValidation>
    <dataValidation type="list" allowBlank="1" sqref="E5:E66">
      <formula1>"available,in_use,maintenance,cleaning,out_of_service"</formula1>
    </dataValidation>
    <dataValidation type="list" allowBlank="1" sqref="B5:B66">
      <formula1>"fermenter,brewhouse,processing,packaging,cooling,cleaning,filtration"</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8.88"/>
    <col customWidth="1" min="2" max="2" width="8.38"/>
    <col customWidth="1" min="3" max="3" width="10.5"/>
    <col customWidth="1" min="4" max="4" width="27.0"/>
    <col customWidth="1" min="5" max="5" width="13.25"/>
    <col customWidth="1" min="6" max="6" width="15.13"/>
    <col customWidth="1" min="7" max="7" width="15.5"/>
    <col customWidth="1" min="8" max="8" width="19.0"/>
    <col customWidth="1" min="9" max="9" width="12.75"/>
    <col customWidth="1" min="10" max="10" width="13.13"/>
    <col customWidth="1" min="11" max="11" width="20.0"/>
    <col customWidth="1" min="12" max="12" width="42.0"/>
  </cols>
  <sheetData>
    <row r="1">
      <c r="A1" s="21" t="s">
        <v>882</v>
      </c>
    </row>
    <row r="2">
      <c r="A2" s="22" t="s">
        <v>39</v>
      </c>
      <c r="B2" s="22" t="s">
        <v>883</v>
      </c>
      <c r="C2" s="22" t="s">
        <v>884</v>
      </c>
      <c r="D2" s="22" t="s">
        <v>885</v>
      </c>
      <c r="E2" s="22" t="s">
        <v>886</v>
      </c>
      <c r="F2" s="22" t="s">
        <v>887</v>
      </c>
      <c r="G2" s="22" t="s">
        <v>888</v>
      </c>
      <c r="H2" s="22" t="s">
        <v>889</v>
      </c>
      <c r="I2" s="22" t="s">
        <v>890</v>
      </c>
      <c r="J2" s="22" t="s">
        <v>891</v>
      </c>
      <c r="K2" s="22" t="s">
        <v>892</v>
      </c>
      <c r="L2" s="76" t="s">
        <v>43</v>
      </c>
    </row>
    <row r="3">
      <c r="A3" s="23" t="s">
        <v>49</v>
      </c>
      <c r="B3" s="24"/>
      <c r="C3" s="24"/>
      <c r="D3" s="24"/>
      <c r="E3" s="24"/>
      <c r="F3" s="24"/>
      <c r="G3" s="24"/>
      <c r="H3" s="24"/>
      <c r="I3" s="24"/>
      <c r="J3" s="24"/>
      <c r="K3" s="24"/>
      <c r="L3" s="77"/>
    </row>
    <row r="4">
      <c r="A4" s="25" t="s">
        <v>50</v>
      </c>
      <c r="B4" s="25" t="s">
        <v>50</v>
      </c>
      <c r="C4" s="25" t="s">
        <v>50</v>
      </c>
      <c r="D4" s="25" t="s">
        <v>893</v>
      </c>
      <c r="E4" s="25" t="s">
        <v>894</v>
      </c>
      <c r="F4" s="25" t="s">
        <v>50</v>
      </c>
      <c r="G4" s="25" t="s">
        <v>50</v>
      </c>
      <c r="H4" s="25" t="s">
        <v>895</v>
      </c>
      <c r="I4" s="25" t="s">
        <v>50</v>
      </c>
      <c r="J4" s="25" t="s">
        <v>50</v>
      </c>
      <c r="K4" s="25" t="s">
        <v>50</v>
      </c>
      <c r="L4" s="78" t="s">
        <v>50</v>
      </c>
    </row>
    <row r="5">
      <c r="A5" s="26" t="s">
        <v>896</v>
      </c>
      <c r="B5" s="26" t="s">
        <v>897</v>
      </c>
      <c r="C5" s="79" t="s">
        <v>898</v>
      </c>
      <c r="D5" s="26" t="s">
        <v>899</v>
      </c>
      <c r="E5" s="26" t="s">
        <v>900</v>
      </c>
      <c r="F5" s="26">
        <v>73.0</v>
      </c>
      <c r="G5" s="26">
        <v>77.0</v>
      </c>
      <c r="H5" s="26" t="s">
        <v>901</v>
      </c>
      <c r="I5" s="26">
        <v>15.0</v>
      </c>
      <c r="J5" s="26">
        <v>24.0</v>
      </c>
      <c r="K5" s="26">
        <v>11.0</v>
      </c>
      <c r="L5" s="3" t="s">
        <v>902</v>
      </c>
    </row>
    <row r="6">
      <c r="A6" s="26" t="s">
        <v>903</v>
      </c>
      <c r="B6" s="26" t="s">
        <v>904</v>
      </c>
      <c r="C6" s="79" t="s">
        <v>905</v>
      </c>
      <c r="D6" s="26" t="s">
        <v>899</v>
      </c>
      <c r="E6" s="26" t="s">
        <v>900</v>
      </c>
      <c r="F6" s="26">
        <v>76.0</v>
      </c>
      <c r="G6" s="26">
        <v>80.0</v>
      </c>
      <c r="H6" s="26" t="s">
        <v>906</v>
      </c>
      <c r="I6" s="26">
        <v>18.0</v>
      </c>
      <c r="J6" s="26">
        <v>22.0</v>
      </c>
      <c r="K6" s="26">
        <v>13.0</v>
      </c>
      <c r="L6" s="3" t="s">
        <v>907</v>
      </c>
    </row>
    <row r="7">
      <c r="A7" s="26" t="s">
        <v>908</v>
      </c>
      <c r="B7" s="26" t="s">
        <v>904</v>
      </c>
      <c r="C7" s="79" t="s">
        <v>909</v>
      </c>
      <c r="D7" s="26" t="s">
        <v>910</v>
      </c>
      <c r="E7" s="26" t="s">
        <v>900</v>
      </c>
      <c r="F7" s="26">
        <v>73.0</v>
      </c>
      <c r="G7" s="26">
        <v>77.0</v>
      </c>
      <c r="H7" s="26" t="s">
        <v>911</v>
      </c>
      <c r="I7" s="26">
        <v>19.0</v>
      </c>
      <c r="J7" s="26">
        <v>24.0</v>
      </c>
      <c r="K7" s="26">
        <v>12.0</v>
      </c>
      <c r="L7" s="3" t="s">
        <v>912</v>
      </c>
    </row>
    <row r="8">
      <c r="A8" s="26" t="s">
        <v>913</v>
      </c>
      <c r="B8" s="26" t="s">
        <v>904</v>
      </c>
      <c r="C8" s="80" t="s">
        <v>914</v>
      </c>
      <c r="D8" s="26" t="s">
        <v>899</v>
      </c>
      <c r="E8" s="26" t="s">
        <v>900</v>
      </c>
      <c r="F8" s="26">
        <v>73.0</v>
      </c>
      <c r="G8" s="26">
        <v>77.0</v>
      </c>
      <c r="H8" s="26" t="s">
        <v>915</v>
      </c>
      <c r="I8" s="26">
        <v>19.0</v>
      </c>
      <c r="J8" s="26">
        <v>22.0</v>
      </c>
      <c r="K8" s="26">
        <v>13.0</v>
      </c>
      <c r="L8" s="3" t="s">
        <v>916</v>
      </c>
    </row>
    <row r="9">
      <c r="A9" s="26" t="s">
        <v>917</v>
      </c>
      <c r="B9" s="26" t="s">
        <v>904</v>
      </c>
      <c r="C9" s="79" t="s">
        <v>918</v>
      </c>
      <c r="D9" s="26" t="s">
        <v>919</v>
      </c>
      <c r="E9" s="26" t="s">
        <v>900</v>
      </c>
      <c r="F9" s="26">
        <v>76.0</v>
      </c>
      <c r="G9" s="26">
        <v>80.0</v>
      </c>
      <c r="H9" s="26" t="s">
        <v>920</v>
      </c>
      <c r="I9" s="26">
        <v>9.0</v>
      </c>
      <c r="J9" s="26">
        <v>16.0</v>
      </c>
      <c r="K9" s="26">
        <v>12.0</v>
      </c>
      <c r="L9" s="3" t="s">
        <v>921</v>
      </c>
    </row>
    <row r="10">
      <c r="A10" s="26" t="s">
        <v>922</v>
      </c>
      <c r="B10" s="26" t="s">
        <v>904</v>
      </c>
      <c r="C10" s="26" t="s">
        <v>923</v>
      </c>
      <c r="D10" s="26" t="s">
        <v>899</v>
      </c>
      <c r="E10" s="26" t="s">
        <v>900</v>
      </c>
      <c r="F10" s="26">
        <v>73.0</v>
      </c>
      <c r="G10" s="26">
        <v>66.0</v>
      </c>
      <c r="H10" s="26" t="s">
        <v>924</v>
      </c>
      <c r="I10" s="26">
        <v>18.0</v>
      </c>
      <c r="J10" s="26">
        <v>21.0</v>
      </c>
      <c r="K10" s="26">
        <v>10.0</v>
      </c>
      <c r="L10" s="3" t="s">
        <v>925</v>
      </c>
    </row>
  </sheetData>
  <mergeCells count="1">
    <mergeCell ref="A1:L1"/>
  </mergeCells>
  <dataValidations>
    <dataValidation type="list" allowBlank="1" sqref="H7:H9">
      <formula1>"low,medium,high"</formula1>
    </dataValidation>
    <dataValidation type="list" allowBlank="1" sqref="D6:D9">
      <formula1>"ale,lager,wheat,belgian,wild,other"</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5.75"/>
    <col customWidth="1" min="2" max="2" width="25.38"/>
    <col customWidth="1" min="3" max="3" width="8.88"/>
    <col customWidth="1" min="4" max="4" width="15.38"/>
    <col customWidth="1" min="5" max="5" width="18.63"/>
    <col customWidth="1" min="6" max="6" width="19.13"/>
    <col customWidth="1" min="7" max="7" width="12.5"/>
    <col customWidth="1" min="8" max="8" width="5.88"/>
  </cols>
  <sheetData>
    <row r="1">
      <c r="A1" s="21" t="s">
        <v>926</v>
      </c>
    </row>
    <row r="2">
      <c r="A2" s="22" t="s">
        <v>39</v>
      </c>
      <c r="B2" s="22" t="s">
        <v>285</v>
      </c>
      <c r="C2" s="22" t="s">
        <v>91</v>
      </c>
      <c r="D2" s="22" t="s">
        <v>90</v>
      </c>
      <c r="E2" s="22" t="s">
        <v>93</v>
      </c>
      <c r="F2" s="22" t="s">
        <v>94</v>
      </c>
      <c r="G2" s="22" t="s">
        <v>927</v>
      </c>
      <c r="H2" s="22" t="s">
        <v>98</v>
      </c>
    </row>
    <row r="3">
      <c r="A3" s="23" t="s">
        <v>49</v>
      </c>
      <c r="B3" s="23" t="s">
        <v>49</v>
      </c>
      <c r="C3" s="23" t="s">
        <v>49</v>
      </c>
      <c r="D3" s="23" t="s">
        <v>49</v>
      </c>
      <c r="E3" s="24"/>
      <c r="F3" s="24"/>
      <c r="G3" s="24"/>
      <c r="H3" s="24"/>
    </row>
    <row r="4">
      <c r="A4" s="25" t="s">
        <v>50</v>
      </c>
      <c r="B4" s="25" t="s">
        <v>928</v>
      </c>
      <c r="C4" s="25" t="s">
        <v>101</v>
      </c>
      <c r="D4" s="25" t="s">
        <v>929</v>
      </c>
      <c r="E4" s="25" t="s">
        <v>51</v>
      </c>
      <c r="F4" s="25" t="s">
        <v>50</v>
      </c>
      <c r="G4" s="25" t="s">
        <v>50</v>
      </c>
      <c r="H4" s="25" t="s">
        <v>50</v>
      </c>
    </row>
    <row r="5">
      <c r="A5" s="26" t="s">
        <v>187</v>
      </c>
      <c r="B5" s="26" t="s">
        <v>930</v>
      </c>
      <c r="C5" s="28">
        <f>15*300</f>
        <v>4500</v>
      </c>
      <c r="D5" s="26" t="s">
        <v>189</v>
      </c>
      <c r="E5" s="26">
        <v>1950.0</v>
      </c>
      <c r="F5" s="26" t="s">
        <v>190</v>
      </c>
      <c r="G5" s="26">
        <v>10000.0</v>
      </c>
    </row>
    <row r="6">
      <c r="A6" s="26" t="s">
        <v>191</v>
      </c>
      <c r="B6" s="26" t="s">
        <v>931</v>
      </c>
      <c r="C6" s="26">
        <v>699.0</v>
      </c>
      <c r="D6" s="26" t="s">
        <v>189</v>
      </c>
      <c r="E6" s="26">
        <v>900000.0</v>
      </c>
      <c r="F6" s="26" t="s">
        <v>192</v>
      </c>
      <c r="G6" s="26">
        <v>0.0</v>
      </c>
    </row>
    <row r="7">
      <c r="A7" s="26" t="s">
        <v>194</v>
      </c>
      <c r="B7" s="26" t="s">
        <v>932</v>
      </c>
      <c r="C7" s="26">
        <f>2500+300</f>
        <v>2800</v>
      </c>
      <c r="D7" s="26" t="s">
        <v>189</v>
      </c>
      <c r="E7" s="26">
        <v>2420.0</v>
      </c>
      <c r="F7" s="26" t="s">
        <v>195</v>
      </c>
      <c r="G7" s="26">
        <v>500.0</v>
      </c>
    </row>
    <row r="8">
      <c r="A8" s="26" t="s">
        <v>196</v>
      </c>
      <c r="B8" s="26" t="s">
        <v>933</v>
      </c>
      <c r="C8" s="28">
        <f>9*7*20+(3*20)+12</f>
        <v>1332</v>
      </c>
      <c r="D8" s="26" t="s">
        <v>189</v>
      </c>
      <c r="E8" s="26">
        <v>11715.0</v>
      </c>
      <c r="F8" s="26" t="s">
        <v>197</v>
      </c>
      <c r="G8" s="26">
        <v>100.0</v>
      </c>
    </row>
  </sheetData>
  <mergeCells count="1">
    <mergeCell ref="A1:H1"/>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8.63"/>
    <col customWidth="1" min="2" max="2" width="8.88"/>
    <col customWidth="1" min="3" max="3" width="9.38"/>
    <col customWidth="1" min="4" max="4" width="13.25"/>
    <col customWidth="1" min="5" max="5" width="14.75"/>
    <col customWidth="1" min="6" max="6" width="14.0"/>
    <col customWidth="1" min="7" max="7" width="12.88"/>
    <col customWidth="1" min="8" max="9" width="5.13"/>
    <col customWidth="1" min="10" max="10" width="4.13"/>
    <col customWidth="1" min="11" max="11" width="3.75"/>
    <col customWidth="1" min="12" max="12" width="4.25"/>
    <col customWidth="1" min="13" max="13" width="10.88"/>
    <col customWidth="1" min="14" max="14" width="5.88"/>
  </cols>
  <sheetData>
    <row r="1">
      <c r="A1" s="21" t="s">
        <v>934</v>
      </c>
    </row>
    <row r="2">
      <c r="A2" s="22" t="s">
        <v>935</v>
      </c>
      <c r="B2" s="22" t="s">
        <v>39</v>
      </c>
      <c r="C2" s="22" t="s">
        <v>40</v>
      </c>
      <c r="D2" s="22" t="s">
        <v>936</v>
      </c>
      <c r="E2" s="22" t="s">
        <v>937</v>
      </c>
      <c r="F2" s="22" t="s">
        <v>938</v>
      </c>
      <c r="G2" s="22" t="s">
        <v>939</v>
      </c>
      <c r="H2" s="22" t="s">
        <v>940</v>
      </c>
      <c r="I2" s="22" t="s">
        <v>941</v>
      </c>
      <c r="J2" s="22" t="s">
        <v>41</v>
      </c>
      <c r="K2" s="22" t="s">
        <v>42</v>
      </c>
      <c r="L2" s="22" t="s">
        <v>942</v>
      </c>
      <c r="M2" s="22" t="s">
        <v>43</v>
      </c>
      <c r="N2" s="22" t="s">
        <v>98</v>
      </c>
    </row>
    <row r="3">
      <c r="A3" s="23" t="s">
        <v>49</v>
      </c>
      <c r="B3" s="23" t="s">
        <v>49</v>
      </c>
      <c r="C3" s="24"/>
      <c r="D3" s="24"/>
      <c r="E3" s="24"/>
      <c r="F3" s="24"/>
      <c r="G3" s="24"/>
      <c r="H3" s="24"/>
      <c r="I3" s="24"/>
      <c r="J3" s="24"/>
      <c r="K3" s="24"/>
      <c r="L3" s="24"/>
      <c r="M3" s="24"/>
      <c r="N3" s="24"/>
    </row>
    <row r="4">
      <c r="A4" s="25" t="s">
        <v>50</v>
      </c>
      <c r="B4" s="25" t="s">
        <v>50</v>
      </c>
      <c r="C4" s="25" t="s">
        <v>50</v>
      </c>
      <c r="D4" s="25" t="s">
        <v>50</v>
      </c>
      <c r="E4" s="25" t="s">
        <v>943</v>
      </c>
      <c r="F4" s="25" t="s">
        <v>944</v>
      </c>
      <c r="G4" s="25" t="s">
        <v>50</v>
      </c>
      <c r="H4" s="25" t="s">
        <v>50</v>
      </c>
      <c r="I4" s="25" t="s">
        <v>50</v>
      </c>
      <c r="J4" s="25" t="s">
        <v>50</v>
      </c>
      <c r="K4" s="25" t="s">
        <v>50</v>
      </c>
      <c r="L4" s="25" t="s">
        <v>50</v>
      </c>
      <c r="M4" s="25" t="s">
        <v>50</v>
      </c>
      <c r="N4" s="25" t="s">
        <v>50</v>
      </c>
    </row>
    <row r="5">
      <c r="A5" s="15" t="s">
        <v>52</v>
      </c>
      <c r="B5" s="26" t="s">
        <v>945</v>
      </c>
      <c r="C5" s="15" t="s">
        <v>53</v>
      </c>
      <c r="D5" s="26">
        <v>2000.0</v>
      </c>
      <c r="E5" s="26" t="s">
        <v>158</v>
      </c>
      <c r="F5" s="26">
        <v>15.0</v>
      </c>
      <c r="G5" s="26">
        <v>100.0</v>
      </c>
      <c r="H5" s="26">
        <v>1.052</v>
      </c>
      <c r="I5" s="26">
        <v>1.012</v>
      </c>
      <c r="J5" s="26">
        <v>5.2</v>
      </c>
      <c r="K5" s="26">
        <v>35.0</v>
      </c>
      <c r="L5" s="26">
        <v>8.0</v>
      </c>
      <c r="M5" s="26"/>
    </row>
    <row r="6">
      <c r="A6" s="15" t="s">
        <v>55</v>
      </c>
      <c r="B6" s="26" t="s">
        <v>946</v>
      </c>
      <c r="C6" s="15" t="s">
        <v>56</v>
      </c>
      <c r="D6" s="26">
        <v>800.0</v>
      </c>
      <c r="E6" s="26" t="s">
        <v>158</v>
      </c>
      <c r="F6" s="26">
        <v>60.0</v>
      </c>
      <c r="G6" s="26">
        <v>75.0</v>
      </c>
      <c r="H6" s="26">
        <v>1.046</v>
      </c>
      <c r="I6" s="26">
        <v>1.008</v>
      </c>
      <c r="J6" s="26">
        <v>4.9</v>
      </c>
      <c r="K6" s="26">
        <v>0.0</v>
      </c>
      <c r="L6" s="26">
        <v>0.0</v>
      </c>
    </row>
    <row r="7">
      <c r="A7" s="15" t="s">
        <v>58</v>
      </c>
      <c r="B7" s="26" t="s">
        <v>947</v>
      </c>
      <c r="C7" s="15" t="s">
        <v>59</v>
      </c>
      <c r="D7" s="26">
        <v>800.0</v>
      </c>
      <c r="E7" s="26" t="s">
        <v>158</v>
      </c>
      <c r="F7" s="26">
        <v>60.0</v>
      </c>
      <c r="G7" s="26">
        <v>75.0</v>
      </c>
      <c r="H7" s="26">
        <v>1.041</v>
      </c>
      <c r="I7" s="26">
        <v>1.006</v>
      </c>
      <c r="J7" s="26">
        <v>4.6</v>
      </c>
      <c r="K7" s="26">
        <v>21.0</v>
      </c>
      <c r="L7" s="26">
        <v>9.3</v>
      </c>
    </row>
    <row r="8">
      <c r="A8" s="15" t="s">
        <v>61</v>
      </c>
      <c r="B8" s="26" t="s">
        <v>948</v>
      </c>
      <c r="C8" s="15" t="s">
        <v>62</v>
      </c>
      <c r="D8" s="26">
        <v>800.0</v>
      </c>
      <c r="E8" s="26" t="s">
        <v>158</v>
      </c>
      <c r="F8" s="26">
        <v>60.0</v>
      </c>
      <c r="G8" s="26">
        <v>75.0</v>
      </c>
      <c r="H8" s="26">
        <v>1.049</v>
      </c>
      <c r="I8" s="26">
        <v>1.009</v>
      </c>
      <c r="J8" s="26">
        <v>5.4</v>
      </c>
      <c r="K8" s="26">
        <v>18.0</v>
      </c>
      <c r="L8" s="26">
        <v>15.5</v>
      </c>
    </row>
    <row r="9">
      <c r="A9" s="15" t="s">
        <v>64</v>
      </c>
      <c r="B9" s="26" t="s">
        <v>65</v>
      </c>
      <c r="C9" s="15" t="s">
        <v>65</v>
      </c>
      <c r="D9" s="26">
        <v>800.0</v>
      </c>
      <c r="E9" s="26" t="s">
        <v>158</v>
      </c>
      <c r="F9" s="26">
        <v>60.0</v>
      </c>
      <c r="G9" s="26">
        <v>75.0</v>
      </c>
      <c r="H9" s="26">
        <v>1.063</v>
      </c>
      <c r="I9" s="26">
        <v>1.012</v>
      </c>
      <c r="J9" s="26">
        <v>6.8</v>
      </c>
      <c r="K9" s="26">
        <v>60.0</v>
      </c>
      <c r="L9" s="26">
        <v>12.3</v>
      </c>
    </row>
    <row r="10">
      <c r="A10" s="15" t="s">
        <v>67</v>
      </c>
      <c r="B10" s="26" t="s">
        <v>949</v>
      </c>
      <c r="C10" s="15" t="s">
        <v>68</v>
      </c>
      <c r="D10" s="26">
        <v>800.0</v>
      </c>
      <c r="E10" s="26" t="s">
        <v>158</v>
      </c>
      <c r="F10" s="26">
        <v>90.0</v>
      </c>
      <c r="G10" s="26">
        <v>75.0</v>
      </c>
      <c r="H10" s="26">
        <v>1.072</v>
      </c>
      <c r="I10" s="26">
        <v>1.014</v>
      </c>
      <c r="J10" s="26">
        <v>7.5</v>
      </c>
      <c r="K10" s="26">
        <v>80.0</v>
      </c>
      <c r="L10" s="26">
        <v>13.0</v>
      </c>
    </row>
    <row r="11">
      <c r="A11" s="15" t="s">
        <v>70</v>
      </c>
      <c r="B11" s="26" t="s">
        <v>950</v>
      </c>
      <c r="C11" s="15" t="s">
        <v>71</v>
      </c>
      <c r="D11" s="26">
        <v>800.0</v>
      </c>
      <c r="E11" s="26" t="s">
        <v>158</v>
      </c>
      <c r="F11" s="26">
        <v>90.0</v>
      </c>
      <c r="G11" s="26">
        <v>75.0</v>
      </c>
      <c r="H11" s="26">
        <v>1.079</v>
      </c>
      <c r="I11" s="26">
        <v>1.016</v>
      </c>
      <c r="J11" s="26">
        <v>8.3</v>
      </c>
      <c r="K11" s="26">
        <v>50.0</v>
      </c>
      <c r="L11" s="26">
        <v>29.0</v>
      </c>
    </row>
    <row r="12">
      <c r="A12" s="15" t="s">
        <v>73</v>
      </c>
      <c r="B12" s="26" t="s">
        <v>951</v>
      </c>
      <c r="C12" s="15" t="s">
        <v>74</v>
      </c>
      <c r="D12" s="26">
        <v>800.0</v>
      </c>
      <c r="E12" s="26" t="s">
        <v>158</v>
      </c>
      <c r="F12" s="26">
        <v>60.0</v>
      </c>
      <c r="G12" s="26">
        <v>75.0</v>
      </c>
      <c r="H12" s="26">
        <v>1.073</v>
      </c>
      <c r="I12" s="26">
        <v>1.017</v>
      </c>
      <c r="J12" s="26">
        <v>7.5</v>
      </c>
      <c r="K12" s="26">
        <v>30.0</v>
      </c>
      <c r="L12" s="26">
        <v>12.0</v>
      </c>
    </row>
    <row r="13">
      <c r="A13" s="15" t="s">
        <v>76</v>
      </c>
      <c r="B13" s="26" t="s">
        <v>952</v>
      </c>
      <c r="C13" s="15" t="s">
        <v>77</v>
      </c>
      <c r="D13" s="26">
        <v>800.0</v>
      </c>
      <c r="E13" s="26" t="s">
        <v>158</v>
      </c>
      <c r="F13" s="26">
        <v>60.0</v>
      </c>
      <c r="G13" s="26">
        <v>75.0</v>
      </c>
      <c r="H13" s="26">
        <v>1.046</v>
      </c>
      <c r="I13" s="26">
        <v>1.012</v>
      </c>
      <c r="J13" s="26">
        <v>4.7</v>
      </c>
      <c r="K13" s="26">
        <v>7.0</v>
      </c>
      <c r="L13" s="26">
        <v>7.4</v>
      </c>
    </row>
    <row r="14">
      <c r="A14" s="15" t="s">
        <v>79</v>
      </c>
      <c r="B14" s="26" t="s">
        <v>953</v>
      </c>
      <c r="C14" s="15" t="s">
        <v>74</v>
      </c>
      <c r="D14" s="26">
        <v>800.0</v>
      </c>
      <c r="E14" s="26" t="s">
        <v>158</v>
      </c>
      <c r="F14" s="26">
        <v>60.0</v>
      </c>
      <c r="G14" s="26">
        <v>75.0</v>
      </c>
      <c r="H14" s="26">
        <v>1.074</v>
      </c>
      <c r="I14" s="26">
        <v>1.016</v>
      </c>
      <c r="J14" s="26">
        <v>7.7</v>
      </c>
      <c r="K14" s="26">
        <v>15.0</v>
      </c>
      <c r="L14" s="26">
        <v>12.3</v>
      </c>
    </row>
    <row r="15">
      <c r="A15" s="15" t="s">
        <v>80</v>
      </c>
      <c r="B15" s="26" t="s">
        <v>954</v>
      </c>
      <c r="C15" s="15" t="s">
        <v>81</v>
      </c>
      <c r="D15" s="26">
        <v>800.0</v>
      </c>
      <c r="E15" s="26" t="s">
        <v>158</v>
      </c>
      <c r="F15" s="26">
        <v>90.0</v>
      </c>
      <c r="G15" s="26">
        <v>75.0</v>
      </c>
      <c r="H15" s="26">
        <v>1.047</v>
      </c>
      <c r="I15" s="26">
        <v>1.012</v>
      </c>
      <c r="J15" s="26">
        <v>4.7</v>
      </c>
      <c r="K15" s="26">
        <v>28.0</v>
      </c>
      <c r="L15" s="26">
        <v>9.7</v>
      </c>
    </row>
    <row r="16">
      <c r="A16" s="15" t="s">
        <v>82</v>
      </c>
      <c r="B16" s="26" t="s">
        <v>955</v>
      </c>
      <c r="C16" s="15" t="s">
        <v>83</v>
      </c>
      <c r="D16" s="26">
        <v>800.0</v>
      </c>
      <c r="E16" s="26" t="s">
        <v>158</v>
      </c>
      <c r="F16" s="26">
        <v>90.0</v>
      </c>
      <c r="G16" s="26">
        <v>75.0</v>
      </c>
      <c r="H16" s="26">
        <v>1.058</v>
      </c>
      <c r="I16" s="26">
        <v>1.014</v>
      </c>
      <c r="J16" s="26">
        <v>5.8</v>
      </c>
      <c r="K16" s="26">
        <v>25.0</v>
      </c>
      <c r="L16" s="26">
        <v>23.6</v>
      </c>
    </row>
    <row r="17">
      <c r="A17" s="15" t="s">
        <v>85</v>
      </c>
      <c r="B17" s="26" t="s">
        <v>956</v>
      </c>
      <c r="C17" s="15" t="s">
        <v>86</v>
      </c>
      <c r="D17" s="26">
        <v>800.0</v>
      </c>
      <c r="E17" s="26" t="s">
        <v>158</v>
      </c>
      <c r="F17" s="26">
        <v>90.0</v>
      </c>
      <c r="G17" s="26">
        <v>75.0</v>
      </c>
      <c r="H17" s="26">
        <v>1.073</v>
      </c>
      <c r="I17" s="26">
        <v>1.016</v>
      </c>
      <c r="J17" s="26">
        <v>75.0</v>
      </c>
      <c r="K17" s="26">
        <v>35.0</v>
      </c>
      <c r="L17" s="26">
        <v>55.5</v>
      </c>
    </row>
  </sheetData>
  <mergeCells count="1">
    <mergeCell ref="A1:N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0.88"/>
    <col customWidth="1" min="2" max="2" width="23.25"/>
    <col customWidth="1" min="3" max="3" width="13.38"/>
    <col customWidth="1" min="4" max="4" width="4.38"/>
    <col customWidth="1" min="5" max="5" width="10.75"/>
    <col customWidth="1" min="6" max="6" width="8.63"/>
    <col customWidth="1" min="7" max="7" width="11.13"/>
    <col customWidth="1" min="8" max="8" width="5.88"/>
    <col customWidth="1" min="9" max="26" width="34.75"/>
  </cols>
  <sheetData>
    <row r="1">
      <c r="A1" s="21" t="s">
        <v>957</v>
      </c>
    </row>
    <row r="2">
      <c r="A2" s="22" t="s">
        <v>958</v>
      </c>
      <c r="B2" s="22" t="s">
        <v>959</v>
      </c>
      <c r="C2" s="22" t="s">
        <v>960</v>
      </c>
      <c r="D2" s="22" t="s">
        <v>90</v>
      </c>
      <c r="E2" s="81" t="s">
        <v>961</v>
      </c>
      <c r="F2" s="22" t="s">
        <v>962</v>
      </c>
      <c r="G2" s="22" t="s">
        <v>963</v>
      </c>
      <c r="H2" s="22" t="s">
        <v>98</v>
      </c>
    </row>
    <row r="3">
      <c r="A3" s="23" t="s">
        <v>49</v>
      </c>
      <c r="B3" s="23" t="s">
        <v>49</v>
      </c>
      <c r="C3" s="23" t="s">
        <v>49</v>
      </c>
      <c r="D3" s="24"/>
      <c r="E3" s="82"/>
      <c r="F3" s="24"/>
      <c r="G3" s="24"/>
      <c r="H3" s="24"/>
    </row>
    <row r="4">
      <c r="A4" s="25" t="s">
        <v>50</v>
      </c>
      <c r="B4" s="25" t="s">
        <v>50</v>
      </c>
      <c r="C4" s="25" t="s">
        <v>51</v>
      </c>
      <c r="D4" s="25" t="s">
        <v>50</v>
      </c>
      <c r="E4" s="83" t="s">
        <v>50</v>
      </c>
      <c r="F4" s="25" t="s">
        <v>50</v>
      </c>
      <c r="G4" s="25" t="s">
        <v>50</v>
      </c>
      <c r="H4" s="25" t="s">
        <v>50</v>
      </c>
    </row>
    <row r="5">
      <c r="A5" s="26" t="s">
        <v>945</v>
      </c>
      <c r="B5" s="26" t="s">
        <v>167</v>
      </c>
      <c r="C5" s="26">
        <v>125.0</v>
      </c>
      <c r="D5" s="26" t="s">
        <v>105</v>
      </c>
      <c r="E5" s="84">
        <f>C5/2000</f>
        <v>0.0625</v>
      </c>
      <c r="F5" s="26">
        <v>1.046</v>
      </c>
      <c r="G5" s="26">
        <v>2.0</v>
      </c>
    </row>
    <row r="6">
      <c r="A6" s="26" t="s">
        <v>945</v>
      </c>
      <c r="B6" s="26" t="s">
        <v>964</v>
      </c>
      <c r="C6" s="26">
        <v>90.0</v>
      </c>
      <c r="D6" s="26" t="s">
        <v>158</v>
      </c>
      <c r="E6" s="84">
        <f>C6/20000</f>
        <v>0.0045</v>
      </c>
      <c r="F6" s="26">
        <v>0.0</v>
      </c>
      <c r="G6" s="26">
        <v>0.0</v>
      </c>
    </row>
    <row r="7">
      <c r="A7" s="26" t="s">
        <v>945</v>
      </c>
      <c r="B7" s="26" t="s">
        <v>965</v>
      </c>
      <c r="C7" s="26">
        <v>1800.0</v>
      </c>
      <c r="D7" s="26" t="s">
        <v>158</v>
      </c>
      <c r="E7" s="84">
        <f t="shared" ref="E7:E8" si="1">C7/2000</f>
        <v>0.9</v>
      </c>
      <c r="F7" s="26">
        <v>0.0</v>
      </c>
      <c r="G7" s="26">
        <v>0.0</v>
      </c>
    </row>
    <row r="8">
      <c r="A8" s="26" t="s">
        <v>945</v>
      </c>
      <c r="B8" s="26" t="s">
        <v>170</v>
      </c>
      <c r="C8" s="26">
        <v>200.0</v>
      </c>
      <c r="D8" s="26" t="s">
        <v>158</v>
      </c>
      <c r="E8" s="84">
        <f t="shared" si="1"/>
        <v>0.1</v>
      </c>
      <c r="F8" s="26">
        <v>0.0</v>
      </c>
      <c r="G8" s="26">
        <v>0.0</v>
      </c>
    </row>
    <row r="9">
      <c r="A9" s="26" t="s">
        <v>946</v>
      </c>
      <c r="B9" s="26" t="s">
        <v>966</v>
      </c>
      <c r="C9" s="26">
        <v>127.0</v>
      </c>
      <c r="D9" s="26" t="s">
        <v>105</v>
      </c>
      <c r="E9" s="32">
        <v>0.874</v>
      </c>
      <c r="F9" s="26">
        <v>1.039</v>
      </c>
      <c r="G9" s="26">
        <v>5.9</v>
      </c>
    </row>
    <row r="10">
      <c r="A10" s="26" t="s">
        <v>946</v>
      </c>
      <c r="B10" s="26" t="s">
        <v>120</v>
      </c>
      <c r="C10" s="26">
        <v>15.0</v>
      </c>
      <c r="D10" s="26" t="s">
        <v>105</v>
      </c>
      <c r="E10" s="32">
        <v>0.105</v>
      </c>
      <c r="F10" s="26">
        <v>1.036</v>
      </c>
      <c r="G10" s="26">
        <v>20.0</v>
      </c>
    </row>
    <row r="11">
      <c r="A11" s="26" t="s">
        <v>946</v>
      </c>
      <c r="B11" s="26" t="s">
        <v>115</v>
      </c>
      <c r="C11" s="26">
        <v>3.0</v>
      </c>
      <c r="D11" s="26" t="s">
        <v>105</v>
      </c>
      <c r="E11" s="32">
        <v>0.021</v>
      </c>
      <c r="F11" s="26">
        <v>1.038</v>
      </c>
      <c r="G11" s="26">
        <v>4.5</v>
      </c>
    </row>
    <row r="12">
      <c r="A12" s="26" t="s">
        <v>947</v>
      </c>
      <c r="B12" s="26" t="s">
        <v>967</v>
      </c>
      <c r="C12" s="26">
        <v>110.0</v>
      </c>
      <c r="D12" s="26" t="s">
        <v>105</v>
      </c>
      <c r="E12" s="32">
        <v>0.873</v>
      </c>
      <c r="F12" s="26">
        <v>1.037</v>
      </c>
      <c r="G12" s="26">
        <v>3.9</v>
      </c>
    </row>
    <row r="13">
      <c r="A13" s="26" t="s">
        <v>947</v>
      </c>
      <c r="B13" s="26" t="s">
        <v>116</v>
      </c>
      <c r="C13" s="26">
        <v>9.6</v>
      </c>
      <c r="D13" s="26" t="s">
        <v>105</v>
      </c>
      <c r="E13" s="32">
        <v>0.076</v>
      </c>
      <c r="F13" s="26">
        <v>1.037</v>
      </c>
      <c r="G13" s="26">
        <v>10.0</v>
      </c>
    </row>
    <row r="14">
      <c r="A14" s="26" t="s">
        <v>947</v>
      </c>
      <c r="B14" s="26" t="s">
        <v>121</v>
      </c>
      <c r="C14" s="26">
        <v>6.4</v>
      </c>
      <c r="D14" s="26" t="s">
        <v>105</v>
      </c>
      <c r="E14" s="32">
        <v>0.051</v>
      </c>
      <c r="F14" s="26">
        <v>1.036</v>
      </c>
      <c r="G14" s="26">
        <v>5.5</v>
      </c>
    </row>
    <row r="15">
      <c r="A15" s="26" t="s">
        <v>948</v>
      </c>
      <c r="B15" s="26" t="s">
        <v>966</v>
      </c>
      <c r="C15" s="26">
        <v>140.0</v>
      </c>
      <c r="D15" s="26" t="s">
        <v>105</v>
      </c>
      <c r="E15" s="32">
        <v>0.793</v>
      </c>
      <c r="F15" s="26">
        <v>1.039</v>
      </c>
      <c r="G15" s="26">
        <v>5.9</v>
      </c>
    </row>
    <row r="16">
      <c r="A16" s="26" t="s">
        <v>948</v>
      </c>
      <c r="B16" s="26" t="s">
        <v>122</v>
      </c>
      <c r="C16" s="26">
        <v>16.5</v>
      </c>
      <c r="D16" s="26" t="s">
        <v>105</v>
      </c>
      <c r="E16" s="32">
        <v>0.093</v>
      </c>
      <c r="F16" s="26">
        <v>1.035</v>
      </c>
      <c r="G16" s="26">
        <v>50.0</v>
      </c>
    </row>
    <row r="17">
      <c r="A17" s="26" t="s">
        <v>948</v>
      </c>
      <c r="B17" s="26" t="s">
        <v>117</v>
      </c>
      <c r="C17" s="26">
        <v>13.2</v>
      </c>
      <c r="D17" s="26" t="s">
        <v>105</v>
      </c>
      <c r="E17" s="32">
        <v>0.075</v>
      </c>
      <c r="F17" s="26">
        <v>1.037</v>
      </c>
      <c r="G17" s="26">
        <v>30.0</v>
      </c>
    </row>
    <row r="18">
      <c r="A18" s="26" t="s">
        <v>948</v>
      </c>
      <c r="B18" s="26" t="s">
        <v>120</v>
      </c>
      <c r="C18" s="26">
        <v>7.0</v>
      </c>
      <c r="D18" s="26" t="s">
        <v>105</v>
      </c>
      <c r="E18" s="32">
        <v>0.04</v>
      </c>
      <c r="F18" s="26">
        <v>1.036</v>
      </c>
      <c r="G18" s="26">
        <v>20.0</v>
      </c>
    </row>
    <row r="19">
      <c r="A19" s="26" t="s">
        <v>65</v>
      </c>
      <c r="B19" s="26" t="s">
        <v>967</v>
      </c>
      <c r="C19" s="26">
        <v>100.0</v>
      </c>
      <c r="D19" s="26" t="s">
        <v>105</v>
      </c>
      <c r="E19" s="32">
        <v>0.471</v>
      </c>
      <c r="F19" s="26">
        <v>1.037</v>
      </c>
      <c r="G19" s="26">
        <v>3.9</v>
      </c>
    </row>
    <row r="20">
      <c r="A20" s="26" t="s">
        <v>65</v>
      </c>
      <c r="B20" s="26" t="s">
        <v>966</v>
      </c>
      <c r="C20" s="26">
        <v>100.0</v>
      </c>
      <c r="D20" s="26" t="s">
        <v>105</v>
      </c>
      <c r="E20" s="32">
        <v>0.471</v>
      </c>
      <c r="F20" s="26">
        <v>1.039</v>
      </c>
      <c r="G20" s="26">
        <v>5.9</v>
      </c>
    </row>
    <row r="21">
      <c r="A21" s="26" t="s">
        <v>65</v>
      </c>
      <c r="B21" s="26" t="s">
        <v>122</v>
      </c>
      <c r="C21" s="26">
        <v>7.5</v>
      </c>
      <c r="D21" s="26" t="s">
        <v>105</v>
      </c>
      <c r="E21" s="32">
        <v>0.035</v>
      </c>
      <c r="F21" s="26">
        <v>1.035</v>
      </c>
      <c r="G21" s="26">
        <v>50.0</v>
      </c>
    </row>
    <row r="22">
      <c r="A22" s="26" t="s">
        <v>65</v>
      </c>
      <c r="B22" s="26" t="s">
        <v>117</v>
      </c>
      <c r="C22" s="26">
        <v>5.0</v>
      </c>
      <c r="D22" s="26" t="s">
        <v>105</v>
      </c>
      <c r="E22" s="32">
        <v>0.023</v>
      </c>
      <c r="F22" s="26">
        <v>1.037</v>
      </c>
      <c r="G22" s="26">
        <v>30.0</v>
      </c>
    </row>
    <row r="23">
      <c r="A23" s="26" t="s">
        <v>949</v>
      </c>
      <c r="B23" s="26" t="s">
        <v>967</v>
      </c>
      <c r="C23" s="26">
        <v>175.0</v>
      </c>
      <c r="D23" s="26" t="s">
        <v>105</v>
      </c>
      <c r="E23" s="32">
        <v>0.686</v>
      </c>
      <c r="F23" s="26">
        <v>1.037</v>
      </c>
      <c r="G23" s="26">
        <v>3.9</v>
      </c>
    </row>
    <row r="24">
      <c r="A24" s="26" t="s">
        <v>949</v>
      </c>
      <c r="B24" s="26" t="s">
        <v>966</v>
      </c>
      <c r="C24" s="26">
        <v>30.0</v>
      </c>
      <c r="D24" s="26" t="s">
        <v>105</v>
      </c>
      <c r="E24" s="32">
        <v>0.118</v>
      </c>
      <c r="F24" s="26">
        <v>1.039</v>
      </c>
      <c r="G24" s="26">
        <v>5.9</v>
      </c>
    </row>
    <row r="25">
      <c r="A25" s="26" t="s">
        <v>949</v>
      </c>
      <c r="B25" s="26" t="s">
        <v>115</v>
      </c>
      <c r="C25" s="26">
        <v>25.0</v>
      </c>
      <c r="D25" s="26" t="s">
        <v>105</v>
      </c>
      <c r="E25" s="32">
        <v>0.098</v>
      </c>
      <c r="F25" s="26">
        <v>1.038</v>
      </c>
      <c r="G25" s="26">
        <v>4.5</v>
      </c>
    </row>
    <row r="26">
      <c r="A26" s="26" t="s">
        <v>949</v>
      </c>
      <c r="B26" s="26" t="s">
        <v>120</v>
      </c>
      <c r="C26" s="26">
        <v>10.0</v>
      </c>
      <c r="D26" s="26" t="s">
        <v>105</v>
      </c>
      <c r="E26" s="32">
        <v>0.039</v>
      </c>
      <c r="F26" s="26">
        <v>1.036</v>
      </c>
      <c r="G26" s="26">
        <v>20.0</v>
      </c>
    </row>
    <row r="27">
      <c r="A27" s="26" t="s">
        <v>949</v>
      </c>
      <c r="B27" s="26" t="s">
        <v>117</v>
      </c>
      <c r="C27" s="26">
        <v>10.0</v>
      </c>
      <c r="D27" s="26" t="s">
        <v>105</v>
      </c>
      <c r="E27" s="32">
        <v>0.039</v>
      </c>
      <c r="F27" s="26">
        <v>1.037</v>
      </c>
      <c r="G27" s="26">
        <v>30.0</v>
      </c>
    </row>
    <row r="28" ht="15.0" customHeight="1">
      <c r="A28" s="26" t="s">
        <v>949</v>
      </c>
      <c r="B28" s="26" t="s">
        <v>122</v>
      </c>
      <c r="C28" s="26">
        <v>5.0</v>
      </c>
      <c r="D28" s="26" t="s">
        <v>105</v>
      </c>
      <c r="E28" s="32">
        <v>0.02</v>
      </c>
      <c r="F28" s="26">
        <v>1.035</v>
      </c>
      <c r="G28" s="26">
        <v>50.0</v>
      </c>
    </row>
    <row r="29">
      <c r="A29" s="26" t="s">
        <v>950</v>
      </c>
      <c r="B29" s="26" t="s">
        <v>966</v>
      </c>
      <c r="C29" s="26">
        <v>230.0</v>
      </c>
      <c r="D29" s="26" t="s">
        <v>105</v>
      </c>
      <c r="E29" s="32">
        <v>0.811</v>
      </c>
      <c r="F29" s="26">
        <v>1.039</v>
      </c>
      <c r="G29" s="26">
        <v>5.9</v>
      </c>
    </row>
    <row r="30">
      <c r="A30" s="26" t="s">
        <v>950</v>
      </c>
      <c r="B30" s="26" t="s">
        <v>968</v>
      </c>
      <c r="C30" s="26">
        <v>18.0</v>
      </c>
      <c r="D30" s="26" t="s">
        <v>105</v>
      </c>
      <c r="E30" s="32">
        <v>0.063</v>
      </c>
      <c r="F30" s="26">
        <v>1.036</v>
      </c>
      <c r="G30" s="26">
        <v>100.0</v>
      </c>
    </row>
    <row r="31">
      <c r="A31" s="26" t="s">
        <v>950</v>
      </c>
      <c r="B31" s="26" t="s">
        <v>121</v>
      </c>
      <c r="C31" s="26">
        <v>17.0</v>
      </c>
      <c r="D31" s="26" t="s">
        <v>105</v>
      </c>
      <c r="E31" s="32">
        <v>0.06</v>
      </c>
      <c r="F31" s="26">
        <v>1.036</v>
      </c>
      <c r="G31" s="26">
        <v>5.5</v>
      </c>
    </row>
    <row r="32">
      <c r="A32" s="26" t="s">
        <v>950</v>
      </c>
      <c r="B32" s="26" t="s">
        <v>117</v>
      </c>
      <c r="C32" s="26">
        <v>17.0</v>
      </c>
      <c r="D32" s="26" t="s">
        <v>105</v>
      </c>
      <c r="E32" s="32">
        <v>0.06</v>
      </c>
      <c r="F32" s="26">
        <v>1.037</v>
      </c>
      <c r="G32" s="26">
        <v>30.0</v>
      </c>
    </row>
    <row r="33">
      <c r="A33" s="26" t="s">
        <v>950</v>
      </c>
      <c r="B33" s="26" t="s">
        <v>969</v>
      </c>
      <c r="C33" s="26">
        <v>1.7</v>
      </c>
      <c r="D33" s="26" t="s">
        <v>105</v>
      </c>
      <c r="E33" s="32">
        <v>0.006</v>
      </c>
      <c r="F33" s="26">
        <v>1.033</v>
      </c>
      <c r="G33" s="26">
        <v>964.0</v>
      </c>
    </row>
    <row r="34">
      <c r="A34" s="26" t="s">
        <v>951</v>
      </c>
      <c r="B34" s="26" t="s">
        <v>966</v>
      </c>
      <c r="C34" s="26">
        <v>200.0</v>
      </c>
      <c r="D34" s="26" t="s">
        <v>105</v>
      </c>
      <c r="E34" s="32">
        <v>0.77</v>
      </c>
      <c r="F34" s="26">
        <v>1.039</v>
      </c>
      <c r="G34" s="26">
        <v>5.9</v>
      </c>
    </row>
    <row r="35">
      <c r="A35" s="26" t="s">
        <v>951</v>
      </c>
      <c r="B35" s="26" t="s">
        <v>970</v>
      </c>
      <c r="C35" s="26">
        <v>25.0</v>
      </c>
      <c r="D35" s="26" t="s">
        <v>105</v>
      </c>
      <c r="E35" s="32">
        <v>0.096</v>
      </c>
      <c r="F35" s="26">
        <v>1.032</v>
      </c>
      <c r="G35" s="26">
        <v>3.3</v>
      </c>
    </row>
    <row r="36">
      <c r="A36" s="26" t="s">
        <v>951</v>
      </c>
      <c r="B36" s="26" t="s">
        <v>971</v>
      </c>
      <c r="C36" s="26">
        <v>25.0</v>
      </c>
      <c r="D36" s="26" t="s">
        <v>105</v>
      </c>
      <c r="E36" s="32">
        <v>0.096</v>
      </c>
      <c r="F36" s="26">
        <v>1.035</v>
      </c>
      <c r="G36" s="26">
        <v>5.0</v>
      </c>
    </row>
    <row r="37">
      <c r="A37" s="26" t="s">
        <v>951</v>
      </c>
      <c r="B37" s="26" t="s">
        <v>117</v>
      </c>
      <c r="C37" s="26">
        <v>10.0</v>
      </c>
      <c r="D37" s="26" t="s">
        <v>105</v>
      </c>
      <c r="E37" s="32">
        <v>0.038</v>
      </c>
      <c r="F37" s="26">
        <v>1.037</v>
      </c>
      <c r="G37" s="26">
        <v>30.0</v>
      </c>
    </row>
    <row r="38">
      <c r="A38" s="26" t="s">
        <v>952</v>
      </c>
      <c r="B38" s="26" t="s">
        <v>967</v>
      </c>
      <c r="C38" s="26">
        <v>85.0</v>
      </c>
      <c r="D38" s="26" t="s">
        <v>105</v>
      </c>
      <c r="E38" s="32">
        <f>C38/ Sum(C38:C44)</f>
        <v>0.4678040726</v>
      </c>
      <c r="F38" s="26">
        <v>1.037</v>
      </c>
      <c r="G38" s="26">
        <v>3.9</v>
      </c>
    </row>
    <row r="39">
      <c r="A39" s="26" t="s">
        <v>952</v>
      </c>
      <c r="B39" s="26" t="s">
        <v>115</v>
      </c>
      <c r="C39" s="26">
        <v>50.0</v>
      </c>
      <c r="D39" s="26" t="s">
        <v>105</v>
      </c>
      <c r="E39" s="32">
        <f>C39/Sum(C38:C44)</f>
        <v>0.2751788663</v>
      </c>
      <c r="F39" s="26">
        <v>1.038</v>
      </c>
      <c r="G39" s="26">
        <v>4.5</v>
      </c>
    </row>
    <row r="40">
      <c r="A40" s="26" t="s">
        <v>952</v>
      </c>
      <c r="B40" s="26" t="s">
        <v>971</v>
      </c>
      <c r="C40" s="26">
        <v>19.0</v>
      </c>
      <c r="D40" s="26" t="s">
        <v>105</v>
      </c>
      <c r="E40" s="32">
        <f>C40/Sum(C38:C44)</f>
        <v>0.1045679692</v>
      </c>
      <c r="F40" s="26">
        <v>1.035</v>
      </c>
      <c r="G40" s="26">
        <v>5.0</v>
      </c>
    </row>
    <row r="41">
      <c r="A41" s="26" t="s">
        <v>952</v>
      </c>
      <c r="B41" s="26" t="s">
        <v>120</v>
      </c>
      <c r="C41" s="26">
        <v>4.7</v>
      </c>
      <c r="D41" s="26" t="s">
        <v>105</v>
      </c>
      <c r="E41" s="32">
        <f>C41/Sum(C38:C44)</f>
        <v>0.02586681343</v>
      </c>
      <c r="F41" s="26">
        <v>1.036</v>
      </c>
      <c r="G41" s="26">
        <v>20.0</v>
      </c>
    </row>
    <row r="42">
      <c r="A42" s="26" t="s">
        <v>952</v>
      </c>
      <c r="B42" s="26" t="s">
        <v>172</v>
      </c>
      <c r="C42" s="26">
        <v>20.0</v>
      </c>
      <c r="D42" s="26" t="s">
        <v>105</v>
      </c>
      <c r="E42" s="32">
        <f>C42/Sum(C38:C44)</f>
        <v>0.1100715465</v>
      </c>
      <c r="F42" s="26">
        <v>0.0</v>
      </c>
      <c r="G42" s="26">
        <v>0.0</v>
      </c>
    </row>
    <row r="43">
      <c r="A43" s="26" t="s">
        <v>952</v>
      </c>
      <c r="B43" s="26" t="s">
        <v>162</v>
      </c>
      <c r="C43" s="26">
        <v>2.0</v>
      </c>
      <c r="D43" s="26" t="s">
        <v>105</v>
      </c>
      <c r="E43" s="32">
        <f>C43/Sum(C38:C44)</f>
        <v>0.01100715465</v>
      </c>
      <c r="F43" s="26">
        <v>0.0</v>
      </c>
      <c r="G43" s="26">
        <v>0.0</v>
      </c>
    </row>
    <row r="44">
      <c r="A44" s="26" t="s">
        <v>952</v>
      </c>
      <c r="B44" s="26" t="s">
        <v>159</v>
      </c>
      <c r="C44" s="26">
        <v>1.0</v>
      </c>
      <c r="D44" s="26" t="s">
        <v>105</v>
      </c>
      <c r="E44" s="32">
        <f>C44/Sum(C38:C44)</f>
        <v>0.005503577325</v>
      </c>
      <c r="F44" s="26">
        <v>0.0</v>
      </c>
      <c r="G44" s="26">
        <v>0.0</v>
      </c>
    </row>
    <row r="45">
      <c r="A45" s="26" t="s">
        <v>953</v>
      </c>
      <c r="B45" s="26" t="s">
        <v>103</v>
      </c>
      <c r="C45" s="26">
        <v>200.0</v>
      </c>
      <c r="D45" s="26" t="s">
        <v>105</v>
      </c>
      <c r="E45" s="32">
        <v>0.775</v>
      </c>
      <c r="F45" s="26">
        <v>1.036</v>
      </c>
      <c r="G45" s="26">
        <v>3.9</v>
      </c>
    </row>
    <row r="46">
      <c r="A46" s="26" t="s">
        <v>953</v>
      </c>
      <c r="B46" s="26" t="s">
        <v>119</v>
      </c>
      <c r="C46" s="26">
        <v>12.0</v>
      </c>
      <c r="D46" s="26" t="s">
        <v>105</v>
      </c>
      <c r="E46" s="32">
        <v>0.047</v>
      </c>
      <c r="F46" s="26">
        <v>1.036</v>
      </c>
      <c r="G46" s="26">
        <v>40.0</v>
      </c>
    </row>
    <row r="47">
      <c r="A47" s="26" t="s">
        <v>953</v>
      </c>
      <c r="B47" s="26" t="s">
        <v>115</v>
      </c>
      <c r="C47" s="26">
        <v>12.0</v>
      </c>
      <c r="D47" s="26" t="s">
        <v>105</v>
      </c>
      <c r="E47" s="32">
        <v>0.047</v>
      </c>
      <c r="F47" s="26">
        <v>1.038</v>
      </c>
      <c r="G47" s="26">
        <v>4.5</v>
      </c>
    </row>
    <row r="48">
      <c r="A48" s="26" t="s">
        <v>953</v>
      </c>
      <c r="B48" s="26" t="s">
        <v>117</v>
      </c>
      <c r="C48" s="26">
        <v>10.0</v>
      </c>
      <c r="D48" s="26" t="s">
        <v>105</v>
      </c>
      <c r="E48" s="32">
        <v>0.039</v>
      </c>
      <c r="F48" s="26">
        <v>1.037</v>
      </c>
      <c r="G48" s="26">
        <v>30.0</v>
      </c>
    </row>
    <row r="49">
      <c r="A49" s="26" t="s">
        <v>953</v>
      </c>
      <c r="B49" s="26" t="s">
        <v>172</v>
      </c>
      <c r="C49" s="26">
        <v>16.0</v>
      </c>
      <c r="D49" s="26" t="s">
        <v>105</v>
      </c>
      <c r="E49" s="32">
        <v>0.062</v>
      </c>
      <c r="F49" s="26">
        <v>0.0</v>
      </c>
      <c r="G49" s="26">
        <v>0.0</v>
      </c>
    </row>
    <row r="50">
      <c r="A50" s="26" t="s">
        <v>953</v>
      </c>
      <c r="B50" s="26" t="s">
        <v>175</v>
      </c>
      <c r="C50" s="26">
        <v>8.0</v>
      </c>
      <c r="D50" s="26" t="s">
        <v>105</v>
      </c>
      <c r="E50" s="32">
        <v>0.031</v>
      </c>
      <c r="F50" s="26">
        <v>1.038</v>
      </c>
      <c r="G50" s="26">
        <v>0.0</v>
      </c>
    </row>
    <row r="51">
      <c r="A51" s="26" t="s">
        <v>954</v>
      </c>
      <c r="B51" s="26" t="s">
        <v>103</v>
      </c>
      <c r="C51" s="26">
        <v>115.0</v>
      </c>
      <c r="D51" s="26" t="s">
        <v>105</v>
      </c>
      <c r="E51" s="32">
        <v>0.697</v>
      </c>
      <c r="F51" s="26">
        <v>1.036</v>
      </c>
      <c r="G51" s="26">
        <v>3.9</v>
      </c>
    </row>
    <row r="52">
      <c r="A52" s="26" t="s">
        <v>954</v>
      </c>
      <c r="B52" s="26" t="s">
        <v>119</v>
      </c>
      <c r="C52" s="26">
        <v>10.0</v>
      </c>
      <c r="D52" s="26" t="s">
        <v>105</v>
      </c>
      <c r="E52" s="32">
        <v>0.061</v>
      </c>
      <c r="F52" s="26">
        <v>1.036</v>
      </c>
      <c r="G52" s="26">
        <v>40.0</v>
      </c>
    </row>
    <row r="53">
      <c r="A53" s="26" t="s">
        <v>954</v>
      </c>
      <c r="B53" s="26" t="s">
        <v>972</v>
      </c>
      <c r="C53" s="26">
        <v>10.0</v>
      </c>
      <c r="D53" s="26" t="s">
        <v>105</v>
      </c>
      <c r="E53" s="32">
        <v>0.061</v>
      </c>
      <c r="F53" s="26">
        <v>1.037</v>
      </c>
      <c r="G53" s="26">
        <v>6.9</v>
      </c>
    </row>
    <row r="54">
      <c r="A54" s="26" t="s">
        <v>954</v>
      </c>
      <c r="B54" s="26" t="s">
        <v>115</v>
      </c>
      <c r="C54" s="26">
        <v>9.0</v>
      </c>
      <c r="D54" s="26" t="s">
        <v>105</v>
      </c>
      <c r="E54" s="32">
        <v>0.055</v>
      </c>
      <c r="F54" s="26">
        <v>1.038</v>
      </c>
      <c r="G54" s="26">
        <v>4.5</v>
      </c>
    </row>
    <row r="55">
      <c r="A55" s="26" t="s">
        <v>954</v>
      </c>
      <c r="B55" s="26" t="s">
        <v>971</v>
      </c>
      <c r="C55" s="26">
        <v>6.0</v>
      </c>
      <c r="D55" s="26" t="s">
        <v>105</v>
      </c>
      <c r="E55" s="32">
        <v>0.036</v>
      </c>
      <c r="F55" s="26">
        <v>1.035</v>
      </c>
      <c r="G55" s="26">
        <v>5.0</v>
      </c>
    </row>
    <row r="56">
      <c r="A56" s="26" t="s">
        <v>954</v>
      </c>
      <c r="B56" s="26" t="s">
        <v>120</v>
      </c>
      <c r="C56" s="26">
        <v>4.0</v>
      </c>
      <c r="D56" s="26" t="s">
        <v>105</v>
      </c>
      <c r="E56" s="32">
        <v>0.024</v>
      </c>
      <c r="F56" s="26">
        <v>1.036</v>
      </c>
      <c r="G56" s="26">
        <v>20.0</v>
      </c>
    </row>
    <row r="57">
      <c r="A57" s="26" t="s">
        <v>954</v>
      </c>
      <c r="B57" s="26" t="s">
        <v>172</v>
      </c>
      <c r="C57" s="26">
        <v>11.0</v>
      </c>
      <c r="D57" s="26" t="s">
        <v>105</v>
      </c>
      <c r="E57" s="32">
        <v>0.067</v>
      </c>
      <c r="F57" s="26">
        <v>0.0</v>
      </c>
      <c r="G57" s="26">
        <v>0.0</v>
      </c>
    </row>
    <row r="58">
      <c r="A58" s="26" t="s">
        <v>955</v>
      </c>
      <c r="B58" s="26" t="s">
        <v>967</v>
      </c>
      <c r="C58" s="26">
        <v>150.0</v>
      </c>
      <c r="D58" s="26" t="s">
        <v>105</v>
      </c>
      <c r="E58" s="32">
        <f>C58/ Sum(C58:C63)</f>
        <v>0.375</v>
      </c>
      <c r="F58" s="26">
        <v>1.037</v>
      </c>
      <c r="G58" s="26">
        <v>3.9</v>
      </c>
    </row>
    <row r="59">
      <c r="A59" s="26" t="s">
        <v>955</v>
      </c>
      <c r="B59" s="26" t="s">
        <v>116</v>
      </c>
      <c r="C59" s="26">
        <v>25.0</v>
      </c>
      <c r="D59" s="26" t="s">
        <v>105</v>
      </c>
      <c r="E59" s="32">
        <v>0.125</v>
      </c>
      <c r="F59" s="26">
        <v>1.037</v>
      </c>
      <c r="G59" s="26">
        <v>10.0</v>
      </c>
    </row>
    <row r="60">
      <c r="A60" s="26" t="s">
        <v>955</v>
      </c>
      <c r="B60" s="26" t="s">
        <v>117</v>
      </c>
      <c r="C60" s="26">
        <v>10.0</v>
      </c>
      <c r="D60" s="26" t="s">
        <v>105</v>
      </c>
      <c r="E60" s="32">
        <v>0.05</v>
      </c>
      <c r="F60" s="26">
        <v>1.037</v>
      </c>
      <c r="G60" s="26">
        <v>30.0</v>
      </c>
    </row>
    <row r="61">
      <c r="A61" s="26" t="s">
        <v>955</v>
      </c>
      <c r="B61" s="26" t="s">
        <v>131</v>
      </c>
      <c r="C61" s="26">
        <v>10.0</v>
      </c>
      <c r="D61" s="26" t="s">
        <v>105</v>
      </c>
      <c r="E61" s="32">
        <v>0.05</v>
      </c>
      <c r="F61" s="26">
        <v>1.034</v>
      </c>
      <c r="G61" s="26">
        <v>300.0</v>
      </c>
    </row>
    <row r="62">
      <c r="A62" s="26" t="s">
        <v>955</v>
      </c>
      <c r="B62" s="26" t="s">
        <v>175</v>
      </c>
      <c r="C62" s="26">
        <v>5.0</v>
      </c>
      <c r="D62" s="26" t="s">
        <v>105</v>
      </c>
      <c r="E62" s="32">
        <v>0.025</v>
      </c>
      <c r="F62" s="26">
        <v>1.038</v>
      </c>
      <c r="G62" s="26">
        <v>0.0</v>
      </c>
    </row>
    <row r="63">
      <c r="A63" s="26" t="s">
        <v>956</v>
      </c>
      <c r="B63" s="26" t="s">
        <v>966</v>
      </c>
      <c r="C63" s="26">
        <v>200.0</v>
      </c>
      <c r="D63" s="26" t="s">
        <v>105</v>
      </c>
      <c r="E63" s="32">
        <v>0.769</v>
      </c>
      <c r="F63" s="26">
        <v>1.039</v>
      </c>
      <c r="G63" s="26">
        <v>5.9</v>
      </c>
    </row>
    <row r="64">
      <c r="A64" s="26" t="s">
        <v>956</v>
      </c>
      <c r="B64" s="26" t="s">
        <v>973</v>
      </c>
      <c r="C64" s="26">
        <v>25.0</v>
      </c>
      <c r="D64" s="26" t="s">
        <v>105</v>
      </c>
      <c r="E64" s="32">
        <v>0.096</v>
      </c>
      <c r="F64" s="26">
        <v>1.023</v>
      </c>
      <c r="G64" s="26">
        <v>3.9</v>
      </c>
    </row>
    <row r="65">
      <c r="A65" s="26" t="s">
        <v>956</v>
      </c>
      <c r="B65" s="26" t="s">
        <v>125</v>
      </c>
      <c r="C65" s="26">
        <v>10.0</v>
      </c>
      <c r="D65" s="26" t="s">
        <v>105</v>
      </c>
      <c r="E65" s="32">
        <v>0.038</v>
      </c>
      <c r="F65" s="26">
        <v>1.035</v>
      </c>
      <c r="G65" s="26">
        <v>926.0</v>
      </c>
    </row>
    <row r="66">
      <c r="A66" s="26" t="s">
        <v>956</v>
      </c>
      <c r="B66" s="26" t="s">
        <v>974</v>
      </c>
      <c r="C66" s="26">
        <v>5.0</v>
      </c>
      <c r="D66" s="26" t="s">
        <v>105</v>
      </c>
      <c r="E66" s="32">
        <v>0.019</v>
      </c>
      <c r="F66" s="26">
        <v>1.028</v>
      </c>
      <c r="G66" s="26">
        <v>690.0</v>
      </c>
    </row>
    <row r="67">
      <c r="A67" s="26" t="s">
        <v>956</v>
      </c>
      <c r="B67" s="26" t="s">
        <v>175</v>
      </c>
      <c r="C67" s="26">
        <v>20.0</v>
      </c>
      <c r="D67" s="26" t="s">
        <v>105</v>
      </c>
      <c r="E67" s="32">
        <v>0.077</v>
      </c>
      <c r="F67" s="26">
        <v>1.038</v>
      </c>
      <c r="G67" s="26">
        <v>0.0</v>
      </c>
    </row>
  </sheetData>
  <mergeCells count="1">
    <mergeCell ref="A1:H1"/>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8.63"/>
    <col customWidth="1" min="2" max="2" width="11.75"/>
    <col customWidth="1" min="3" max="3" width="13.38"/>
    <col customWidth="1" min="4" max="4" width="4.38"/>
    <col customWidth="1" min="5" max="5" width="13.88"/>
    <col customWidth="1" min="6" max="6" width="14.0"/>
    <col customWidth="1" min="7" max="7" width="33.75"/>
    <col customWidth="1" min="8" max="8" width="15.5"/>
    <col customWidth="1" min="9" max="9" width="5.88"/>
  </cols>
  <sheetData>
    <row r="1">
      <c r="A1" s="21" t="s">
        <v>975</v>
      </c>
    </row>
    <row r="2">
      <c r="A2" s="22" t="s">
        <v>958</v>
      </c>
      <c r="B2" s="22" t="s">
        <v>976</v>
      </c>
      <c r="C2" s="22" t="s">
        <v>960</v>
      </c>
      <c r="D2" s="22" t="s">
        <v>90</v>
      </c>
      <c r="E2" s="22" t="s">
        <v>977</v>
      </c>
      <c r="F2" s="22" t="s">
        <v>938</v>
      </c>
      <c r="G2" s="22" t="s">
        <v>978</v>
      </c>
      <c r="H2" s="22" t="s">
        <v>979</v>
      </c>
      <c r="I2" s="22" t="s">
        <v>98</v>
      </c>
    </row>
    <row r="3">
      <c r="A3" s="23" t="s">
        <v>49</v>
      </c>
      <c r="B3" s="23" t="s">
        <v>49</v>
      </c>
      <c r="C3" s="23" t="s">
        <v>49</v>
      </c>
      <c r="D3" s="24"/>
      <c r="E3" s="24"/>
      <c r="F3" s="24"/>
      <c r="G3" s="24"/>
      <c r="H3" s="24"/>
      <c r="I3" s="24"/>
    </row>
    <row r="4">
      <c r="A4" s="25" t="s">
        <v>50</v>
      </c>
      <c r="B4" s="25" t="s">
        <v>50</v>
      </c>
      <c r="C4" s="25" t="s">
        <v>51</v>
      </c>
      <c r="D4" s="25" t="s">
        <v>50</v>
      </c>
      <c r="E4" s="25" t="s">
        <v>50</v>
      </c>
      <c r="F4" s="25" t="s">
        <v>944</v>
      </c>
      <c r="G4" s="25" t="s">
        <v>980</v>
      </c>
      <c r="H4" s="25" t="s">
        <v>50</v>
      </c>
      <c r="I4" s="25" t="s">
        <v>50</v>
      </c>
    </row>
    <row r="5">
      <c r="A5" s="26" t="s">
        <v>946</v>
      </c>
      <c r="B5" s="26" t="s">
        <v>144</v>
      </c>
      <c r="C5" s="26">
        <v>150.0</v>
      </c>
      <c r="D5" s="26" t="s">
        <v>981</v>
      </c>
      <c r="E5" s="26">
        <v>15.5</v>
      </c>
      <c r="F5" s="26">
        <v>60.0</v>
      </c>
      <c r="G5" s="26" t="s">
        <v>982</v>
      </c>
      <c r="H5" s="26">
        <v>12.6</v>
      </c>
    </row>
    <row r="6">
      <c r="A6" s="26" t="s">
        <v>946</v>
      </c>
      <c r="B6" s="26" t="s">
        <v>137</v>
      </c>
      <c r="C6" s="26">
        <v>445.0</v>
      </c>
      <c r="D6" s="26" t="s">
        <v>981</v>
      </c>
      <c r="E6" s="26">
        <v>12.0</v>
      </c>
      <c r="F6" s="26">
        <v>0.0</v>
      </c>
      <c r="G6" s="26" t="s">
        <v>983</v>
      </c>
      <c r="H6" s="26">
        <v>9.2</v>
      </c>
    </row>
    <row r="7">
      <c r="A7" s="26" t="s">
        <v>946</v>
      </c>
      <c r="B7" s="26" t="s">
        <v>133</v>
      </c>
      <c r="C7" s="26">
        <v>823.0</v>
      </c>
      <c r="D7" s="26" t="s">
        <v>981</v>
      </c>
      <c r="E7" s="26">
        <v>12.0</v>
      </c>
      <c r="F7" s="26">
        <v>72.0</v>
      </c>
      <c r="G7" s="26" t="s">
        <v>984</v>
      </c>
      <c r="H7" s="26">
        <v>0.0</v>
      </c>
    </row>
    <row r="8">
      <c r="A8" s="26" t="s">
        <v>947</v>
      </c>
      <c r="B8" s="26" t="s">
        <v>144</v>
      </c>
      <c r="C8" s="26">
        <v>56.0</v>
      </c>
      <c r="D8" s="26" t="s">
        <v>981</v>
      </c>
      <c r="E8" s="26">
        <v>14.0</v>
      </c>
      <c r="F8" s="26">
        <v>60.0</v>
      </c>
      <c r="G8" s="26" t="s">
        <v>982</v>
      </c>
      <c r="H8" s="26">
        <v>4.4</v>
      </c>
    </row>
    <row r="9">
      <c r="A9" s="26" t="s">
        <v>947</v>
      </c>
      <c r="B9" s="26" t="s">
        <v>143</v>
      </c>
      <c r="C9" s="26">
        <v>965.0</v>
      </c>
      <c r="D9" s="26" t="s">
        <v>981</v>
      </c>
      <c r="E9" s="26">
        <v>5.0</v>
      </c>
      <c r="F9" s="26">
        <v>0.0</v>
      </c>
      <c r="G9" s="26" t="s">
        <v>983</v>
      </c>
      <c r="H9" s="26">
        <v>8.7</v>
      </c>
    </row>
    <row r="10">
      <c r="A10" s="26" t="s">
        <v>948</v>
      </c>
      <c r="B10" s="26" t="s">
        <v>144</v>
      </c>
      <c r="C10" s="26">
        <v>150.0</v>
      </c>
      <c r="D10" s="26" t="s">
        <v>981</v>
      </c>
      <c r="E10" s="26">
        <v>15.5</v>
      </c>
      <c r="F10" s="26">
        <v>60.0</v>
      </c>
      <c r="G10" s="26" t="s">
        <v>982</v>
      </c>
      <c r="H10" s="26">
        <v>11.1</v>
      </c>
    </row>
    <row r="11">
      <c r="A11" s="26" t="s">
        <v>948</v>
      </c>
      <c r="B11" s="26" t="s">
        <v>139</v>
      </c>
      <c r="C11" s="26">
        <v>312.0</v>
      </c>
      <c r="D11" s="26" t="s">
        <v>981</v>
      </c>
      <c r="E11" s="26">
        <v>9.2</v>
      </c>
      <c r="F11" s="26">
        <v>0.0</v>
      </c>
      <c r="G11" s="26" t="s">
        <v>983</v>
      </c>
      <c r="H11" s="26">
        <v>4.6</v>
      </c>
    </row>
    <row r="12">
      <c r="A12" s="26" t="s">
        <v>948</v>
      </c>
      <c r="B12" s="26" t="s">
        <v>146</v>
      </c>
      <c r="C12" s="26">
        <v>312.0</v>
      </c>
      <c r="D12" s="26" t="s">
        <v>981</v>
      </c>
      <c r="E12" s="26">
        <v>5.5</v>
      </c>
      <c r="F12" s="26">
        <v>0.0</v>
      </c>
      <c r="G12" s="26" t="s">
        <v>983</v>
      </c>
      <c r="H12" s="26">
        <v>2.8</v>
      </c>
    </row>
    <row r="13">
      <c r="A13" s="26" t="s">
        <v>948</v>
      </c>
      <c r="B13" s="26" t="s">
        <v>985</v>
      </c>
      <c r="C13" s="26">
        <v>312.0</v>
      </c>
      <c r="D13" s="26" t="s">
        <v>981</v>
      </c>
      <c r="E13" s="26">
        <v>9.2</v>
      </c>
      <c r="F13" s="26">
        <v>72.0</v>
      </c>
      <c r="G13" s="26" t="s">
        <v>984</v>
      </c>
      <c r="H13" s="26">
        <v>0.0</v>
      </c>
    </row>
    <row r="14">
      <c r="A14" s="26" t="s">
        <v>948</v>
      </c>
      <c r="B14" s="26" t="s">
        <v>146</v>
      </c>
      <c r="C14" s="26">
        <v>312.0</v>
      </c>
      <c r="D14" s="26" t="s">
        <v>981</v>
      </c>
      <c r="E14" s="26">
        <v>5.5</v>
      </c>
      <c r="F14" s="26">
        <v>72.0</v>
      </c>
      <c r="G14" s="26" t="s">
        <v>984</v>
      </c>
      <c r="H14" s="26">
        <v>0.0</v>
      </c>
    </row>
    <row r="15">
      <c r="A15" s="26" t="s">
        <v>65</v>
      </c>
      <c r="B15" s="26" t="s">
        <v>144</v>
      </c>
      <c r="C15" s="26">
        <v>430.0</v>
      </c>
      <c r="D15" s="26" t="s">
        <v>981</v>
      </c>
      <c r="E15" s="26">
        <v>15.5</v>
      </c>
      <c r="F15" s="26">
        <v>60.0</v>
      </c>
      <c r="G15" s="26" t="s">
        <v>982</v>
      </c>
      <c r="H15" s="26">
        <v>27.0</v>
      </c>
    </row>
    <row r="16">
      <c r="A16" s="26" t="s">
        <v>65</v>
      </c>
      <c r="B16" s="26" t="s">
        <v>139</v>
      </c>
      <c r="C16" s="26">
        <v>960.0</v>
      </c>
      <c r="D16" s="26" t="s">
        <v>981</v>
      </c>
      <c r="E16" s="26">
        <v>9.2</v>
      </c>
      <c r="F16" s="26">
        <v>0.0</v>
      </c>
      <c r="G16" s="26" t="s">
        <v>983</v>
      </c>
      <c r="H16" s="26">
        <v>13.2</v>
      </c>
    </row>
    <row r="17">
      <c r="A17" s="26" t="s">
        <v>65</v>
      </c>
      <c r="B17" s="26" t="s">
        <v>138</v>
      </c>
      <c r="C17" s="26">
        <v>960.0</v>
      </c>
      <c r="D17" s="26" t="s">
        <v>981</v>
      </c>
      <c r="E17" s="26">
        <v>12.2</v>
      </c>
      <c r="F17" s="26">
        <v>0.0</v>
      </c>
      <c r="G17" s="26" t="s">
        <v>983</v>
      </c>
      <c r="H17" s="26">
        <v>17.5</v>
      </c>
    </row>
    <row r="18">
      <c r="A18" s="26" t="s">
        <v>65</v>
      </c>
      <c r="B18" s="26" t="s">
        <v>133</v>
      </c>
      <c r="C18" s="26">
        <v>1160.0</v>
      </c>
      <c r="D18" s="26" t="s">
        <v>981</v>
      </c>
      <c r="E18" s="26">
        <v>10.0</v>
      </c>
      <c r="F18" s="26">
        <v>72.0</v>
      </c>
      <c r="G18" s="26" t="s">
        <v>984</v>
      </c>
      <c r="H18" s="26">
        <v>0.0</v>
      </c>
    </row>
    <row r="19">
      <c r="A19" s="26" t="s">
        <v>65</v>
      </c>
      <c r="B19" s="26" t="s">
        <v>139</v>
      </c>
      <c r="C19" s="26">
        <v>780.0</v>
      </c>
      <c r="D19" s="26" t="s">
        <v>981</v>
      </c>
      <c r="E19" s="26">
        <v>9.2</v>
      </c>
      <c r="F19" s="26">
        <v>72.0</v>
      </c>
      <c r="G19" s="26" t="s">
        <v>984</v>
      </c>
      <c r="H19" s="26">
        <v>0.0</v>
      </c>
    </row>
    <row r="20">
      <c r="A20" s="26" t="s">
        <v>65</v>
      </c>
      <c r="B20" s="26" t="s">
        <v>138</v>
      </c>
      <c r="C20" s="26">
        <v>780.0</v>
      </c>
      <c r="D20" s="26" t="s">
        <v>981</v>
      </c>
      <c r="E20" s="26">
        <v>12.2</v>
      </c>
      <c r="F20" s="26">
        <v>72.0</v>
      </c>
      <c r="G20" s="26" t="s">
        <v>984</v>
      </c>
      <c r="H20" s="26">
        <v>0.0</v>
      </c>
    </row>
    <row r="21">
      <c r="A21" s="26" t="s">
        <v>949</v>
      </c>
      <c r="B21" s="26" t="s">
        <v>144</v>
      </c>
      <c r="C21" s="26">
        <v>100.0</v>
      </c>
      <c r="D21" s="26" t="s">
        <v>981</v>
      </c>
      <c r="E21" s="26">
        <v>15.5</v>
      </c>
      <c r="F21" s="26">
        <v>60.0</v>
      </c>
      <c r="G21" s="26" t="s">
        <v>982</v>
      </c>
      <c r="H21" s="26">
        <v>5.7</v>
      </c>
    </row>
    <row r="22">
      <c r="A22" s="26" t="s">
        <v>949</v>
      </c>
      <c r="B22" s="26" t="s">
        <v>133</v>
      </c>
      <c r="C22" s="26">
        <v>1000.0</v>
      </c>
      <c r="D22" s="26" t="s">
        <v>981</v>
      </c>
      <c r="E22" s="26">
        <v>10.0</v>
      </c>
      <c r="F22" s="26">
        <v>10.0</v>
      </c>
      <c r="G22" s="26" t="s">
        <v>982</v>
      </c>
      <c r="H22" s="26">
        <v>12.7</v>
      </c>
    </row>
    <row r="23">
      <c r="A23" s="26" t="s">
        <v>949</v>
      </c>
      <c r="B23" s="26" t="s">
        <v>144</v>
      </c>
      <c r="C23" s="26">
        <v>1000.0</v>
      </c>
      <c r="D23" s="26" t="s">
        <v>981</v>
      </c>
      <c r="E23" s="26">
        <v>15.5</v>
      </c>
      <c r="F23" s="26">
        <v>10.0</v>
      </c>
      <c r="G23" s="26" t="s">
        <v>982</v>
      </c>
      <c r="H23" s="26">
        <v>19.7</v>
      </c>
    </row>
    <row r="24">
      <c r="A24" s="26" t="s">
        <v>949</v>
      </c>
      <c r="B24" s="26" t="s">
        <v>138</v>
      </c>
      <c r="C24" s="26">
        <v>1000.0</v>
      </c>
      <c r="D24" s="26" t="s">
        <v>981</v>
      </c>
      <c r="E24" s="26">
        <v>12.2</v>
      </c>
      <c r="F24" s="26">
        <v>10.0</v>
      </c>
      <c r="G24" s="26" t="s">
        <v>982</v>
      </c>
      <c r="H24" s="26">
        <v>15.6</v>
      </c>
    </row>
    <row r="25">
      <c r="A25" s="26" t="s">
        <v>949</v>
      </c>
      <c r="B25" s="26" t="s">
        <v>142</v>
      </c>
      <c r="C25" s="26">
        <v>1000.0</v>
      </c>
      <c r="D25" s="26" t="s">
        <v>981</v>
      </c>
      <c r="E25" s="26">
        <v>13.0</v>
      </c>
      <c r="F25" s="26">
        <v>0.0</v>
      </c>
      <c r="G25" s="26" t="s">
        <v>983</v>
      </c>
      <c r="H25" s="26">
        <v>17.5</v>
      </c>
    </row>
    <row r="26">
      <c r="A26" s="26" t="s">
        <v>949</v>
      </c>
      <c r="B26" s="26" t="s">
        <v>138</v>
      </c>
      <c r="C26" s="26">
        <v>500.0</v>
      </c>
      <c r="D26" s="26" t="s">
        <v>981</v>
      </c>
      <c r="E26" s="26">
        <v>12.2</v>
      </c>
      <c r="F26" s="26">
        <v>0.0</v>
      </c>
      <c r="G26" s="26" t="s">
        <v>982</v>
      </c>
      <c r="H26" s="26">
        <v>8.2</v>
      </c>
    </row>
    <row r="27">
      <c r="A27" s="26" t="s">
        <v>949</v>
      </c>
      <c r="B27" s="26" t="s">
        <v>133</v>
      </c>
      <c r="C27" s="26">
        <v>1200.0</v>
      </c>
      <c r="D27" s="26" t="s">
        <v>981</v>
      </c>
      <c r="E27" s="26">
        <v>10.0</v>
      </c>
      <c r="F27" s="26">
        <v>72.0</v>
      </c>
      <c r="G27" s="26" t="s">
        <v>984</v>
      </c>
      <c r="H27" s="26">
        <v>0.0</v>
      </c>
    </row>
    <row r="28">
      <c r="A28" s="26" t="s">
        <v>949</v>
      </c>
      <c r="B28" s="26" t="s">
        <v>142</v>
      </c>
      <c r="C28" s="26">
        <v>1200.0</v>
      </c>
      <c r="D28" s="26" t="s">
        <v>981</v>
      </c>
      <c r="E28" s="26">
        <v>13.0</v>
      </c>
      <c r="F28" s="26">
        <v>72.0</v>
      </c>
      <c r="G28" s="26" t="s">
        <v>984</v>
      </c>
      <c r="H28" s="26">
        <v>0.0</v>
      </c>
    </row>
    <row r="29">
      <c r="A29" s="26" t="s">
        <v>949</v>
      </c>
      <c r="B29" s="26" t="s">
        <v>146</v>
      </c>
      <c r="C29" s="26">
        <v>1200.0</v>
      </c>
      <c r="D29" s="26" t="s">
        <v>981</v>
      </c>
      <c r="E29" s="26">
        <v>5.5</v>
      </c>
      <c r="F29" s="26">
        <v>72.0</v>
      </c>
      <c r="G29" s="26" t="s">
        <v>984</v>
      </c>
      <c r="H29" s="26">
        <v>0.0</v>
      </c>
    </row>
    <row r="30">
      <c r="A30" s="26" t="s">
        <v>949</v>
      </c>
      <c r="B30" s="26" t="s">
        <v>137</v>
      </c>
      <c r="C30" s="26">
        <v>8000.0</v>
      </c>
      <c r="D30" s="26" t="s">
        <v>981</v>
      </c>
      <c r="E30" s="26">
        <v>12.0</v>
      </c>
      <c r="F30" s="26">
        <v>72.0</v>
      </c>
      <c r="G30" s="26" t="s">
        <v>984</v>
      </c>
      <c r="H30" s="26">
        <v>0.0</v>
      </c>
    </row>
    <row r="31">
      <c r="A31" s="26" t="s">
        <v>949</v>
      </c>
      <c r="B31" s="26" t="s">
        <v>138</v>
      </c>
      <c r="C31" s="26">
        <v>8000.0</v>
      </c>
      <c r="D31" s="26" t="s">
        <v>981</v>
      </c>
      <c r="E31" s="26">
        <v>12.2</v>
      </c>
      <c r="F31" s="26">
        <v>72.0</v>
      </c>
      <c r="G31" s="26" t="s">
        <v>984</v>
      </c>
      <c r="H31" s="26">
        <v>0.0</v>
      </c>
    </row>
    <row r="32">
      <c r="A32" s="26" t="s">
        <v>950</v>
      </c>
      <c r="B32" s="26" t="s">
        <v>144</v>
      </c>
      <c r="C32" s="26">
        <v>580.0</v>
      </c>
      <c r="D32" s="26" t="s">
        <v>981</v>
      </c>
      <c r="E32" s="26">
        <v>15.5</v>
      </c>
      <c r="F32" s="26">
        <v>60.0</v>
      </c>
      <c r="G32" s="26" t="s">
        <v>982</v>
      </c>
      <c r="H32" s="26">
        <v>34.9</v>
      </c>
    </row>
    <row r="33">
      <c r="A33" s="26" t="s">
        <v>950</v>
      </c>
      <c r="B33" s="26" t="s">
        <v>147</v>
      </c>
      <c r="C33" s="26">
        <v>1000.0</v>
      </c>
      <c r="D33" s="26" t="s">
        <v>981</v>
      </c>
      <c r="E33" s="26">
        <v>12.0</v>
      </c>
      <c r="F33" s="26">
        <v>10.0</v>
      </c>
      <c r="G33" s="26" t="s">
        <v>982</v>
      </c>
      <c r="H33" s="26">
        <v>14.3</v>
      </c>
    </row>
    <row r="34">
      <c r="A34" s="26" t="s">
        <v>951</v>
      </c>
      <c r="B34" s="26" t="s">
        <v>144</v>
      </c>
      <c r="C34" s="26">
        <v>400.0</v>
      </c>
      <c r="D34" s="26" t="s">
        <v>981</v>
      </c>
      <c r="E34" s="26">
        <v>15.5</v>
      </c>
      <c r="F34" s="26">
        <v>60.0</v>
      </c>
      <c r="G34" s="26" t="s">
        <v>982</v>
      </c>
      <c r="H34" s="26">
        <v>8.4</v>
      </c>
    </row>
    <row r="35">
      <c r="A35" s="26" t="s">
        <v>951</v>
      </c>
      <c r="B35" s="26" t="s">
        <v>137</v>
      </c>
      <c r="C35" s="26">
        <v>400.0</v>
      </c>
      <c r="D35" s="26" t="s">
        <v>981</v>
      </c>
      <c r="E35" s="26">
        <v>12.0</v>
      </c>
      <c r="F35" s="26">
        <v>0.0</v>
      </c>
      <c r="G35" s="26" t="s">
        <v>983</v>
      </c>
      <c r="H35" s="26">
        <v>6.5</v>
      </c>
    </row>
    <row r="36">
      <c r="A36" s="26" t="s">
        <v>951</v>
      </c>
      <c r="B36" s="26" t="s">
        <v>138</v>
      </c>
      <c r="C36" s="26">
        <v>400.0</v>
      </c>
      <c r="D36" s="26" t="s">
        <v>981</v>
      </c>
      <c r="E36" s="26">
        <v>12.2</v>
      </c>
      <c r="F36" s="26">
        <v>0.0</v>
      </c>
      <c r="G36" s="26" t="s">
        <v>983</v>
      </c>
      <c r="H36" s="26">
        <v>6.6</v>
      </c>
    </row>
    <row r="37">
      <c r="A37" s="26" t="s">
        <v>951</v>
      </c>
      <c r="B37" s="26" t="s">
        <v>986</v>
      </c>
      <c r="C37" s="26">
        <v>400.0</v>
      </c>
      <c r="D37" s="26" t="s">
        <v>981</v>
      </c>
      <c r="E37" s="26">
        <v>16.0</v>
      </c>
      <c r="F37" s="26">
        <v>0.0</v>
      </c>
      <c r="G37" s="26" t="s">
        <v>983</v>
      </c>
      <c r="H37" s="26">
        <v>8.6</v>
      </c>
    </row>
    <row r="38">
      <c r="A38" s="26" t="s">
        <v>951</v>
      </c>
      <c r="B38" s="26" t="s">
        <v>138</v>
      </c>
      <c r="C38" s="26">
        <v>500.0</v>
      </c>
      <c r="D38" s="26" t="s">
        <v>981</v>
      </c>
      <c r="E38" s="26">
        <v>12.2</v>
      </c>
      <c r="F38" s="26">
        <v>72.0</v>
      </c>
      <c r="G38" s="26" t="s">
        <v>984</v>
      </c>
      <c r="H38" s="26">
        <v>0.0</v>
      </c>
      <c r="I38" s="26" t="s">
        <v>987</v>
      </c>
    </row>
    <row r="39">
      <c r="A39" s="26" t="s">
        <v>951</v>
      </c>
      <c r="B39" s="26" t="s">
        <v>137</v>
      </c>
      <c r="C39" s="26">
        <v>300.0</v>
      </c>
      <c r="D39" s="26" t="s">
        <v>981</v>
      </c>
      <c r="E39" s="26">
        <v>12.0</v>
      </c>
      <c r="F39" s="26">
        <v>72.0</v>
      </c>
      <c r="G39" s="26" t="s">
        <v>984</v>
      </c>
      <c r="H39" s="26">
        <v>0.0</v>
      </c>
      <c r="I39" s="26" t="s">
        <v>987</v>
      </c>
    </row>
    <row r="40">
      <c r="A40" s="26" t="s">
        <v>951</v>
      </c>
      <c r="B40" s="26" t="s">
        <v>141</v>
      </c>
      <c r="C40" s="26">
        <v>500.0</v>
      </c>
      <c r="D40" s="26" t="s">
        <v>981</v>
      </c>
      <c r="E40" s="26">
        <v>14.0</v>
      </c>
      <c r="F40" s="26">
        <v>72.0</v>
      </c>
      <c r="G40" s="26" t="s">
        <v>984</v>
      </c>
      <c r="H40" s="26">
        <v>0.0</v>
      </c>
      <c r="I40" s="26" t="s">
        <v>988</v>
      </c>
    </row>
    <row r="41">
      <c r="A41" s="26" t="s">
        <v>951</v>
      </c>
      <c r="B41" s="26" t="s">
        <v>138</v>
      </c>
      <c r="C41" s="26">
        <v>300.0</v>
      </c>
      <c r="D41" s="26" t="s">
        <v>981</v>
      </c>
      <c r="E41" s="26">
        <v>12.2</v>
      </c>
      <c r="F41" s="26">
        <v>72.0</v>
      </c>
      <c r="G41" s="26" t="s">
        <v>984</v>
      </c>
      <c r="H41" s="26">
        <v>0.0</v>
      </c>
      <c r="I41" s="26" t="s">
        <v>988</v>
      </c>
    </row>
    <row r="42">
      <c r="A42" s="26" t="s">
        <v>951</v>
      </c>
      <c r="B42" s="26" t="s">
        <v>137</v>
      </c>
      <c r="C42" s="26">
        <v>1000.0</v>
      </c>
      <c r="D42" s="26" t="s">
        <v>981</v>
      </c>
      <c r="E42" s="26">
        <v>12.0</v>
      </c>
      <c r="F42" s="26">
        <v>72.0</v>
      </c>
      <c r="G42" s="26" t="s">
        <v>984</v>
      </c>
      <c r="H42" s="26">
        <v>0.0</v>
      </c>
      <c r="I42" s="26" t="s">
        <v>989</v>
      </c>
    </row>
    <row r="43">
      <c r="A43" s="26" t="s">
        <v>951</v>
      </c>
      <c r="B43" s="26" t="s">
        <v>140</v>
      </c>
      <c r="C43" s="26">
        <v>600.0</v>
      </c>
      <c r="D43" s="26" t="s">
        <v>981</v>
      </c>
      <c r="E43" s="26">
        <v>16.0</v>
      </c>
      <c r="F43" s="26">
        <v>72.0</v>
      </c>
      <c r="G43" s="26" t="s">
        <v>984</v>
      </c>
      <c r="H43" s="26">
        <v>0.0</v>
      </c>
      <c r="I43" s="26" t="s">
        <v>989</v>
      </c>
    </row>
    <row r="44">
      <c r="A44" s="26" t="s">
        <v>951</v>
      </c>
      <c r="B44" s="26" t="s">
        <v>141</v>
      </c>
      <c r="C44" s="26">
        <v>500.0</v>
      </c>
      <c r="D44" s="26" t="s">
        <v>981</v>
      </c>
      <c r="E44" s="26">
        <v>14.0</v>
      </c>
      <c r="F44" s="26">
        <v>72.0</v>
      </c>
      <c r="G44" s="26" t="s">
        <v>984</v>
      </c>
      <c r="H44" s="26">
        <v>0.0</v>
      </c>
      <c r="I44" s="26" t="s">
        <v>989</v>
      </c>
    </row>
    <row r="45">
      <c r="A45" s="26" t="s">
        <v>952</v>
      </c>
      <c r="B45" s="26" t="s">
        <v>990</v>
      </c>
      <c r="C45" s="26">
        <v>240.0</v>
      </c>
      <c r="D45" s="26" t="s">
        <v>981</v>
      </c>
      <c r="E45" s="26">
        <v>6.0</v>
      </c>
      <c r="F45" s="26">
        <v>60.0</v>
      </c>
      <c r="G45" s="26" t="s">
        <v>982</v>
      </c>
      <c r="H45" s="26">
        <v>7.0</v>
      </c>
    </row>
    <row r="46">
      <c r="A46" s="26" t="s">
        <v>953</v>
      </c>
      <c r="B46" s="26" t="s">
        <v>139</v>
      </c>
      <c r="C46" s="26">
        <v>200.0</v>
      </c>
      <c r="D46" s="26" t="s">
        <v>981</v>
      </c>
      <c r="E46" s="26">
        <v>9.2</v>
      </c>
      <c r="F46" s="26">
        <v>0.0</v>
      </c>
      <c r="G46" s="26" t="s">
        <v>982</v>
      </c>
      <c r="H46" s="26">
        <v>2.4</v>
      </c>
    </row>
    <row r="47">
      <c r="A47" s="26" t="s">
        <v>953</v>
      </c>
      <c r="B47" s="26" t="s">
        <v>133</v>
      </c>
      <c r="C47" s="26">
        <v>200.0</v>
      </c>
      <c r="D47" s="26" t="s">
        <v>981</v>
      </c>
      <c r="E47" s="26">
        <v>10.0</v>
      </c>
      <c r="F47" s="26">
        <v>0.0</v>
      </c>
      <c r="G47" s="26" t="s">
        <v>982</v>
      </c>
      <c r="H47" s="26">
        <v>2.6</v>
      </c>
    </row>
    <row r="48">
      <c r="A48" s="26" t="s">
        <v>953</v>
      </c>
      <c r="B48" s="26" t="s">
        <v>154</v>
      </c>
      <c r="C48" s="26">
        <v>200.0</v>
      </c>
      <c r="D48" s="26" t="s">
        <v>981</v>
      </c>
      <c r="E48" s="26">
        <v>13.0</v>
      </c>
      <c r="F48" s="26">
        <v>0.0</v>
      </c>
      <c r="G48" s="26" t="s">
        <v>982</v>
      </c>
      <c r="H48" s="26">
        <v>3.4</v>
      </c>
    </row>
    <row r="49">
      <c r="A49" s="26" t="s">
        <v>953</v>
      </c>
      <c r="B49" s="26" t="s">
        <v>144</v>
      </c>
      <c r="C49" s="26">
        <v>200.0</v>
      </c>
      <c r="D49" s="26" t="s">
        <v>981</v>
      </c>
      <c r="E49" s="26">
        <v>14.0</v>
      </c>
      <c r="F49" s="26">
        <v>0.0</v>
      </c>
      <c r="G49" s="26" t="s">
        <v>982</v>
      </c>
      <c r="H49" s="26">
        <v>3.7</v>
      </c>
    </row>
    <row r="50">
      <c r="A50" s="26" t="s">
        <v>953</v>
      </c>
      <c r="B50" s="26" t="s">
        <v>142</v>
      </c>
      <c r="C50" s="26">
        <v>200.0</v>
      </c>
      <c r="D50" s="26" t="s">
        <v>981</v>
      </c>
      <c r="E50" s="26">
        <v>13.0</v>
      </c>
      <c r="F50" s="26">
        <v>0.0</v>
      </c>
      <c r="G50" s="26" t="s">
        <v>982</v>
      </c>
      <c r="H50" s="26">
        <v>3.4</v>
      </c>
    </row>
    <row r="51">
      <c r="A51" s="26" t="s">
        <v>953</v>
      </c>
      <c r="B51" s="26" t="s">
        <v>133</v>
      </c>
      <c r="C51" s="26">
        <v>1750.0</v>
      </c>
      <c r="D51" s="26" t="s">
        <v>981</v>
      </c>
      <c r="E51" s="26">
        <v>10.0</v>
      </c>
      <c r="F51" s="26">
        <v>72.0</v>
      </c>
      <c r="G51" s="26" t="s">
        <v>984</v>
      </c>
      <c r="H51" s="26">
        <v>0.0</v>
      </c>
    </row>
    <row r="52">
      <c r="A52" s="26" t="s">
        <v>953</v>
      </c>
      <c r="B52" s="26" t="s">
        <v>142</v>
      </c>
      <c r="C52" s="26">
        <v>1750.0</v>
      </c>
      <c r="D52" s="26" t="s">
        <v>981</v>
      </c>
      <c r="E52" s="26">
        <v>13.0</v>
      </c>
      <c r="F52" s="26">
        <v>72.0</v>
      </c>
      <c r="G52" s="26" t="s">
        <v>984</v>
      </c>
      <c r="H52" s="26">
        <v>0.0</v>
      </c>
    </row>
    <row r="53">
      <c r="A53" s="26" t="s">
        <v>953</v>
      </c>
      <c r="B53" s="26" t="s">
        <v>139</v>
      </c>
      <c r="C53" s="26">
        <v>1150.0</v>
      </c>
      <c r="D53" s="26" t="s">
        <v>981</v>
      </c>
      <c r="E53" s="26">
        <v>9.2</v>
      </c>
      <c r="F53" s="26">
        <v>72.0</v>
      </c>
      <c r="G53" s="26" t="s">
        <v>984</v>
      </c>
      <c r="H53" s="26">
        <v>0.0</v>
      </c>
    </row>
    <row r="54">
      <c r="A54" s="26" t="s">
        <v>953</v>
      </c>
      <c r="B54" s="26" t="s">
        <v>144</v>
      </c>
      <c r="C54" s="26">
        <v>1150.0</v>
      </c>
      <c r="D54" s="26" t="s">
        <v>981</v>
      </c>
      <c r="E54" s="26">
        <v>14.0</v>
      </c>
      <c r="F54" s="26">
        <v>72.0</v>
      </c>
      <c r="G54" s="26" t="s">
        <v>984</v>
      </c>
      <c r="H54" s="26">
        <v>0.0</v>
      </c>
    </row>
    <row r="55">
      <c r="A55" s="26" t="s">
        <v>953</v>
      </c>
      <c r="B55" s="26" t="s">
        <v>154</v>
      </c>
      <c r="C55" s="26">
        <v>850.0</v>
      </c>
      <c r="D55" s="26" t="s">
        <v>981</v>
      </c>
      <c r="E55" s="26">
        <v>13.0</v>
      </c>
      <c r="F55" s="26">
        <v>72.0</v>
      </c>
      <c r="G55" s="26" t="s">
        <v>984</v>
      </c>
      <c r="H55" s="26">
        <v>0.0</v>
      </c>
    </row>
    <row r="56">
      <c r="A56" s="26" t="s">
        <v>954</v>
      </c>
      <c r="B56" s="26" t="s">
        <v>152</v>
      </c>
      <c r="C56" s="26">
        <v>5000.0</v>
      </c>
      <c r="D56" s="26" t="s">
        <v>981</v>
      </c>
      <c r="E56" s="26">
        <v>3.75</v>
      </c>
      <c r="F56" s="26">
        <v>0.0</v>
      </c>
      <c r="G56" s="26" t="s">
        <v>983</v>
      </c>
      <c r="H56" s="26">
        <v>27.8</v>
      </c>
    </row>
    <row r="57">
      <c r="A57" s="26" t="s">
        <v>955</v>
      </c>
      <c r="B57" s="26" t="s">
        <v>144</v>
      </c>
      <c r="C57" s="26">
        <v>360.0</v>
      </c>
      <c r="D57" s="26" t="s">
        <v>981</v>
      </c>
      <c r="E57" s="26">
        <v>15.5</v>
      </c>
      <c r="F57" s="26">
        <v>90.0</v>
      </c>
      <c r="G57" s="26" t="s">
        <v>982</v>
      </c>
      <c r="H57" s="26">
        <v>25.0</v>
      </c>
    </row>
    <row r="58">
      <c r="A58" s="26" t="s">
        <v>956</v>
      </c>
      <c r="B58" s="26" t="s">
        <v>144</v>
      </c>
      <c r="C58" s="26">
        <v>1000.0</v>
      </c>
      <c r="D58" s="26" t="s">
        <v>981</v>
      </c>
      <c r="E58" s="26">
        <v>20.8</v>
      </c>
      <c r="F58" s="26">
        <v>90.0</v>
      </c>
      <c r="G58" s="26" t="s">
        <v>982</v>
      </c>
      <c r="H58" s="26">
        <v>21.0</v>
      </c>
    </row>
  </sheetData>
  <mergeCells count="1">
    <mergeCell ref="A1:I1"/>
  </mergeCells>
  <dataValidations>
    <dataValidation type="list" allowBlank="1" sqref="G10:G58">
      <formula1>"boil,dry_hop,whirlpool,first_wort,mash"</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3.0"/>
    <col customWidth="1" min="2" max="2" width="11.63"/>
    <col customWidth="1" min="3" max="3" width="5.0"/>
    <col customWidth="1" min="4" max="4" width="10.5"/>
    <col customWidth="1" min="5" max="5" width="13.25"/>
    <col customWidth="1" min="6" max="6" width="14.25"/>
    <col customWidth="1" min="7" max="7" width="12.75"/>
    <col customWidth="1" min="8" max="8" width="13.13"/>
    <col customWidth="1" min="9" max="9" width="5.88"/>
  </cols>
  <sheetData>
    <row r="1">
      <c r="A1" s="21" t="s">
        <v>991</v>
      </c>
    </row>
    <row r="2">
      <c r="A2" s="22" t="s">
        <v>958</v>
      </c>
      <c r="B2" s="22" t="s">
        <v>992</v>
      </c>
      <c r="C2" s="22" t="s">
        <v>883</v>
      </c>
      <c r="D2" s="22" t="s">
        <v>884</v>
      </c>
      <c r="E2" s="22" t="s">
        <v>886</v>
      </c>
      <c r="F2" s="22" t="s">
        <v>993</v>
      </c>
      <c r="G2" s="22" t="s">
        <v>890</v>
      </c>
      <c r="H2" s="22" t="s">
        <v>891</v>
      </c>
      <c r="I2" s="22" t="s">
        <v>98</v>
      </c>
    </row>
    <row r="3">
      <c r="A3" s="23" t="s">
        <v>49</v>
      </c>
      <c r="B3" s="23" t="s">
        <v>49</v>
      </c>
      <c r="C3" s="24"/>
      <c r="D3" s="24"/>
      <c r="E3" s="24"/>
      <c r="F3" s="24"/>
      <c r="G3" s="24"/>
      <c r="H3" s="24"/>
      <c r="I3" s="24"/>
    </row>
    <row r="4">
      <c r="A4" s="25" t="s">
        <v>50</v>
      </c>
      <c r="B4" s="25" t="s">
        <v>50</v>
      </c>
      <c r="C4" s="25" t="s">
        <v>50</v>
      </c>
      <c r="D4" s="25" t="s">
        <v>50</v>
      </c>
      <c r="E4" s="25" t="s">
        <v>894</v>
      </c>
      <c r="F4" s="25" t="s">
        <v>50</v>
      </c>
      <c r="G4" s="25" t="s">
        <v>50</v>
      </c>
      <c r="H4" s="25" t="s">
        <v>50</v>
      </c>
      <c r="I4" s="25" t="s">
        <v>50</v>
      </c>
    </row>
    <row r="5">
      <c r="A5" s="26" t="s">
        <v>945</v>
      </c>
      <c r="B5" s="26">
        <v>0.0</v>
      </c>
      <c r="C5" s="26">
        <v>0.0</v>
      </c>
      <c r="D5" s="26">
        <v>0.0</v>
      </c>
      <c r="E5" s="26">
        <v>0.0</v>
      </c>
      <c r="F5" s="26">
        <v>0.0</v>
      </c>
      <c r="G5" s="26">
        <v>0.0</v>
      </c>
      <c r="H5" s="26">
        <v>0.0</v>
      </c>
      <c r="I5" s="26"/>
    </row>
    <row r="6">
      <c r="A6" s="26" t="s">
        <v>946</v>
      </c>
      <c r="B6" s="26" t="s">
        <v>903</v>
      </c>
      <c r="C6" s="26" t="s">
        <v>904</v>
      </c>
      <c r="D6" s="79" t="s">
        <v>905</v>
      </c>
      <c r="E6" s="26" t="s">
        <v>900</v>
      </c>
      <c r="F6" s="26">
        <v>76.0</v>
      </c>
      <c r="G6" s="26">
        <v>80.0</v>
      </c>
      <c r="H6" s="26">
        <v>22.0</v>
      </c>
    </row>
    <row r="7">
      <c r="A7" s="26" t="s">
        <v>947</v>
      </c>
      <c r="B7" s="26" t="s">
        <v>917</v>
      </c>
      <c r="C7" s="26" t="s">
        <v>904</v>
      </c>
      <c r="D7" s="79" t="s">
        <v>918</v>
      </c>
      <c r="E7" s="26" t="s">
        <v>900</v>
      </c>
      <c r="F7" s="26">
        <v>76.0</v>
      </c>
      <c r="G7" s="26">
        <v>80.0</v>
      </c>
      <c r="H7" s="26">
        <v>16.0</v>
      </c>
    </row>
    <row r="8">
      <c r="A8" s="26" t="s">
        <v>948</v>
      </c>
      <c r="B8" s="26" t="s">
        <v>903</v>
      </c>
      <c r="C8" s="26" t="s">
        <v>904</v>
      </c>
      <c r="D8" s="79" t="s">
        <v>905</v>
      </c>
      <c r="E8" s="26" t="s">
        <v>900</v>
      </c>
      <c r="F8" s="26">
        <v>76.0</v>
      </c>
      <c r="G8" s="26">
        <v>80.0</v>
      </c>
      <c r="H8" s="26">
        <v>22.0</v>
      </c>
    </row>
    <row r="9">
      <c r="A9" s="26" t="s">
        <v>65</v>
      </c>
      <c r="B9" s="26" t="s">
        <v>903</v>
      </c>
      <c r="C9" s="26" t="s">
        <v>904</v>
      </c>
      <c r="D9" s="79" t="s">
        <v>905</v>
      </c>
      <c r="E9" s="26" t="s">
        <v>900</v>
      </c>
      <c r="F9" s="26">
        <v>76.0</v>
      </c>
      <c r="G9" s="26">
        <v>80.0</v>
      </c>
      <c r="H9" s="26">
        <v>22.0</v>
      </c>
    </row>
    <row r="10">
      <c r="A10" s="26" t="s">
        <v>949</v>
      </c>
      <c r="B10" s="26" t="s">
        <v>903</v>
      </c>
      <c r="C10" s="26" t="s">
        <v>904</v>
      </c>
      <c r="D10" s="79" t="s">
        <v>905</v>
      </c>
      <c r="E10" s="26" t="s">
        <v>900</v>
      </c>
      <c r="F10" s="26">
        <v>76.0</v>
      </c>
      <c r="G10" s="26">
        <v>80.0</v>
      </c>
      <c r="H10" s="26">
        <v>22.0</v>
      </c>
    </row>
    <row r="11">
      <c r="A11" s="26" t="s">
        <v>950</v>
      </c>
      <c r="B11" s="26" t="s">
        <v>903</v>
      </c>
      <c r="C11" s="26" t="s">
        <v>904</v>
      </c>
      <c r="D11" s="79" t="s">
        <v>905</v>
      </c>
      <c r="E11" s="26" t="s">
        <v>900</v>
      </c>
      <c r="F11" s="26">
        <v>76.0</v>
      </c>
      <c r="G11" s="26">
        <v>80.0</v>
      </c>
      <c r="H11" s="26">
        <v>22.0</v>
      </c>
    </row>
    <row r="12">
      <c r="A12" s="26" t="s">
        <v>951</v>
      </c>
      <c r="B12" s="26" t="s">
        <v>913</v>
      </c>
      <c r="C12" s="26" t="s">
        <v>904</v>
      </c>
      <c r="D12" s="80" t="s">
        <v>914</v>
      </c>
      <c r="E12" s="26" t="s">
        <v>900</v>
      </c>
      <c r="F12" s="26">
        <v>73.0</v>
      </c>
      <c r="G12" s="26">
        <v>77.0</v>
      </c>
      <c r="H12" s="26">
        <v>22.0</v>
      </c>
    </row>
    <row r="13">
      <c r="A13" s="26" t="s">
        <v>952</v>
      </c>
      <c r="B13" s="26" t="s">
        <v>903</v>
      </c>
      <c r="C13" s="26" t="s">
        <v>904</v>
      </c>
      <c r="D13" s="79" t="s">
        <v>905</v>
      </c>
      <c r="E13" s="26" t="s">
        <v>900</v>
      </c>
      <c r="F13" s="26">
        <v>76.0</v>
      </c>
      <c r="G13" s="26">
        <v>80.0</v>
      </c>
      <c r="H13" s="26">
        <v>22.0</v>
      </c>
    </row>
    <row r="14">
      <c r="A14" s="26" t="s">
        <v>953</v>
      </c>
      <c r="B14" s="26" t="s">
        <v>908</v>
      </c>
      <c r="C14" s="26" t="s">
        <v>904</v>
      </c>
      <c r="D14" s="79" t="s">
        <v>909</v>
      </c>
      <c r="E14" s="26" t="s">
        <v>900</v>
      </c>
      <c r="F14" s="26">
        <v>73.0</v>
      </c>
      <c r="G14" s="26">
        <v>77.0</v>
      </c>
      <c r="H14" s="26">
        <v>24.0</v>
      </c>
    </row>
    <row r="15">
      <c r="A15" s="26" t="s">
        <v>954</v>
      </c>
      <c r="B15" s="26" t="s">
        <v>917</v>
      </c>
      <c r="C15" s="26" t="s">
        <v>904</v>
      </c>
      <c r="D15" s="79" t="s">
        <v>918</v>
      </c>
      <c r="E15" s="26" t="s">
        <v>900</v>
      </c>
      <c r="F15" s="26">
        <v>76.0</v>
      </c>
      <c r="G15" s="26">
        <v>80.0</v>
      </c>
      <c r="H15" s="26">
        <v>16.0</v>
      </c>
    </row>
    <row r="16">
      <c r="A16" s="26" t="s">
        <v>955</v>
      </c>
      <c r="B16" s="26" t="s">
        <v>922</v>
      </c>
      <c r="C16" s="26" t="s">
        <v>904</v>
      </c>
      <c r="D16" s="79" t="s">
        <v>923</v>
      </c>
      <c r="E16" s="26" t="s">
        <v>900</v>
      </c>
      <c r="F16" s="26">
        <v>73.0</v>
      </c>
      <c r="G16" s="26">
        <v>77.0</v>
      </c>
      <c r="H16" s="26">
        <v>21.0</v>
      </c>
    </row>
    <row r="17">
      <c r="A17" s="26" t="s">
        <v>956</v>
      </c>
      <c r="B17" s="26" t="s">
        <v>903</v>
      </c>
      <c r="C17" s="26" t="s">
        <v>904</v>
      </c>
      <c r="D17" s="79" t="s">
        <v>905</v>
      </c>
      <c r="E17" s="26" t="s">
        <v>900</v>
      </c>
      <c r="F17" s="26">
        <v>76.0</v>
      </c>
      <c r="G17" s="26">
        <v>80.0</v>
      </c>
      <c r="H17" s="26">
        <v>22.0</v>
      </c>
    </row>
  </sheetData>
  <mergeCells count="1">
    <mergeCell ref="A1:I1"/>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13"/>
    <col customWidth="1" min="2" max="2" width="12.5"/>
    <col customWidth="1" min="3" max="3" width="9.5"/>
    <col customWidth="1" min="4" max="4" width="46.0"/>
    <col customWidth="1" min="5" max="5" width="14.63"/>
    <col customWidth="1" min="6" max="6" width="13.38"/>
    <col customWidth="1" min="7" max="7" width="5.88"/>
  </cols>
  <sheetData>
    <row r="1">
      <c r="A1" s="21" t="s">
        <v>994</v>
      </c>
    </row>
    <row r="2">
      <c r="A2" s="22" t="s">
        <v>958</v>
      </c>
      <c r="B2" s="22" t="s">
        <v>995</v>
      </c>
      <c r="C2" s="22" t="s">
        <v>39</v>
      </c>
      <c r="D2" s="22" t="s">
        <v>996</v>
      </c>
      <c r="E2" s="22" t="s">
        <v>997</v>
      </c>
      <c r="F2" s="22" t="s">
        <v>998</v>
      </c>
      <c r="G2" s="22" t="s">
        <v>98</v>
      </c>
    </row>
    <row r="3">
      <c r="A3" s="23" t="s">
        <v>49</v>
      </c>
      <c r="B3" s="23" t="s">
        <v>49</v>
      </c>
      <c r="C3" s="23" t="s">
        <v>49</v>
      </c>
      <c r="D3" s="24"/>
      <c r="E3" s="24"/>
      <c r="F3" s="24"/>
      <c r="G3" s="24"/>
    </row>
    <row r="4">
      <c r="A4" s="25" t="s">
        <v>50</v>
      </c>
      <c r="B4" s="25" t="s">
        <v>50</v>
      </c>
      <c r="C4" s="25" t="s">
        <v>50</v>
      </c>
      <c r="D4" s="25" t="s">
        <v>999</v>
      </c>
      <c r="E4" s="25" t="s">
        <v>50</v>
      </c>
      <c r="F4" s="25" t="s">
        <v>50</v>
      </c>
      <c r="G4" s="25" t="s">
        <v>50</v>
      </c>
    </row>
    <row r="5">
      <c r="A5" s="26" t="s">
        <v>946</v>
      </c>
      <c r="B5" s="26">
        <v>1.0</v>
      </c>
      <c r="C5" s="26" t="s">
        <v>1000</v>
      </c>
      <c r="D5" s="26" t="s">
        <v>1001</v>
      </c>
      <c r="E5" s="26">
        <v>64.0</v>
      </c>
      <c r="F5" s="26">
        <v>60.0</v>
      </c>
    </row>
    <row r="6">
      <c r="A6" s="26" t="s">
        <v>947</v>
      </c>
      <c r="B6" s="26">
        <v>1.0</v>
      </c>
      <c r="C6" s="26" t="s">
        <v>1002</v>
      </c>
      <c r="D6" s="26" t="s">
        <v>1001</v>
      </c>
      <c r="E6" s="26">
        <v>55.0</v>
      </c>
      <c r="F6" s="26">
        <v>15.0</v>
      </c>
    </row>
    <row r="7">
      <c r="A7" s="26" t="s">
        <v>947</v>
      </c>
      <c r="B7" s="26">
        <v>2.0</v>
      </c>
      <c r="C7" s="26" t="s">
        <v>1000</v>
      </c>
      <c r="D7" s="26" t="s">
        <v>1001</v>
      </c>
      <c r="E7" s="26">
        <v>65.0</v>
      </c>
      <c r="F7" s="26">
        <v>45.0</v>
      </c>
    </row>
    <row r="8">
      <c r="A8" s="26" t="s">
        <v>948</v>
      </c>
      <c r="B8" s="26">
        <v>1.0</v>
      </c>
      <c r="C8" s="26" t="s">
        <v>1000</v>
      </c>
      <c r="D8" s="26" t="s">
        <v>1001</v>
      </c>
      <c r="E8" s="26">
        <v>65.0</v>
      </c>
      <c r="F8" s="26">
        <v>60.0</v>
      </c>
    </row>
    <row r="9">
      <c r="A9" s="26" t="s">
        <v>65</v>
      </c>
      <c r="B9" s="26">
        <v>1.0</v>
      </c>
      <c r="C9" s="26" t="s">
        <v>1000</v>
      </c>
      <c r="D9" s="26" t="s">
        <v>1001</v>
      </c>
      <c r="E9" s="26">
        <v>66.0</v>
      </c>
      <c r="F9" s="26">
        <v>60.0</v>
      </c>
    </row>
    <row r="10">
      <c r="A10" s="26" t="s">
        <v>949</v>
      </c>
      <c r="B10" s="26">
        <v>1.0</v>
      </c>
      <c r="C10" s="26" t="s">
        <v>1000</v>
      </c>
      <c r="D10" s="26" t="s">
        <v>1001</v>
      </c>
      <c r="E10" s="26">
        <v>66.0</v>
      </c>
      <c r="F10" s="26">
        <v>60.0</v>
      </c>
    </row>
    <row r="11">
      <c r="A11" s="26" t="s">
        <v>950</v>
      </c>
      <c r="B11" s="26">
        <v>1.0</v>
      </c>
      <c r="C11" s="26" t="s">
        <v>1000</v>
      </c>
      <c r="D11" s="26" t="s">
        <v>1001</v>
      </c>
      <c r="E11" s="26">
        <v>66.0</v>
      </c>
      <c r="F11" s="26">
        <v>60.0</v>
      </c>
    </row>
    <row r="12">
      <c r="A12" s="26" t="s">
        <v>951</v>
      </c>
      <c r="B12" s="26">
        <v>1.0</v>
      </c>
      <c r="C12" s="26" t="s">
        <v>1000</v>
      </c>
      <c r="D12" s="26" t="s">
        <v>1001</v>
      </c>
      <c r="E12" s="26">
        <v>67.0</v>
      </c>
      <c r="F12" s="26">
        <v>60.0</v>
      </c>
    </row>
    <row r="13">
      <c r="A13" s="26" t="s">
        <v>952</v>
      </c>
      <c r="B13" s="26">
        <v>1.0</v>
      </c>
      <c r="C13" s="26" t="s">
        <v>1002</v>
      </c>
      <c r="D13" s="26" t="s">
        <v>1001</v>
      </c>
      <c r="E13" s="26">
        <v>55.0</v>
      </c>
      <c r="F13" s="26">
        <v>15.0</v>
      </c>
    </row>
    <row r="14">
      <c r="A14" s="26" t="s">
        <v>952</v>
      </c>
      <c r="B14" s="26">
        <v>2.0</v>
      </c>
      <c r="C14" s="26" t="s">
        <v>1000</v>
      </c>
      <c r="D14" s="26" t="s">
        <v>1001</v>
      </c>
      <c r="E14" s="26">
        <v>67.0</v>
      </c>
      <c r="F14" s="26">
        <v>45.0</v>
      </c>
    </row>
    <row r="15">
      <c r="A15" s="26" t="s">
        <v>953</v>
      </c>
      <c r="B15" s="26">
        <v>1.0</v>
      </c>
      <c r="C15" s="26" t="s">
        <v>1000</v>
      </c>
      <c r="D15" s="26" t="s">
        <v>1001</v>
      </c>
      <c r="E15" s="26">
        <v>65.0</v>
      </c>
      <c r="F15" s="26">
        <v>60.0</v>
      </c>
    </row>
    <row r="16">
      <c r="A16" s="26" t="s">
        <v>954</v>
      </c>
      <c r="B16" s="26">
        <v>1.0</v>
      </c>
      <c r="C16" s="26" t="s">
        <v>1000</v>
      </c>
      <c r="D16" s="26" t="s">
        <v>1001</v>
      </c>
      <c r="E16" s="26">
        <v>66.0</v>
      </c>
      <c r="F16" s="26">
        <v>60.0</v>
      </c>
    </row>
    <row r="17">
      <c r="A17" s="26" t="s">
        <v>955</v>
      </c>
      <c r="B17" s="26">
        <v>1.0</v>
      </c>
      <c r="C17" s="26" t="s">
        <v>1000</v>
      </c>
      <c r="D17" s="26" t="s">
        <v>1001</v>
      </c>
      <c r="E17" s="26">
        <v>66.0</v>
      </c>
      <c r="F17" s="26">
        <v>60.0</v>
      </c>
    </row>
    <row r="18">
      <c r="A18" s="26" t="s">
        <v>956</v>
      </c>
      <c r="B18" s="26">
        <v>1.0</v>
      </c>
      <c r="C18" s="26" t="s">
        <v>1000</v>
      </c>
      <c r="D18" s="26" t="s">
        <v>1001</v>
      </c>
      <c r="E18" s="26">
        <v>70.0</v>
      </c>
      <c r="F18" s="26">
        <v>60.0</v>
      </c>
    </row>
  </sheetData>
  <mergeCells count="1">
    <mergeCell ref="A1:G1"/>
  </mergeCells>
  <dataValidations>
    <dataValidation type="list" allowBlank="1" sqref="D5:D18">
      <formula1>"temperature,decoction,infusion,batch_sparge,fly_sparge"</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3.88"/>
    <col customWidth="1" min="2" max="2" width="13.25"/>
    <col customWidth="1" min="3" max="3" width="29.88"/>
    <col customWidth="1" min="4" max="4" width="13.38"/>
    <col customWidth="1" min="5" max="5" width="4.75"/>
    <col customWidth="1" min="6" max="6" width="11.25"/>
    <col customWidth="1" min="7" max="7" width="5.88"/>
  </cols>
  <sheetData>
    <row r="1">
      <c r="A1" s="21" t="s">
        <v>1003</v>
      </c>
    </row>
    <row r="2">
      <c r="A2" s="22" t="s">
        <v>958</v>
      </c>
      <c r="B2" s="22" t="s">
        <v>39</v>
      </c>
      <c r="C2" s="22" t="s">
        <v>1004</v>
      </c>
      <c r="D2" s="22" t="s">
        <v>960</v>
      </c>
      <c r="E2" s="22" t="s">
        <v>90</v>
      </c>
      <c r="F2" s="22" t="s">
        <v>1005</v>
      </c>
      <c r="G2" s="22" t="s">
        <v>98</v>
      </c>
    </row>
    <row r="3">
      <c r="A3" s="23" t="s">
        <v>49</v>
      </c>
      <c r="B3" s="23" t="s">
        <v>49</v>
      </c>
      <c r="C3" s="24"/>
      <c r="D3" s="23" t="s">
        <v>49</v>
      </c>
      <c r="E3" s="24"/>
      <c r="F3" s="24"/>
      <c r="G3" s="24"/>
    </row>
    <row r="4">
      <c r="A4" s="25" t="s">
        <v>50</v>
      </c>
      <c r="B4" s="25" t="s">
        <v>50</v>
      </c>
      <c r="C4" s="25" t="s">
        <v>1006</v>
      </c>
      <c r="D4" s="25" t="s">
        <v>51</v>
      </c>
      <c r="E4" s="25" t="s">
        <v>50</v>
      </c>
      <c r="F4" s="25" t="s">
        <v>944</v>
      </c>
      <c r="G4" s="25" t="s">
        <v>50</v>
      </c>
    </row>
    <row r="5">
      <c r="A5" s="26" t="s">
        <v>952</v>
      </c>
      <c r="B5" s="26" t="s">
        <v>159</v>
      </c>
      <c r="C5" s="26" t="s">
        <v>1007</v>
      </c>
      <c r="D5" s="26">
        <v>1.0</v>
      </c>
      <c r="E5" s="26" t="s">
        <v>105</v>
      </c>
      <c r="F5" s="26" t="s">
        <v>982</v>
      </c>
    </row>
    <row r="6">
      <c r="A6" s="26" t="s">
        <v>952</v>
      </c>
      <c r="B6" s="26" t="s">
        <v>1008</v>
      </c>
      <c r="C6" s="26" t="s">
        <v>1007</v>
      </c>
      <c r="D6" s="26">
        <v>2.0</v>
      </c>
      <c r="E6" s="26" t="s">
        <v>105</v>
      </c>
      <c r="F6" s="26" t="s">
        <v>982</v>
      </c>
    </row>
    <row r="7">
      <c r="A7" s="26" t="s">
        <v>952</v>
      </c>
      <c r="B7" s="26" t="s">
        <v>172</v>
      </c>
      <c r="C7" s="26" t="s">
        <v>657</v>
      </c>
      <c r="D7" s="26">
        <v>20.0</v>
      </c>
      <c r="E7" s="26" t="s">
        <v>105</v>
      </c>
      <c r="F7" s="26" t="s">
        <v>982</v>
      </c>
    </row>
    <row r="8">
      <c r="A8" s="26" t="s">
        <v>953</v>
      </c>
      <c r="B8" s="26" t="s">
        <v>172</v>
      </c>
      <c r="C8" s="26" t="s">
        <v>657</v>
      </c>
      <c r="D8" s="26">
        <v>16.0</v>
      </c>
      <c r="E8" s="26" t="s">
        <v>105</v>
      </c>
      <c r="F8" s="26" t="s">
        <v>982</v>
      </c>
    </row>
    <row r="9">
      <c r="A9" s="26" t="s">
        <v>953</v>
      </c>
      <c r="B9" s="26" t="s">
        <v>175</v>
      </c>
      <c r="C9" s="26" t="s">
        <v>657</v>
      </c>
      <c r="D9" s="26">
        <v>8.0</v>
      </c>
      <c r="E9" s="26" t="s">
        <v>105</v>
      </c>
      <c r="F9" s="26" t="s">
        <v>982</v>
      </c>
    </row>
    <row r="10">
      <c r="A10" s="26" t="s">
        <v>954</v>
      </c>
      <c r="B10" s="26" t="s">
        <v>172</v>
      </c>
      <c r="C10" s="26" t="s">
        <v>657</v>
      </c>
      <c r="D10" s="26">
        <v>11.0</v>
      </c>
      <c r="E10" s="26" t="s">
        <v>105</v>
      </c>
      <c r="F10" s="26" t="s">
        <v>982</v>
      </c>
    </row>
    <row r="11">
      <c r="A11" s="26" t="s">
        <v>955</v>
      </c>
      <c r="B11" s="26" t="s">
        <v>175</v>
      </c>
      <c r="C11" s="26" t="s">
        <v>657</v>
      </c>
      <c r="D11" s="26">
        <v>5.0</v>
      </c>
      <c r="E11" s="26" t="s">
        <v>105</v>
      </c>
      <c r="F11" s="26" t="s">
        <v>982</v>
      </c>
    </row>
    <row r="12">
      <c r="A12" s="26" t="s">
        <v>956</v>
      </c>
      <c r="B12" s="26" t="s">
        <v>175</v>
      </c>
      <c r="C12" s="26" t="s">
        <v>657</v>
      </c>
      <c r="D12" s="26">
        <v>20.0</v>
      </c>
      <c r="E12" s="26" t="s">
        <v>105</v>
      </c>
      <c r="F12" s="26" t="s">
        <v>982</v>
      </c>
    </row>
    <row r="13">
      <c r="A13" s="26" t="s">
        <v>956</v>
      </c>
      <c r="B13" s="26" t="s">
        <v>1009</v>
      </c>
      <c r="C13" s="26" t="s">
        <v>657</v>
      </c>
      <c r="D13" s="26">
        <v>10.0</v>
      </c>
      <c r="E13" s="26" t="s">
        <v>1010</v>
      </c>
      <c r="F13" s="26" t="s">
        <v>1011</v>
      </c>
    </row>
    <row r="14">
      <c r="A14" s="26" t="s">
        <v>956</v>
      </c>
      <c r="B14" s="26" t="s">
        <v>1012</v>
      </c>
      <c r="C14" s="26" t="s">
        <v>657</v>
      </c>
      <c r="D14" s="26">
        <v>750.0</v>
      </c>
      <c r="E14" s="26" t="s">
        <v>1013</v>
      </c>
      <c r="F14" s="26" t="s">
        <v>1011</v>
      </c>
    </row>
    <row r="15">
      <c r="A15" s="26" t="s">
        <v>956</v>
      </c>
      <c r="B15" s="26" t="s">
        <v>1014</v>
      </c>
      <c r="C15" s="26" t="s">
        <v>657</v>
      </c>
      <c r="D15" s="26">
        <v>2.5</v>
      </c>
      <c r="E15" s="26" t="s">
        <v>105</v>
      </c>
      <c r="F15" s="26" t="s">
        <v>1011</v>
      </c>
    </row>
  </sheetData>
  <mergeCells count="1">
    <mergeCell ref="A1:G1"/>
  </mergeCells>
  <dataValidations>
    <dataValidation type="list" allowBlank="1" sqref="C5:C15">
      <formula1>"coffee,chocolate,spice,fruit,herb,other"</formula1>
    </dataValidation>
    <dataValidation type="list" allowBlank="1" sqref="F5:F15">
      <formula1>"boil,primary,secondary,packaging,mash"</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54.38"/>
    <col customWidth="1" min="2" max="2" width="24.0"/>
    <col customWidth="1" min="3" max="3" width="9.75"/>
    <col customWidth="1" min="4" max="4" width="17.38"/>
    <col customWidth="1" min="5" max="5" width="15.75"/>
    <col customWidth="1" min="6" max="6" width="47.63"/>
    <col customWidth="1" min="7" max="7" width="21.13"/>
    <col customWidth="1" min="8" max="8" width="20.5"/>
    <col customWidth="1" min="9" max="9" width="12.75"/>
    <col customWidth="1" min="10" max="10" width="5.5"/>
  </cols>
  <sheetData>
    <row r="1">
      <c r="A1" s="85" t="s">
        <v>1015</v>
      </c>
      <c r="K1" s="86"/>
      <c r="L1" s="86"/>
      <c r="M1" s="86"/>
      <c r="N1" s="86"/>
      <c r="O1" s="86"/>
      <c r="P1" s="86"/>
      <c r="Q1" s="86"/>
      <c r="R1" s="86"/>
      <c r="S1" s="86"/>
      <c r="T1" s="86"/>
      <c r="U1" s="86"/>
      <c r="V1" s="86"/>
      <c r="W1" s="86"/>
      <c r="X1" s="86"/>
      <c r="Y1" s="86"/>
      <c r="Z1" s="86"/>
    </row>
    <row r="2">
      <c r="A2" s="87" t="s">
        <v>1016</v>
      </c>
      <c r="B2" s="87" t="s">
        <v>935</v>
      </c>
      <c r="C2" s="87" t="s">
        <v>1017</v>
      </c>
      <c r="D2" s="87" t="s">
        <v>1018</v>
      </c>
      <c r="E2" s="87" t="s">
        <v>1019</v>
      </c>
      <c r="F2" s="87" t="s">
        <v>803</v>
      </c>
      <c r="G2" s="87" t="s">
        <v>1020</v>
      </c>
      <c r="H2" s="87" t="s">
        <v>1021</v>
      </c>
      <c r="I2" s="87" t="s">
        <v>1022</v>
      </c>
      <c r="J2" s="87" t="s">
        <v>98</v>
      </c>
      <c r="K2" s="86"/>
      <c r="L2" s="86"/>
      <c r="M2" s="86"/>
      <c r="N2" s="86"/>
      <c r="O2" s="86"/>
      <c r="P2" s="86"/>
      <c r="Q2" s="86"/>
      <c r="R2" s="86"/>
      <c r="S2" s="86"/>
      <c r="T2" s="86"/>
      <c r="U2" s="86"/>
      <c r="V2" s="86"/>
      <c r="W2" s="86"/>
      <c r="X2" s="86"/>
      <c r="Y2" s="86"/>
      <c r="Z2" s="86"/>
    </row>
    <row r="3">
      <c r="A3" s="88" t="s">
        <v>49</v>
      </c>
      <c r="B3" s="88" t="s">
        <v>49</v>
      </c>
      <c r="C3" s="89"/>
      <c r="D3" s="89"/>
      <c r="E3" s="89"/>
      <c r="F3" s="89"/>
      <c r="G3" s="89"/>
      <c r="H3" s="89"/>
      <c r="I3" s="89"/>
      <c r="J3" s="89"/>
      <c r="K3" s="86"/>
      <c r="L3" s="86"/>
      <c r="M3" s="86"/>
      <c r="N3" s="86"/>
      <c r="O3" s="86"/>
      <c r="P3" s="86"/>
      <c r="Q3" s="86"/>
      <c r="R3" s="86"/>
      <c r="S3" s="86"/>
      <c r="T3" s="86"/>
      <c r="U3" s="86"/>
      <c r="V3" s="86"/>
      <c r="W3" s="86"/>
      <c r="X3" s="86"/>
      <c r="Y3" s="86"/>
      <c r="Z3" s="86"/>
    </row>
    <row r="4">
      <c r="A4" s="90" t="s">
        <v>50</v>
      </c>
      <c r="B4" s="90" t="s">
        <v>50</v>
      </c>
      <c r="C4" s="90" t="s">
        <v>50</v>
      </c>
      <c r="D4" s="90" t="s">
        <v>101</v>
      </c>
      <c r="E4" s="90" t="s">
        <v>101</v>
      </c>
      <c r="F4" s="90" t="s">
        <v>1023</v>
      </c>
      <c r="G4" s="90" t="s">
        <v>102</v>
      </c>
      <c r="H4" s="90" t="s">
        <v>102</v>
      </c>
      <c r="I4" s="90" t="s">
        <v>50</v>
      </c>
      <c r="J4" s="90" t="s">
        <v>50</v>
      </c>
      <c r="K4" s="86"/>
      <c r="L4" s="86"/>
      <c r="M4" s="86"/>
      <c r="N4" s="86"/>
      <c r="O4" s="86"/>
      <c r="P4" s="86"/>
      <c r="Q4" s="86"/>
      <c r="R4" s="86"/>
      <c r="S4" s="86"/>
      <c r="T4" s="86"/>
      <c r="U4" s="86"/>
      <c r="V4" s="86"/>
      <c r="W4" s="86"/>
      <c r="X4" s="86"/>
      <c r="Y4" s="86"/>
      <c r="Z4" s="86"/>
    </row>
    <row r="5">
      <c r="A5" s="91" t="s">
        <v>1024</v>
      </c>
      <c r="B5" s="48" t="s">
        <v>61</v>
      </c>
      <c r="C5" s="92" t="s">
        <v>1025</v>
      </c>
      <c r="D5" s="92">
        <v>1800.0</v>
      </c>
      <c r="E5" s="93"/>
      <c r="F5" s="80" t="s">
        <v>1026</v>
      </c>
      <c r="G5" s="94">
        <v>46148.0</v>
      </c>
      <c r="H5" s="95"/>
      <c r="I5" s="80" t="s">
        <v>1027</v>
      </c>
      <c r="J5" s="86"/>
      <c r="K5" s="86"/>
      <c r="L5" s="86"/>
      <c r="M5" s="86"/>
      <c r="N5" s="86"/>
      <c r="O5" s="86"/>
      <c r="P5" s="86"/>
      <c r="Q5" s="86"/>
      <c r="R5" s="86"/>
      <c r="S5" s="86"/>
      <c r="T5" s="86"/>
      <c r="U5" s="86"/>
      <c r="V5" s="86"/>
      <c r="W5" s="86"/>
      <c r="X5" s="86"/>
      <c r="Y5" s="86"/>
      <c r="Z5" s="86"/>
    </row>
    <row r="6">
      <c r="A6" s="91" t="s">
        <v>1028</v>
      </c>
      <c r="B6" s="48" t="s">
        <v>64</v>
      </c>
      <c r="C6" s="92" t="s">
        <v>1029</v>
      </c>
      <c r="D6" s="96">
        <v>1800.0</v>
      </c>
      <c r="E6" s="93"/>
      <c r="F6" s="80" t="s">
        <v>1026</v>
      </c>
      <c r="G6" s="94">
        <v>46146.0</v>
      </c>
      <c r="H6" s="95"/>
      <c r="I6" s="80" t="s">
        <v>1027</v>
      </c>
      <c r="J6" s="86"/>
      <c r="K6" s="86"/>
      <c r="L6" s="86"/>
      <c r="M6" s="86"/>
      <c r="N6" s="86"/>
      <c r="O6" s="86"/>
      <c r="P6" s="86"/>
      <c r="Q6" s="86"/>
      <c r="R6" s="86"/>
      <c r="S6" s="86"/>
      <c r="T6" s="86"/>
      <c r="U6" s="86"/>
      <c r="V6" s="86"/>
      <c r="W6" s="86"/>
      <c r="X6" s="86"/>
      <c r="Y6" s="86"/>
      <c r="Z6" s="86"/>
    </row>
    <row r="7">
      <c r="A7" s="93" t="s">
        <v>1030</v>
      </c>
      <c r="B7" s="48" t="s">
        <v>58</v>
      </c>
      <c r="C7" s="92" t="s">
        <v>1031</v>
      </c>
      <c r="D7" s="96">
        <v>1800.0</v>
      </c>
      <c r="E7" s="91">
        <v>1800.0</v>
      </c>
      <c r="F7" s="80" t="s">
        <v>1032</v>
      </c>
      <c r="G7" s="97">
        <v>46128.0</v>
      </c>
      <c r="H7" s="98">
        <v>46141.0</v>
      </c>
      <c r="I7" s="80" t="s">
        <v>1027</v>
      </c>
      <c r="J7" s="86"/>
      <c r="K7" s="86"/>
      <c r="L7" s="86"/>
      <c r="M7" s="86"/>
      <c r="N7" s="86"/>
      <c r="O7" s="86"/>
      <c r="P7" s="86"/>
      <c r="Q7" s="86"/>
      <c r="R7" s="86"/>
      <c r="S7" s="86"/>
      <c r="T7" s="86"/>
      <c r="U7" s="86"/>
      <c r="V7" s="86"/>
      <c r="W7" s="86"/>
      <c r="X7" s="86"/>
      <c r="Y7" s="86"/>
      <c r="Z7" s="86"/>
    </row>
    <row r="8">
      <c r="A8" s="49" t="s">
        <v>1033</v>
      </c>
      <c r="B8" s="48" t="s">
        <v>52</v>
      </c>
      <c r="C8" s="92" t="s">
        <v>1034</v>
      </c>
      <c r="D8" s="99">
        <v>2000.0</v>
      </c>
      <c r="E8" s="99">
        <v>2000.0</v>
      </c>
      <c r="F8" s="80" t="s">
        <v>1032</v>
      </c>
      <c r="G8" s="97">
        <v>46121.0</v>
      </c>
      <c r="H8" s="97"/>
      <c r="I8" s="80" t="s">
        <v>1027</v>
      </c>
      <c r="J8" s="86"/>
      <c r="K8" s="86"/>
      <c r="L8" s="86"/>
      <c r="M8" s="86"/>
      <c r="N8" s="86"/>
      <c r="O8" s="86"/>
      <c r="P8" s="86"/>
      <c r="Q8" s="86"/>
      <c r="R8" s="86"/>
      <c r="S8" s="86"/>
      <c r="T8" s="86"/>
      <c r="U8" s="86"/>
      <c r="V8" s="86"/>
      <c r="W8" s="86"/>
      <c r="X8" s="86"/>
      <c r="Y8" s="86"/>
      <c r="Z8" s="86"/>
    </row>
    <row r="9">
      <c r="A9" s="49" t="s">
        <v>1035</v>
      </c>
      <c r="B9" s="48" t="s">
        <v>73</v>
      </c>
      <c r="C9" s="92" t="s">
        <v>1036</v>
      </c>
      <c r="D9" s="92">
        <v>800.0</v>
      </c>
      <c r="E9" s="99">
        <v>800.0</v>
      </c>
      <c r="F9" s="80" t="s">
        <v>1037</v>
      </c>
      <c r="G9" s="97">
        <v>46116.0</v>
      </c>
      <c r="H9" s="97">
        <v>46132.0</v>
      </c>
      <c r="I9" s="80" t="s">
        <v>1027</v>
      </c>
      <c r="J9" s="86"/>
      <c r="K9" s="86"/>
      <c r="L9" s="86"/>
      <c r="M9" s="86"/>
      <c r="N9" s="86"/>
      <c r="O9" s="86"/>
      <c r="P9" s="86"/>
      <c r="Q9" s="86"/>
      <c r="R9" s="86"/>
      <c r="S9" s="86"/>
      <c r="T9" s="86"/>
      <c r="U9" s="86"/>
      <c r="V9" s="86"/>
      <c r="W9" s="86"/>
      <c r="X9" s="86"/>
      <c r="Y9" s="86"/>
      <c r="Z9" s="86"/>
    </row>
    <row r="10">
      <c r="A10" s="49" t="s">
        <v>1038</v>
      </c>
      <c r="B10" s="48" t="s">
        <v>76</v>
      </c>
      <c r="C10" s="92" t="s">
        <v>1039</v>
      </c>
      <c r="D10" s="99">
        <v>800.0</v>
      </c>
      <c r="E10" s="99">
        <v>800.0</v>
      </c>
      <c r="F10" s="80" t="s">
        <v>1037</v>
      </c>
      <c r="G10" s="97">
        <v>46112.0</v>
      </c>
      <c r="H10" s="97">
        <v>46126.0</v>
      </c>
      <c r="I10" s="80" t="s">
        <v>1027</v>
      </c>
      <c r="J10" s="86"/>
      <c r="K10" s="86"/>
      <c r="L10" s="86"/>
      <c r="M10" s="86"/>
      <c r="N10" s="86"/>
      <c r="O10" s="86"/>
      <c r="P10" s="86"/>
      <c r="Q10" s="86"/>
      <c r="R10" s="86"/>
      <c r="S10" s="86"/>
      <c r="T10" s="86"/>
      <c r="U10" s="86"/>
      <c r="V10" s="86"/>
      <c r="W10" s="86"/>
      <c r="X10" s="86"/>
      <c r="Y10" s="86"/>
      <c r="Z10" s="86"/>
    </row>
    <row r="11">
      <c r="A11" s="49" t="s">
        <v>1040</v>
      </c>
      <c r="B11" s="48" t="s">
        <v>1041</v>
      </c>
      <c r="C11" s="92" t="s">
        <v>1042</v>
      </c>
      <c r="D11" s="99">
        <v>800.0</v>
      </c>
      <c r="E11" s="99">
        <v>800.0</v>
      </c>
      <c r="F11" s="80" t="s">
        <v>1037</v>
      </c>
      <c r="G11" s="97">
        <v>46112.0</v>
      </c>
      <c r="H11" s="94">
        <v>46140.0</v>
      </c>
      <c r="I11" s="80" t="s">
        <v>1027</v>
      </c>
      <c r="J11" s="86"/>
      <c r="K11" s="86"/>
      <c r="L11" s="86"/>
      <c r="M11" s="86"/>
      <c r="N11" s="86"/>
      <c r="O11" s="86"/>
      <c r="P11" s="86"/>
      <c r="Q11" s="86"/>
      <c r="R11" s="86"/>
      <c r="S11" s="86"/>
      <c r="T11" s="86"/>
      <c r="U11" s="86"/>
      <c r="V11" s="86"/>
      <c r="W11" s="86"/>
      <c r="X11" s="86"/>
      <c r="Y11" s="86"/>
      <c r="Z11" s="86"/>
    </row>
    <row r="12">
      <c r="A12" s="49" t="s">
        <v>1043</v>
      </c>
      <c r="B12" s="48" t="s">
        <v>52</v>
      </c>
      <c r="C12" s="92" t="s">
        <v>1029</v>
      </c>
      <c r="D12" s="99">
        <v>2000.0</v>
      </c>
      <c r="E12" s="99">
        <v>2000.0</v>
      </c>
      <c r="F12" s="80" t="s">
        <v>1037</v>
      </c>
      <c r="G12" s="97">
        <v>46107.0</v>
      </c>
      <c r="H12" s="97">
        <v>46118.0</v>
      </c>
      <c r="I12" s="80" t="s">
        <v>1027</v>
      </c>
      <c r="J12" s="86"/>
      <c r="K12" s="86"/>
      <c r="L12" s="86"/>
      <c r="M12" s="86"/>
      <c r="N12" s="86"/>
      <c r="O12" s="86"/>
      <c r="P12" s="86"/>
      <c r="Q12" s="86"/>
      <c r="R12" s="86"/>
      <c r="S12" s="86"/>
      <c r="T12" s="86"/>
      <c r="U12" s="86"/>
      <c r="V12" s="86"/>
      <c r="W12" s="86"/>
      <c r="X12" s="86"/>
      <c r="Y12" s="86"/>
      <c r="Z12" s="86"/>
    </row>
    <row r="13">
      <c r="A13" s="93" t="s">
        <v>1044</v>
      </c>
      <c r="B13" s="48" t="s">
        <v>64</v>
      </c>
      <c r="C13" s="92" t="s">
        <v>1045</v>
      </c>
      <c r="D13" s="92">
        <v>1700.0</v>
      </c>
      <c r="E13" s="100">
        <v>1700.0</v>
      </c>
      <c r="F13" s="80" t="s">
        <v>1037</v>
      </c>
      <c r="G13" s="101">
        <v>46105.0</v>
      </c>
      <c r="H13" s="101">
        <v>46120.0</v>
      </c>
      <c r="I13" s="80" t="s">
        <v>1027</v>
      </c>
      <c r="J13" s="86"/>
      <c r="K13" s="86"/>
      <c r="L13" s="86"/>
      <c r="M13" s="86"/>
      <c r="N13" s="86"/>
      <c r="O13" s="86"/>
      <c r="P13" s="86"/>
      <c r="Q13" s="86"/>
      <c r="R13" s="86"/>
      <c r="S13" s="86"/>
      <c r="T13" s="86"/>
      <c r="U13" s="86"/>
      <c r="V13" s="86"/>
      <c r="W13" s="86"/>
      <c r="X13" s="86"/>
      <c r="Y13" s="86"/>
      <c r="Z13" s="86"/>
    </row>
    <row r="14">
      <c r="A14" s="93" t="s">
        <v>1046</v>
      </c>
      <c r="B14" s="48" t="s">
        <v>61</v>
      </c>
      <c r="C14" s="92" t="s">
        <v>1025</v>
      </c>
      <c r="D14" s="92">
        <v>1200.0</v>
      </c>
      <c r="E14" s="100">
        <v>1200.0</v>
      </c>
      <c r="F14" s="80" t="s">
        <v>1037</v>
      </c>
      <c r="G14" s="97">
        <v>46101.0</v>
      </c>
      <c r="H14" s="101">
        <v>46119.0</v>
      </c>
      <c r="I14" s="80" t="s">
        <v>1027</v>
      </c>
      <c r="J14" s="86"/>
      <c r="K14" s="86"/>
      <c r="L14" s="86"/>
      <c r="M14" s="86"/>
      <c r="N14" s="86"/>
      <c r="O14" s="86"/>
      <c r="P14" s="86"/>
      <c r="Q14" s="86"/>
      <c r="R14" s="86"/>
      <c r="S14" s="86"/>
      <c r="T14" s="86"/>
      <c r="U14" s="86"/>
      <c r="V14" s="86"/>
      <c r="W14" s="86"/>
      <c r="X14" s="86"/>
      <c r="Y14" s="86"/>
      <c r="Z14" s="86"/>
    </row>
    <row r="15">
      <c r="A15" s="49" t="s">
        <v>1047</v>
      </c>
      <c r="B15" s="48" t="s">
        <v>79</v>
      </c>
      <c r="C15" s="92" t="s">
        <v>1048</v>
      </c>
      <c r="D15" s="99">
        <v>800.0</v>
      </c>
      <c r="E15" s="99">
        <v>800.0</v>
      </c>
      <c r="F15" s="80" t="s">
        <v>1037</v>
      </c>
      <c r="G15" s="97">
        <v>46101.0</v>
      </c>
      <c r="H15" s="94">
        <v>46132.0</v>
      </c>
      <c r="I15" s="80" t="s">
        <v>1027</v>
      </c>
      <c r="J15" s="86"/>
      <c r="K15" s="86"/>
      <c r="L15" s="86"/>
      <c r="M15" s="86"/>
      <c r="N15" s="86"/>
      <c r="O15" s="86"/>
      <c r="P15" s="86"/>
      <c r="Q15" s="86"/>
      <c r="R15" s="86"/>
      <c r="S15" s="86"/>
      <c r="T15" s="86"/>
      <c r="U15" s="86"/>
      <c r="V15" s="86"/>
      <c r="W15" s="86"/>
      <c r="X15" s="86"/>
      <c r="Y15" s="86"/>
      <c r="Z15" s="86"/>
    </row>
    <row r="16">
      <c r="A16" s="49" t="s">
        <v>1049</v>
      </c>
      <c r="B16" s="48" t="s">
        <v>58</v>
      </c>
      <c r="C16" s="92" t="s">
        <v>1031</v>
      </c>
      <c r="D16" s="96">
        <v>1800.0</v>
      </c>
      <c r="E16" s="100">
        <v>1800.0</v>
      </c>
      <c r="F16" s="80" t="s">
        <v>1037</v>
      </c>
      <c r="G16" s="97">
        <v>46091.0</v>
      </c>
      <c r="H16" s="97">
        <v>46107.0</v>
      </c>
      <c r="I16" s="80" t="s">
        <v>1027</v>
      </c>
      <c r="J16" s="86"/>
      <c r="K16" s="86"/>
      <c r="L16" s="86"/>
      <c r="M16" s="86"/>
      <c r="N16" s="86"/>
      <c r="O16" s="86"/>
      <c r="P16" s="86"/>
      <c r="Q16" s="86"/>
      <c r="R16" s="86"/>
      <c r="S16" s="86"/>
      <c r="T16" s="86"/>
      <c r="U16" s="86"/>
      <c r="V16" s="86"/>
      <c r="W16" s="86"/>
      <c r="X16" s="86"/>
      <c r="Y16" s="86"/>
      <c r="Z16" s="86"/>
    </row>
    <row r="17">
      <c r="A17" s="49" t="s">
        <v>1050</v>
      </c>
      <c r="B17" s="49" t="s">
        <v>1051</v>
      </c>
      <c r="C17" s="92" t="s">
        <v>1036</v>
      </c>
      <c r="D17" s="99">
        <v>800.0</v>
      </c>
      <c r="E17" s="99">
        <v>800.0</v>
      </c>
      <c r="F17" s="80" t="s">
        <v>1037</v>
      </c>
      <c r="G17" s="97">
        <v>46086.0</v>
      </c>
      <c r="H17" s="97">
        <v>46113.0</v>
      </c>
      <c r="I17" s="80" t="s">
        <v>1027</v>
      </c>
      <c r="J17" s="86"/>
      <c r="K17" s="86"/>
      <c r="L17" s="86"/>
      <c r="M17" s="86"/>
      <c r="N17" s="86"/>
      <c r="O17" s="86"/>
      <c r="P17" s="86"/>
      <c r="Q17" s="86"/>
      <c r="R17" s="86"/>
      <c r="S17" s="86"/>
      <c r="T17" s="86"/>
      <c r="U17" s="86"/>
      <c r="V17" s="86"/>
      <c r="W17" s="86"/>
      <c r="X17" s="86"/>
      <c r="Y17" s="86"/>
      <c r="Z17" s="86"/>
    </row>
    <row r="18">
      <c r="A18" s="49" t="s">
        <v>1052</v>
      </c>
      <c r="B18" s="48" t="s">
        <v>52</v>
      </c>
      <c r="C18" s="92" t="s">
        <v>1034</v>
      </c>
      <c r="D18" s="99">
        <v>2000.0</v>
      </c>
      <c r="E18" s="99">
        <v>2000.0</v>
      </c>
      <c r="F18" s="80" t="s">
        <v>1037</v>
      </c>
      <c r="G18" s="97">
        <v>46050.0</v>
      </c>
      <c r="H18" s="97">
        <v>46064.0</v>
      </c>
      <c r="I18" s="80" t="s">
        <v>1027</v>
      </c>
      <c r="J18" s="86"/>
      <c r="K18" s="86"/>
      <c r="L18" s="86"/>
      <c r="M18" s="86"/>
      <c r="N18" s="86"/>
      <c r="O18" s="86"/>
      <c r="P18" s="86"/>
      <c r="Q18" s="86"/>
      <c r="R18" s="86"/>
      <c r="S18" s="86"/>
      <c r="T18" s="86"/>
      <c r="U18" s="86"/>
      <c r="V18" s="86"/>
      <c r="W18" s="86"/>
      <c r="X18" s="86"/>
      <c r="Y18" s="86"/>
      <c r="Z18" s="86"/>
    </row>
    <row r="19">
      <c r="A19" s="49" t="s">
        <v>1053</v>
      </c>
      <c r="B19" s="48" t="s">
        <v>73</v>
      </c>
      <c r="C19" s="92" t="s">
        <v>1045</v>
      </c>
      <c r="D19" s="92">
        <v>800.0</v>
      </c>
      <c r="E19" s="99">
        <v>800.0</v>
      </c>
      <c r="F19" s="80" t="s">
        <v>1037</v>
      </c>
      <c r="G19" s="97">
        <v>46049.0</v>
      </c>
      <c r="H19" s="97">
        <v>46077.0</v>
      </c>
      <c r="I19" s="80" t="s">
        <v>1027</v>
      </c>
      <c r="J19" s="86"/>
      <c r="K19" s="86"/>
      <c r="L19" s="86"/>
      <c r="M19" s="86"/>
      <c r="N19" s="86"/>
      <c r="O19" s="86"/>
      <c r="P19" s="86"/>
      <c r="Q19" s="86"/>
      <c r="R19" s="86"/>
      <c r="S19" s="86"/>
      <c r="T19" s="86"/>
      <c r="U19" s="86"/>
      <c r="V19" s="86"/>
      <c r="W19" s="86"/>
      <c r="X19" s="86"/>
      <c r="Y19" s="86"/>
      <c r="Z19" s="86"/>
    </row>
    <row r="20">
      <c r="A20" s="49" t="s">
        <v>1054</v>
      </c>
      <c r="B20" s="49" t="s">
        <v>1055</v>
      </c>
      <c r="C20" s="92" t="s">
        <v>1042</v>
      </c>
      <c r="D20" s="99">
        <v>800.0</v>
      </c>
      <c r="E20" s="99">
        <v>800.0</v>
      </c>
      <c r="F20" s="80" t="s">
        <v>1037</v>
      </c>
      <c r="G20" s="97">
        <v>46046.0</v>
      </c>
      <c r="H20" s="97">
        <v>46058.0</v>
      </c>
      <c r="I20" s="80" t="s">
        <v>1027</v>
      </c>
      <c r="J20" s="86"/>
      <c r="K20" s="86"/>
      <c r="L20" s="86"/>
      <c r="M20" s="86"/>
      <c r="N20" s="86"/>
      <c r="O20" s="86"/>
      <c r="P20" s="86"/>
      <c r="Q20" s="86"/>
      <c r="R20" s="86"/>
      <c r="S20" s="86"/>
      <c r="T20" s="86"/>
      <c r="U20" s="86"/>
      <c r="V20" s="86"/>
      <c r="W20" s="86"/>
      <c r="X20" s="86"/>
      <c r="Y20" s="86"/>
      <c r="Z20" s="86"/>
    </row>
    <row r="21">
      <c r="A21" s="49" t="s">
        <v>1056</v>
      </c>
      <c r="B21" s="48" t="s">
        <v>61</v>
      </c>
      <c r="C21" s="92" t="s">
        <v>1025</v>
      </c>
      <c r="D21" s="99">
        <v>2000.0</v>
      </c>
      <c r="E21" s="99">
        <v>1200.0</v>
      </c>
      <c r="F21" s="80" t="s">
        <v>1037</v>
      </c>
      <c r="G21" s="97">
        <v>46043.0</v>
      </c>
      <c r="H21" s="97">
        <v>46057.0</v>
      </c>
      <c r="I21" s="80" t="s">
        <v>1027</v>
      </c>
      <c r="J21" s="86"/>
      <c r="K21" s="86"/>
      <c r="L21" s="86"/>
      <c r="M21" s="86"/>
      <c r="N21" s="86"/>
      <c r="O21" s="86"/>
      <c r="P21" s="86"/>
      <c r="Q21" s="86"/>
      <c r="R21" s="86"/>
      <c r="S21" s="86"/>
      <c r="T21" s="86"/>
      <c r="U21" s="86"/>
      <c r="V21" s="86"/>
      <c r="W21" s="86"/>
      <c r="X21" s="86"/>
      <c r="Y21" s="86"/>
      <c r="Z21" s="86"/>
    </row>
    <row r="22">
      <c r="A22" s="49" t="s">
        <v>1057</v>
      </c>
      <c r="B22" s="48" t="s">
        <v>64</v>
      </c>
      <c r="C22" s="92" t="s">
        <v>1029</v>
      </c>
      <c r="D22" s="92">
        <v>1700.0</v>
      </c>
      <c r="E22" s="99">
        <v>1700.0</v>
      </c>
      <c r="F22" s="80" t="s">
        <v>1037</v>
      </c>
      <c r="G22" s="97">
        <v>46038.0</v>
      </c>
      <c r="H22" s="97">
        <v>46056.0</v>
      </c>
      <c r="I22" s="80" t="s">
        <v>1027</v>
      </c>
      <c r="J22" s="86"/>
      <c r="K22" s="86"/>
      <c r="L22" s="86"/>
      <c r="M22" s="86"/>
      <c r="N22" s="86"/>
      <c r="O22" s="86"/>
      <c r="P22" s="86"/>
      <c r="Q22" s="86"/>
      <c r="R22" s="86"/>
      <c r="S22" s="86"/>
      <c r="T22" s="86"/>
      <c r="U22" s="86"/>
      <c r="V22" s="86"/>
      <c r="W22" s="86"/>
      <c r="X22" s="86"/>
      <c r="Y22" s="86"/>
      <c r="Z22" s="86"/>
    </row>
    <row r="23">
      <c r="A23" s="49" t="s">
        <v>1058</v>
      </c>
      <c r="B23" s="48" t="s">
        <v>52</v>
      </c>
      <c r="C23" s="92" t="s">
        <v>1031</v>
      </c>
      <c r="D23" s="99">
        <v>2000.0</v>
      </c>
      <c r="E23" s="99">
        <v>2000.0</v>
      </c>
      <c r="F23" s="80" t="s">
        <v>1037</v>
      </c>
      <c r="G23" s="97">
        <v>46036.0</v>
      </c>
      <c r="H23" s="97">
        <v>46048.0</v>
      </c>
      <c r="I23" s="80" t="s">
        <v>1027</v>
      </c>
      <c r="J23" s="86"/>
      <c r="K23" s="86"/>
      <c r="L23" s="86"/>
      <c r="M23" s="86"/>
      <c r="N23" s="86"/>
      <c r="O23" s="86"/>
      <c r="P23" s="86"/>
      <c r="Q23" s="86"/>
      <c r="R23" s="86"/>
      <c r="S23" s="86"/>
      <c r="T23" s="86"/>
      <c r="U23" s="86"/>
      <c r="V23" s="86"/>
      <c r="W23" s="86"/>
      <c r="X23" s="86"/>
      <c r="Y23" s="86"/>
      <c r="Z23" s="86"/>
    </row>
    <row r="24">
      <c r="A24" s="93" t="s">
        <v>1059</v>
      </c>
      <c r="B24" s="48" t="s">
        <v>58</v>
      </c>
      <c r="C24" s="92" t="s">
        <v>1034</v>
      </c>
      <c r="D24" s="96">
        <v>1800.0</v>
      </c>
      <c r="E24" s="100">
        <v>1800.0</v>
      </c>
      <c r="F24" s="80" t="s">
        <v>1037</v>
      </c>
      <c r="G24" s="101">
        <v>46029.0</v>
      </c>
      <c r="H24" s="101">
        <v>46045.0</v>
      </c>
      <c r="I24" s="80" t="s">
        <v>1027</v>
      </c>
      <c r="J24" s="86"/>
      <c r="K24" s="86"/>
      <c r="L24" s="86"/>
      <c r="M24" s="86"/>
      <c r="N24" s="86"/>
      <c r="O24" s="86"/>
      <c r="P24" s="86"/>
      <c r="Q24" s="86"/>
      <c r="R24" s="86"/>
      <c r="S24" s="86"/>
      <c r="T24" s="86"/>
      <c r="U24" s="86"/>
      <c r="V24" s="86"/>
      <c r="W24" s="86"/>
      <c r="X24" s="86"/>
      <c r="Y24" s="86"/>
      <c r="Z24" s="86"/>
    </row>
    <row r="25">
      <c r="A25" s="49" t="s">
        <v>1060</v>
      </c>
      <c r="B25" s="48" t="s">
        <v>64</v>
      </c>
      <c r="C25" s="92" t="s">
        <v>1045</v>
      </c>
      <c r="D25" s="92">
        <v>1700.0</v>
      </c>
      <c r="E25" s="99">
        <v>1700.0</v>
      </c>
      <c r="F25" s="80" t="s">
        <v>1037</v>
      </c>
      <c r="G25" s="97">
        <v>45996.0</v>
      </c>
      <c r="H25" s="97">
        <v>46015.0</v>
      </c>
      <c r="I25" s="80" t="s">
        <v>1027</v>
      </c>
      <c r="J25" s="86"/>
      <c r="K25" s="86"/>
      <c r="L25" s="86"/>
      <c r="M25" s="86"/>
      <c r="N25" s="86"/>
      <c r="O25" s="86"/>
      <c r="P25" s="86"/>
      <c r="Q25" s="86"/>
      <c r="R25" s="86"/>
      <c r="S25" s="86"/>
      <c r="T25" s="86"/>
      <c r="U25" s="86"/>
      <c r="V25" s="86"/>
      <c r="W25" s="86"/>
      <c r="X25" s="86"/>
      <c r="Y25" s="86"/>
      <c r="Z25" s="86"/>
    </row>
    <row r="26">
      <c r="A26" s="49" t="s">
        <v>1061</v>
      </c>
      <c r="B26" s="48" t="s">
        <v>61</v>
      </c>
      <c r="C26" s="92" t="s">
        <v>1025</v>
      </c>
      <c r="D26" s="92">
        <v>1200.0</v>
      </c>
      <c r="E26" s="99">
        <v>1200.0</v>
      </c>
      <c r="F26" s="80" t="s">
        <v>1037</v>
      </c>
      <c r="G26" s="101">
        <v>45988.0</v>
      </c>
      <c r="H26" s="97">
        <v>46003.0</v>
      </c>
      <c r="I26" s="80" t="s">
        <v>1027</v>
      </c>
      <c r="J26" s="86"/>
      <c r="K26" s="86"/>
      <c r="L26" s="86"/>
      <c r="M26" s="86"/>
      <c r="N26" s="86"/>
      <c r="O26" s="86"/>
      <c r="P26" s="86"/>
      <c r="Q26" s="86"/>
      <c r="R26" s="86"/>
      <c r="S26" s="86"/>
      <c r="T26" s="86"/>
      <c r="U26" s="86"/>
      <c r="V26" s="86"/>
      <c r="W26" s="86"/>
      <c r="X26" s="86"/>
      <c r="Y26" s="86"/>
      <c r="Z26" s="86"/>
    </row>
    <row r="27">
      <c r="A27" s="49" t="s">
        <v>1062</v>
      </c>
      <c r="B27" s="48" t="s">
        <v>73</v>
      </c>
      <c r="C27" s="92" t="s">
        <v>1048</v>
      </c>
      <c r="D27" s="99">
        <v>800.0</v>
      </c>
      <c r="E27" s="99">
        <v>800.0</v>
      </c>
      <c r="F27" s="80" t="s">
        <v>1037</v>
      </c>
      <c r="G27" s="97">
        <v>45987.0</v>
      </c>
      <c r="H27" s="97">
        <v>46010.0</v>
      </c>
      <c r="I27" s="80" t="s">
        <v>1027</v>
      </c>
      <c r="J27" s="86"/>
      <c r="K27" s="86"/>
      <c r="L27" s="86"/>
      <c r="M27" s="86"/>
      <c r="N27" s="86"/>
      <c r="O27" s="86"/>
      <c r="P27" s="86"/>
      <c r="Q27" s="86"/>
      <c r="R27" s="86"/>
      <c r="S27" s="86"/>
      <c r="T27" s="86"/>
      <c r="U27" s="86"/>
      <c r="V27" s="86"/>
      <c r="W27" s="86"/>
      <c r="X27" s="86"/>
      <c r="Y27" s="86"/>
      <c r="Z27" s="86"/>
    </row>
    <row r="28">
      <c r="A28" s="93" t="s">
        <v>1063</v>
      </c>
      <c r="B28" s="48" t="s">
        <v>58</v>
      </c>
      <c r="C28" s="92" t="s">
        <v>1029</v>
      </c>
      <c r="D28" s="96">
        <v>1800.0</v>
      </c>
      <c r="E28" s="99">
        <v>1800.0</v>
      </c>
      <c r="F28" s="80" t="s">
        <v>1037</v>
      </c>
      <c r="G28" s="101">
        <v>45945.0</v>
      </c>
      <c r="H28" s="101">
        <v>45989.0</v>
      </c>
      <c r="I28" s="80" t="s">
        <v>1027</v>
      </c>
      <c r="J28" s="86"/>
      <c r="K28" s="86"/>
      <c r="L28" s="86"/>
      <c r="M28" s="86"/>
      <c r="N28" s="86"/>
      <c r="O28" s="86"/>
      <c r="P28" s="86"/>
      <c r="Q28" s="86"/>
      <c r="R28" s="86"/>
      <c r="S28" s="86"/>
      <c r="T28" s="86"/>
      <c r="U28" s="86"/>
      <c r="V28" s="86"/>
      <c r="W28" s="86"/>
      <c r="X28" s="86"/>
      <c r="Y28" s="86"/>
      <c r="Z28" s="86"/>
    </row>
    <row r="29">
      <c r="A29" s="49" t="s">
        <v>1064</v>
      </c>
      <c r="B29" s="48" t="s">
        <v>1051</v>
      </c>
      <c r="C29" s="92" t="s">
        <v>1036</v>
      </c>
      <c r="D29" s="99">
        <v>800.0</v>
      </c>
      <c r="E29" s="99">
        <v>780.0</v>
      </c>
      <c r="F29" s="80" t="s">
        <v>1037</v>
      </c>
      <c r="G29" s="97">
        <v>45944.0</v>
      </c>
      <c r="H29" s="97">
        <v>45965.0</v>
      </c>
      <c r="I29" s="80" t="s">
        <v>1027</v>
      </c>
      <c r="J29" s="86"/>
      <c r="K29" s="86"/>
      <c r="L29" s="86"/>
      <c r="M29" s="86"/>
      <c r="N29" s="86"/>
      <c r="O29" s="86"/>
      <c r="P29" s="86"/>
      <c r="Q29" s="86"/>
      <c r="R29" s="86"/>
      <c r="S29" s="86"/>
      <c r="T29" s="86"/>
      <c r="U29" s="86"/>
      <c r="V29" s="86"/>
      <c r="W29" s="86"/>
      <c r="X29" s="86"/>
      <c r="Y29" s="86"/>
      <c r="Z29" s="86"/>
    </row>
    <row r="30">
      <c r="A30" s="49" t="s">
        <v>1065</v>
      </c>
      <c r="B30" s="48" t="s">
        <v>52</v>
      </c>
      <c r="C30" s="92" t="s">
        <v>1031</v>
      </c>
      <c r="D30" s="99">
        <v>2000.0</v>
      </c>
      <c r="E30" s="99">
        <v>2000.0</v>
      </c>
      <c r="F30" s="80" t="s">
        <v>1037</v>
      </c>
      <c r="G30" s="97">
        <v>45926.0</v>
      </c>
      <c r="H30" s="97">
        <v>46000.0</v>
      </c>
      <c r="I30" s="80" t="s">
        <v>1027</v>
      </c>
      <c r="J30" s="86"/>
      <c r="K30" s="86"/>
      <c r="L30" s="86"/>
      <c r="M30" s="86"/>
      <c r="N30" s="86"/>
      <c r="O30" s="86"/>
      <c r="P30" s="86"/>
      <c r="Q30" s="86"/>
      <c r="R30" s="86"/>
      <c r="S30" s="86"/>
      <c r="T30" s="86"/>
      <c r="U30" s="86"/>
      <c r="V30" s="86"/>
      <c r="W30" s="86"/>
      <c r="X30" s="86"/>
      <c r="Y30" s="86"/>
      <c r="Z30" s="86"/>
    </row>
    <row r="31">
      <c r="A31" s="49" t="s">
        <v>1066</v>
      </c>
      <c r="B31" s="48" t="s">
        <v>61</v>
      </c>
      <c r="C31" s="92" t="s">
        <v>1042</v>
      </c>
      <c r="D31" s="99">
        <v>800.0</v>
      </c>
      <c r="E31" s="99">
        <v>800.0</v>
      </c>
      <c r="F31" s="80" t="s">
        <v>1037</v>
      </c>
      <c r="G31" s="97">
        <v>45918.0</v>
      </c>
      <c r="H31" s="101">
        <v>45936.0</v>
      </c>
      <c r="I31" s="80" t="s">
        <v>1027</v>
      </c>
      <c r="J31" s="86"/>
      <c r="K31" s="86"/>
      <c r="L31" s="86"/>
      <c r="M31" s="86"/>
      <c r="N31" s="86"/>
      <c r="O31" s="86"/>
      <c r="P31" s="86"/>
      <c r="Q31" s="86"/>
      <c r="R31" s="86"/>
      <c r="S31" s="86"/>
      <c r="T31" s="86"/>
      <c r="U31" s="86"/>
      <c r="V31" s="86"/>
      <c r="W31" s="86"/>
      <c r="X31" s="86"/>
      <c r="Y31" s="86"/>
      <c r="Z31" s="86"/>
    </row>
    <row r="32">
      <c r="A32" s="49" t="s">
        <v>1067</v>
      </c>
      <c r="B32" s="48" t="s">
        <v>52</v>
      </c>
      <c r="C32" s="92" t="s">
        <v>1034</v>
      </c>
      <c r="D32" s="99">
        <v>2000.0</v>
      </c>
      <c r="E32" s="99">
        <v>2000.0</v>
      </c>
      <c r="F32" s="80" t="s">
        <v>1037</v>
      </c>
      <c r="G32" s="97">
        <v>45917.0</v>
      </c>
      <c r="H32" s="101">
        <v>45953.0</v>
      </c>
      <c r="I32" s="80" t="s">
        <v>1027</v>
      </c>
      <c r="J32" s="86"/>
      <c r="K32" s="86"/>
      <c r="L32" s="86"/>
      <c r="M32" s="86"/>
      <c r="N32" s="86"/>
      <c r="O32" s="86"/>
      <c r="P32" s="86"/>
      <c r="Q32" s="86"/>
      <c r="R32" s="86"/>
      <c r="S32" s="86"/>
      <c r="T32" s="86"/>
      <c r="U32" s="86"/>
      <c r="V32" s="86"/>
      <c r="W32" s="86"/>
      <c r="X32" s="86"/>
      <c r="Y32" s="86"/>
      <c r="Z32" s="86"/>
    </row>
    <row r="33">
      <c r="A33" s="49" t="s">
        <v>1068</v>
      </c>
      <c r="B33" s="48" t="s">
        <v>64</v>
      </c>
      <c r="C33" s="92" t="s">
        <v>1045</v>
      </c>
      <c r="D33" s="99">
        <v>2000.0</v>
      </c>
      <c r="E33" s="99">
        <v>1700.0</v>
      </c>
      <c r="F33" s="80" t="s">
        <v>1037</v>
      </c>
      <c r="G33" s="97">
        <v>45912.0</v>
      </c>
      <c r="H33" s="97">
        <v>45937.0</v>
      </c>
      <c r="I33" s="80" t="s">
        <v>1027</v>
      </c>
      <c r="J33" s="86"/>
      <c r="K33" s="86"/>
      <c r="L33" s="86"/>
      <c r="M33" s="86"/>
      <c r="N33" s="86"/>
      <c r="O33" s="86"/>
      <c r="P33" s="86"/>
      <c r="Q33" s="86"/>
      <c r="R33" s="86"/>
      <c r="S33" s="86"/>
      <c r="T33" s="86"/>
      <c r="U33" s="86"/>
      <c r="V33" s="86"/>
      <c r="W33" s="86"/>
      <c r="X33" s="86"/>
      <c r="Y33" s="86"/>
      <c r="Z33" s="86"/>
    </row>
    <row r="34">
      <c r="A34" s="48" t="s">
        <v>1069</v>
      </c>
      <c r="B34" s="48" t="s">
        <v>1070</v>
      </c>
      <c r="C34" s="92" t="s">
        <v>1048</v>
      </c>
      <c r="D34" s="99">
        <v>800.0</v>
      </c>
      <c r="E34" s="99">
        <v>600.0</v>
      </c>
      <c r="F34" s="80" t="s">
        <v>1037</v>
      </c>
      <c r="G34" s="97">
        <v>45911.0</v>
      </c>
      <c r="H34" s="97">
        <v>45931.0</v>
      </c>
      <c r="I34" s="80" t="s">
        <v>1027</v>
      </c>
      <c r="J34" s="86"/>
      <c r="K34" s="86"/>
      <c r="L34" s="86"/>
      <c r="M34" s="86"/>
      <c r="N34" s="86"/>
      <c r="O34" s="86"/>
      <c r="P34" s="86"/>
      <c r="Q34" s="86"/>
      <c r="R34" s="86"/>
      <c r="S34" s="86"/>
      <c r="T34" s="86"/>
      <c r="U34" s="86"/>
      <c r="V34" s="86"/>
      <c r="W34" s="86"/>
      <c r="X34" s="86"/>
      <c r="Y34" s="86"/>
      <c r="Z34" s="86"/>
    </row>
    <row r="35">
      <c r="A35" s="49" t="s">
        <v>1071</v>
      </c>
      <c r="B35" s="49" t="s">
        <v>1072</v>
      </c>
      <c r="C35" s="92" t="s">
        <v>1039</v>
      </c>
      <c r="D35" s="91">
        <v>600.0</v>
      </c>
      <c r="E35" s="91">
        <v>600.0</v>
      </c>
      <c r="F35" s="80" t="s">
        <v>1037</v>
      </c>
      <c r="G35" s="97">
        <v>45908.0</v>
      </c>
      <c r="H35" s="94">
        <v>45929.0</v>
      </c>
      <c r="I35" s="80" t="s">
        <v>1027</v>
      </c>
      <c r="J35" s="86"/>
      <c r="K35" s="86"/>
      <c r="L35" s="86"/>
      <c r="M35" s="86"/>
      <c r="N35" s="86"/>
      <c r="O35" s="86"/>
      <c r="P35" s="86"/>
      <c r="Q35" s="86"/>
      <c r="R35" s="86"/>
      <c r="S35" s="86"/>
      <c r="T35" s="86"/>
      <c r="U35" s="86"/>
      <c r="V35" s="86"/>
      <c r="W35" s="86"/>
      <c r="X35" s="86"/>
      <c r="Y35" s="86"/>
      <c r="Z35" s="86"/>
    </row>
    <row r="36">
      <c r="A36" s="49" t="s">
        <v>1073</v>
      </c>
      <c r="B36" s="48" t="s">
        <v>76</v>
      </c>
      <c r="C36" s="92" t="s">
        <v>1025</v>
      </c>
      <c r="D36" s="92">
        <v>1600.0</v>
      </c>
      <c r="E36" s="99">
        <v>1600.0</v>
      </c>
      <c r="F36" s="80" t="s">
        <v>1037</v>
      </c>
      <c r="G36" s="97">
        <v>45866.0</v>
      </c>
      <c r="H36" s="97">
        <v>45943.0</v>
      </c>
      <c r="I36" s="80" t="s">
        <v>1027</v>
      </c>
      <c r="J36" s="86"/>
      <c r="K36" s="86"/>
      <c r="L36" s="86"/>
      <c r="M36" s="86"/>
      <c r="N36" s="86"/>
      <c r="O36" s="86"/>
      <c r="P36" s="86"/>
      <c r="Q36" s="86"/>
      <c r="R36" s="86"/>
      <c r="S36" s="86"/>
      <c r="T36" s="86"/>
      <c r="U36" s="86"/>
      <c r="V36" s="86"/>
      <c r="W36" s="86"/>
      <c r="X36" s="86"/>
      <c r="Y36" s="86"/>
      <c r="Z36" s="86"/>
    </row>
    <row r="37">
      <c r="A37" s="49" t="s">
        <v>1074</v>
      </c>
      <c r="B37" s="48" t="s">
        <v>52</v>
      </c>
      <c r="C37" s="92" t="s">
        <v>1029</v>
      </c>
      <c r="D37" s="99">
        <v>2000.0</v>
      </c>
      <c r="E37" s="99">
        <v>2000.0</v>
      </c>
      <c r="F37" s="80" t="s">
        <v>1037</v>
      </c>
      <c r="G37" s="97">
        <v>45855.0</v>
      </c>
      <c r="H37" s="97">
        <v>45877.0</v>
      </c>
      <c r="I37" s="80" t="s">
        <v>1027</v>
      </c>
      <c r="J37" s="86"/>
      <c r="K37" s="86"/>
      <c r="L37" s="86"/>
      <c r="M37" s="86"/>
      <c r="N37" s="86"/>
      <c r="O37" s="86"/>
      <c r="P37" s="86"/>
      <c r="Q37" s="86"/>
      <c r="R37" s="86"/>
      <c r="S37" s="86"/>
      <c r="T37" s="86"/>
      <c r="U37" s="86"/>
      <c r="V37" s="86"/>
      <c r="W37" s="86"/>
      <c r="X37" s="86"/>
      <c r="Y37" s="86"/>
      <c r="Z37" s="86"/>
    </row>
    <row r="38">
      <c r="A38" s="49" t="s">
        <v>1075</v>
      </c>
      <c r="B38" s="48" t="s">
        <v>52</v>
      </c>
      <c r="C38" s="92" t="s">
        <v>1031</v>
      </c>
      <c r="D38" s="99">
        <v>2000.0</v>
      </c>
      <c r="E38" s="99">
        <v>2000.0</v>
      </c>
      <c r="F38" s="80" t="s">
        <v>1037</v>
      </c>
      <c r="G38" s="97">
        <v>45849.0</v>
      </c>
      <c r="H38" s="97">
        <v>45926.0</v>
      </c>
      <c r="I38" s="80" t="s">
        <v>1027</v>
      </c>
      <c r="J38" s="86"/>
      <c r="K38" s="86"/>
      <c r="L38" s="86"/>
      <c r="M38" s="86"/>
      <c r="N38" s="86"/>
      <c r="O38" s="86"/>
      <c r="P38" s="86"/>
      <c r="Q38" s="86"/>
      <c r="R38" s="86"/>
      <c r="S38" s="86"/>
      <c r="T38" s="86"/>
      <c r="U38" s="86"/>
      <c r="V38" s="86"/>
      <c r="W38" s="86"/>
      <c r="X38" s="86"/>
      <c r="Y38" s="86"/>
      <c r="Z38" s="86"/>
    </row>
    <row r="39">
      <c r="A39" s="49" t="s">
        <v>1076</v>
      </c>
      <c r="B39" s="48" t="s">
        <v>61</v>
      </c>
      <c r="C39" s="92" t="s">
        <v>1034</v>
      </c>
      <c r="D39" s="99">
        <v>800.0</v>
      </c>
      <c r="E39" s="99">
        <v>800.0</v>
      </c>
      <c r="F39" s="80" t="s">
        <v>1037</v>
      </c>
      <c r="G39" s="97">
        <v>45846.0</v>
      </c>
      <c r="H39" s="97">
        <v>45884.0</v>
      </c>
      <c r="I39" s="80" t="s">
        <v>1027</v>
      </c>
      <c r="J39" s="86"/>
      <c r="K39" s="86"/>
      <c r="L39" s="86"/>
      <c r="M39" s="86"/>
      <c r="N39" s="86"/>
      <c r="O39" s="86"/>
      <c r="P39" s="86"/>
      <c r="Q39" s="86"/>
      <c r="R39" s="86"/>
      <c r="S39" s="86"/>
      <c r="T39" s="86"/>
      <c r="U39" s="86"/>
      <c r="V39" s="86"/>
      <c r="W39" s="86"/>
      <c r="X39" s="86"/>
      <c r="Y39" s="86"/>
      <c r="Z39" s="86"/>
    </row>
    <row r="40">
      <c r="A40" s="49" t="s">
        <v>1077</v>
      </c>
      <c r="B40" s="48" t="s">
        <v>1051</v>
      </c>
      <c r="C40" s="92" t="s">
        <v>1039</v>
      </c>
      <c r="D40" s="99">
        <v>800.0</v>
      </c>
      <c r="E40" s="99">
        <v>800.0</v>
      </c>
      <c r="F40" s="80" t="s">
        <v>1037</v>
      </c>
      <c r="G40" s="97">
        <v>45827.0</v>
      </c>
      <c r="H40" s="95"/>
      <c r="I40" s="80" t="s">
        <v>1027</v>
      </c>
      <c r="J40" s="86"/>
      <c r="K40" s="86"/>
      <c r="L40" s="86"/>
      <c r="M40" s="86"/>
      <c r="N40" s="86"/>
      <c r="O40" s="86"/>
      <c r="P40" s="86"/>
      <c r="Q40" s="86"/>
      <c r="R40" s="86"/>
      <c r="S40" s="86"/>
      <c r="T40" s="86"/>
      <c r="U40" s="86"/>
      <c r="V40" s="86"/>
      <c r="W40" s="86"/>
      <c r="X40" s="86"/>
      <c r="Y40" s="86"/>
      <c r="Z40" s="86"/>
    </row>
    <row r="41">
      <c r="A41" s="49" t="s">
        <v>1078</v>
      </c>
      <c r="B41" s="48" t="s">
        <v>73</v>
      </c>
      <c r="C41" s="92" t="s">
        <v>1036</v>
      </c>
      <c r="D41" s="99">
        <v>800.0</v>
      </c>
      <c r="E41" s="99">
        <v>800.0</v>
      </c>
      <c r="F41" s="80" t="s">
        <v>1037</v>
      </c>
      <c r="G41" s="97">
        <v>45806.0</v>
      </c>
      <c r="H41" s="101">
        <v>45905.0</v>
      </c>
      <c r="I41" s="80" t="s">
        <v>1027</v>
      </c>
      <c r="J41" s="86"/>
      <c r="K41" s="86"/>
      <c r="L41" s="86"/>
      <c r="M41" s="86"/>
      <c r="N41" s="86"/>
      <c r="O41" s="86"/>
      <c r="P41" s="86"/>
      <c r="Q41" s="86"/>
      <c r="R41" s="86"/>
      <c r="S41" s="86"/>
      <c r="T41" s="86"/>
      <c r="U41" s="86"/>
      <c r="V41" s="86"/>
      <c r="W41" s="86"/>
      <c r="X41" s="86"/>
      <c r="Y41" s="86"/>
      <c r="Z41" s="86"/>
    </row>
    <row r="42">
      <c r="A42" s="49" t="s">
        <v>1079</v>
      </c>
      <c r="B42" s="48" t="s">
        <v>52</v>
      </c>
      <c r="C42" s="92" t="s">
        <v>1045</v>
      </c>
      <c r="D42" s="99">
        <v>2000.0</v>
      </c>
      <c r="E42" s="99">
        <v>2000.0</v>
      </c>
      <c r="F42" s="80" t="s">
        <v>1037</v>
      </c>
      <c r="G42" s="97">
        <v>45804.0</v>
      </c>
      <c r="H42" s="101">
        <v>45838.0</v>
      </c>
      <c r="I42" s="80" t="s">
        <v>1027</v>
      </c>
      <c r="J42" s="86"/>
      <c r="K42" s="86"/>
      <c r="L42" s="86"/>
      <c r="M42" s="86"/>
      <c r="N42" s="86"/>
      <c r="O42" s="86"/>
      <c r="P42" s="86"/>
      <c r="Q42" s="86"/>
      <c r="R42" s="86"/>
      <c r="S42" s="86"/>
      <c r="T42" s="86"/>
      <c r="U42" s="86"/>
      <c r="V42" s="86"/>
      <c r="W42" s="86"/>
      <c r="X42" s="86"/>
      <c r="Y42" s="86"/>
      <c r="Z42" s="86"/>
    </row>
    <row r="43">
      <c r="A43" s="49" t="s">
        <v>1080</v>
      </c>
      <c r="B43" s="48" t="s">
        <v>58</v>
      </c>
      <c r="C43" s="92" t="s">
        <v>1025</v>
      </c>
      <c r="D43" s="99">
        <v>2000.0</v>
      </c>
      <c r="E43" s="99">
        <v>1900.0</v>
      </c>
      <c r="F43" s="80" t="s">
        <v>1037</v>
      </c>
      <c r="G43" s="97">
        <v>45799.0</v>
      </c>
      <c r="H43" s="101">
        <v>45908.0</v>
      </c>
      <c r="I43" s="80" t="s">
        <v>1027</v>
      </c>
      <c r="J43" s="86"/>
      <c r="K43" s="86"/>
      <c r="L43" s="86"/>
      <c r="M43" s="86"/>
      <c r="N43" s="86"/>
      <c r="O43" s="86"/>
      <c r="P43" s="86"/>
      <c r="Q43" s="86"/>
      <c r="R43" s="86"/>
      <c r="S43" s="86"/>
      <c r="T43" s="86"/>
      <c r="U43" s="86"/>
      <c r="V43" s="86"/>
      <c r="W43" s="86"/>
      <c r="X43" s="86"/>
      <c r="Y43" s="86"/>
      <c r="Z43" s="86"/>
    </row>
    <row r="44">
      <c r="A44" s="49" t="s">
        <v>1081</v>
      </c>
      <c r="B44" s="48" t="s">
        <v>64</v>
      </c>
      <c r="C44" s="92" t="s">
        <v>1029</v>
      </c>
      <c r="D44" s="99">
        <v>2000.0</v>
      </c>
      <c r="E44" s="99">
        <v>1700.0</v>
      </c>
      <c r="F44" s="80" t="s">
        <v>1037</v>
      </c>
      <c r="G44" s="97">
        <v>45797.0</v>
      </c>
      <c r="H44" s="101">
        <v>45856.0</v>
      </c>
      <c r="I44" s="80" t="s">
        <v>1027</v>
      </c>
      <c r="J44" s="86"/>
      <c r="K44" s="86"/>
      <c r="L44" s="86"/>
      <c r="M44" s="86"/>
      <c r="N44" s="86"/>
      <c r="O44" s="86"/>
      <c r="P44" s="86"/>
      <c r="Q44" s="86"/>
      <c r="R44" s="86"/>
      <c r="S44" s="86"/>
      <c r="T44" s="86"/>
      <c r="U44" s="86"/>
      <c r="V44" s="86"/>
      <c r="W44" s="86"/>
      <c r="X44" s="86"/>
      <c r="Y44" s="86"/>
      <c r="Z44" s="86"/>
    </row>
    <row r="45">
      <c r="A45" s="49" t="s">
        <v>1082</v>
      </c>
      <c r="B45" s="48" t="s">
        <v>76</v>
      </c>
      <c r="C45" s="92" t="s">
        <v>1031</v>
      </c>
      <c r="D45" s="99">
        <v>1600.0</v>
      </c>
      <c r="E45" s="99">
        <v>1600.0</v>
      </c>
      <c r="F45" s="80" t="s">
        <v>1037</v>
      </c>
      <c r="G45" s="97">
        <v>45793.0</v>
      </c>
      <c r="H45" s="101">
        <v>45817.0</v>
      </c>
      <c r="I45" s="80" t="s">
        <v>1027</v>
      </c>
      <c r="J45" s="86"/>
      <c r="K45" s="86"/>
      <c r="L45" s="86"/>
      <c r="M45" s="86"/>
      <c r="N45" s="86"/>
      <c r="O45" s="86"/>
      <c r="P45" s="86"/>
      <c r="Q45" s="86"/>
      <c r="R45" s="86"/>
      <c r="S45" s="86"/>
      <c r="T45" s="86"/>
      <c r="U45" s="86"/>
      <c r="V45" s="86"/>
      <c r="W45" s="86"/>
      <c r="X45" s="86"/>
      <c r="Y45" s="86"/>
      <c r="Z45" s="86"/>
    </row>
    <row r="46">
      <c r="A46" s="49" t="s">
        <v>1083</v>
      </c>
      <c r="B46" s="48" t="s">
        <v>61</v>
      </c>
      <c r="C46" s="92" t="s">
        <v>1042</v>
      </c>
      <c r="D46" s="99">
        <v>800.0</v>
      </c>
      <c r="E46" s="99">
        <v>800.0</v>
      </c>
      <c r="F46" s="80" t="s">
        <v>1037</v>
      </c>
      <c r="G46" s="97">
        <v>45792.0</v>
      </c>
      <c r="H46" s="101">
        <v>45813.0</v>
      </c>
      <c r="I46" s="80" t="s">
        <v>1027</v>
      </c>
      <c r="J46" s="86"/>
      <c r="K46" s="86"/>
      <c r="L46" s="86"/>
      <c r="M46" s="86"/>
      <c r="N46" s="86"/>
      <c r="O46" s="86"/>
      <c r="P46" s="86"/>
      <c r="Q46" s="86"/>
      <c r="R46" s="86"/>
      <c r="S46" s="86"/>
      <c r="T46" s="86"/>
      <c r="U46" s="86"/>
      <c r="V46" s="86"/>
      <c r="W46" s="86"/>
      <c r="X46" s="86"/>
      <c r="Y46" s="86"/>
      <c r="Z46" s="86"/>
    </row>
    <row r="47">
      <c r="A47" s="49" t="s">
        <v>1084</v>
      </c>
      <c r="B47" s="91" t="s">
        <v>1085</v>
      </c>
      <c r="C47" s="92" t="s">
        <v>1048</v>
      </c>
      <c r="D47" s="99">
        <v>800.0</v>
      </c>
      <c r="E47" s="99">
        <v>820.0</v>
      </c>
      <c r="F47" s="80" t="s">
        <v>1037</v>
      </c>
      <c r="G47" s="97">
        <v>45791.0</v>
      </c>
      <c r="H47" s="101">
        <v>45812.0</v>
      </c>
      <c r="I47" s="80" t="s">
        <v>1027</v>
      </c>
      <c r="J47" s="86"/>
      <c r="K47" s="86"/>
      <c r="L47" s="86"/>
      <c r="M47" s="86"/>
      <c r="N47" s="86"/>
      <c r="O47" s="86"/>
      <c r="P47" s="86"/>
      <c r="Q47" s="86"/>
      <c r="R47" s="86"/>
      <c r="S47" s="86"/>
      <c r="T47" s="86"/>
      <c r="U47" s="86"/>
      <c r="V47" s="86"/>
      <c r="W47" s="86"/>
      <c r="X47" s="86"/>
      <c r="Y47" s="86"/>
      <c r="Z47" s="86"/>
    </row>
    <row r="48">
      <c r="A48" s="49" t="s">
        <v>1086</v>
      </c>
      <c r="B48" s="48" t="s">
        <v>52</v>
      </c>
      <c r="C48" s="92" t="s">
        <v>1034</v>
      </c>
      <c r="D48" s="99">
        <v>2000.0</v>
      </c>
      <c r="E48" s="99">
        <v>2000.0</v>
      </c>
      <c r="F48" s="80" t="s">
        <v>1037</v>
      </c>
      <c r="G48" s="97">
        <v>45770.0</v>
      </c>
      <c r="H48" s="101">
        <v>45796.0</v>
      </c>
      <c r="I48" s="80" t="s">
        <v>1027</v>
      </c>
      <c r="J48" s="86"/>
      <c r="K48" s="86"/>
      <c r="L48" s="86"/>
      <c r="M48" s="86"/>
      <c r="N48" s="86"/>
      <c r="O48" s="86"/>
      <c r="P48" s="86"/>
      <c r="Q48" s="86"/>
      <c r="R48" s="86"/>
      <c r="S48" s="86"/>
      <c r="T48" s="86"/>
      <c r="U48" s="86"/>
      <c r="V48" s="86"/>
      <c r="W48" s="86"/>
      <c r="X48" s="86"/>
      <c r="Y48" s="86"/>
      <c r="Z48" s="86"/>
    </row>
    <row r="49">
      <c r="A49" s="49" t="s">
        <v>1087</v>
      </c>
      <c r="B49" s="48" t="s">
        <v>1088</v>
      </c>
      <c r="C49" s="92" t="s">
        <v>1048</v>
      </c>
      <c r="D49" s="99">
        <v>800.0</v>
      </c>
      <c r="E49" s="99">
        <v>795.0</v>
      </c>
      <c r="F49" s="80" t="s">
        <v>1037</v>
      </c>
      <c r="G49" s="97">
        <v>45763.0</v>
      </c>
      <c r="H49" s="101">
        <v>45772.0</v>
      </c>
      <c r="I49" s="80" t="s">
        <v>1027</v>
      </c>
      <c r="J49" s="86"/>
      <c r="K49" s="86"/>
      <c r="L49" s="86"/>
      <c r="M49" s="86"/>
      <c r="N49" s="86"/>
      <c r="O49" s="86"/>
      <c r="P49" s="86"/>
      <c r="Q49" s="86"/>
      <c r="R49" s="86"/>
      <c r="S49" s="86"/>
      <c r="T49" s="86"/>
      <c r="U49" s="86"/>
      <c r="V49" s="86"/>
      <c r="W49" s="86"/>
      <c r="X49" s="86"/>
      <c r="Y49" s="86"/>
      <c r="Z49" s="86"/>
    </row>
    <row r="50">
      <c r="A50" s="49" t="s">
        <v>1089</v>
      </c>
      <c r="B50" s="48" t="s">
        <v>1090</v>
      </c>
      <c r="C50" s="92" t="s">
        <v>1039</v>
      </c>
      <c r="D50" s="99">
        <v>800.0</v>
      </c>
      <c r="E50" s="99">
        <v>790.0</v>
      </c>
      <c r="F50" s="80" t="s">
        <v>1037</v>
      </c>
      <c r="G50" s="97">
        <v>45762.0</v>
      </c>
      <c r="H50" s="97">
        <v>45783.0</v>
      </c>
      <c r="I50" s="80" t="s">
        <v>1027</v>
      </c>
      <c r="J50" s="86"/>
      <c r="K50" s="86"/>
      <c r="L50" s="86"/>
      <c r="M50" s="86"/>
      <c r="N50" s="86"/>
      <c r="O50" s="86"/>
      <c r="P50" s="86"/>
      <c r="Q50" s="86"/>
      <c r="R50" s="86"/>
      <c r="S50" s="86"/>
      <c r="T50" s="86"/>
      <c r="U50" s="86"/>
      <c r="V50" s="86"/>
      <c r="W50" s="86"/>
      <c r="X50" s="86"/>
      <c r="Y50" s="86"/>
      <c r="Z50" s="86"/>
    </row>
    <row r="51">
      <c r="A51" s="49" t="s">
        <v>1091</v>
      </c>
      <c r="B51" s="48" t="s">
        <v>64</v>
      </c>
      <c r="C51" s="92" t="s">
        <v>1045</v>
      </c>
      <c r="D51" s="92">
        <v>1600.0</v>
      </c>
      <c r="E51" s="99">
        <v>1600.0</v>
      </c>
      <c r="F51" s="80" t="s">
        <v>1037</v>
      </c>
      <c r="G51" s="97">
        <v>45757.0</v>
      </c>
      <c r="H51" s="97">
        <v>45792.0</v>
      </c>
      <c r="I51" s="80" t="s">
        <v>1027</v>
      </c>
      <c r="J51" s="86"/>
      <c r="K51" s="86"/>
      <c r="L51" s="86"/>
      <c r="M51" s="86"/>
      <c r="N51" s="86"/>
      <c r="O51" s="86"/>
      <c r="P51" s="86"/>
      <c r="Q51" s="86"/>
      <c r="R51" s="86"/>
      <c r="S51" s="86"/>
      <c r="T51" s="86"/>
      <c r="U51" s="86"/>
      <c r="V51" s="86"/>
      <c r="W51" s="86"/>
      <c r="X51" s="86"/>
      <c r="Y51" s="86"/>
      <c r="Z51" s="86"/>
    </row>
    <row r="52">
      <c r="A52" s="49" t="s">
        <v>1092</v>
      </c>
      <c r="B52" s="48" t="s">
        <v>58</v>
      </c>
      <c r="C52" s="92" t="s">
        <v>1025</v>
      </c>
      <c r="D52" s="99">
        <v>2000.0</v>
      </c>
      <c r="E52" s="99">
        <v>2000.0</v>
      </c>
      <c r="F52" s="80" t="s">
        <v>1037</v>
      </c>
      <c r="G52" s="97">
        <v>45751.0</v>
      </c>
      <c r="H52" s="97">
        <v>45798.0</v>
      </c>
      <c r="I52" s="80" t="s">
        <v>1027</v>
      </c>
      <c r="J52" s="86"/>
      <c r="K52" s="86"/>
      <c r="L52" s="86"/>
      <c r="M52" s="86"/>
      <c r="N52" s="86"/>
      <c r="O52" s="86"/>
      <c r="P52" s="86"/>
      <c r="Q52" s="86"/>
      <c r="R52" s="86"/>
      <c r="S52" s="86"/>
      <c r="T52" s="86"/>
      <c r="U52" s="86"/>
      <c r="V52" s="86"/>
      <c r="W52" s="86"/>
      <c r="X52" s="86"/>
      <c r="Y52" s="86"/>
      <c r="Z52" s="86"/>
    </row>
    <row r="53">
      <c r="A53" s="49" t="s">
        <v>1093</v>
      </c>
      <c r="B53" s="48" t="s">
        <v>52</v>
      </c>
      <c r="C53" s="92" t="s">
        <v>1029</v>
      </c>
      <c r="D53" s="99">
        <v>2000.0</v>
      </c>
      <c r="E53" s="99">
        <v>1900.0</v>
      </c>
      <c r="F53" s="80" t="s">
        <v>1037</v>
      </c>
      <c r="G53" s="97">
        <v>45750.0</v>
      </c>
      <c r="H53" s="97">
        <v>45765.0</v>
      </c>
      <c r="I53" s="80" t="s">
        <v>1027</v>
      </c>
      <c r="J53" s="86"/>
      <c r="K53" s="86"/>
      <c r="L53" s="86"/>
      <c r="M53" s="86"/>
      <c r="N53" s="86"/>
      <c r="O53" s="86"/>
      <c r="P53" s="86"/>
      <c r="Q53" s="86"/>
      <c r="R53" s="86"/>
      <c r="S53" s="86"/>
      <c r="T53" s="86"/>
      <c r="U53" s="86"/>
      <c r="V53" s="86"/>
      <c r="W53" s="86"/>
      <c r="X53" s="86"/>
      <c r="Y53" s="86"/>
      <c r="Z53" s="86"/>
    </row>
    <row r="54">
      <c r="A54" s="49" t="s">
        <v>1094</v>
      </c>
      <c r="B54" s="48" t="s">
        <v>67</v>
      </c>
      <c r="C54" s="92" t="s">
        <v>1036</v>
      </c>
      <c r="D54" s="99">
        <v>800.0</v>
      </c>
      <c r="E54" s="99">
        <v>800.0</v>
      </c>
      <c r="F54" s="80" t="s">
        <v>1037</v>
      </c>
      <c r="G54" s="97">
        <v>45743.0</v>
      </c>
      <c r="H54" s="97">
        <v>45768.0</v>
      </c>
      <c r="I54" s="80" t="s">
        <v>1027</v>
      </c>
      <c r="J54" s="86"/>
      <c r="K54" s="86"/>
      <c r="L54" s="86"/>
      <c r="M54" s="86"/>
      <c r="N54" s="86"/>
      <c r="O54" s="86"/>
      <c r="P54" s="86"/>
      <c r="Q54" s="86"/>
      <c r="R54" s="86"/>
      <c r="S54" s="86"/>
      <c r="T54" s="86"/>
      <c r="U54" s="86"/>
      <c r="V54" s="86"/>
      <c r="W54" s="86"/>
      <c r="X54" s="86"/>
      <c r="Y54" s="86"/>
      <c r="Z54" s="86"/>
    </row>
    <row r="55">
      <c r="A55" s="49" t="s">
        <v>1095</v>
      </c>
      <c r="B55" s="48" t="s">
        <v>1051</v>
      </c>
      <c r="C55" s="92" t="s">
        <v>1042</v>
      </c>
      <c r="D55" s="99">
        <v>800.0</v>
      </c>
      <c r="E55" s="99">
        <v>820.0</v>
      </c>
      <c r="F55" s="80" t="s">
        <v>1037</v>
      </c>
      <c r="G55" s="97">
        <v>45741.0</v>
      </c>
      <c r="H55" s="97">
        <v>45756.0</v>
      </c>
      <c r="I55" s="80" t="s">
        <v>1027</v>
      </c>
      <c r="J55" s="86"/>
      <c r="K55" s="86"/>
      <c r="L55" s="86"/>
      <c r="M55" s="86"/>
      <c r="N55" s="86"/>
      <c r="O55" s="86"/>
      <c r="P55" s="86"/>
      <c r="Q55" s="86"/>
      <c r="R55" s="86"/>
      <c r="S55" s="86"/>
      <c r="T55" s="86"/>
      <c r="U55" s="86"/>
      <c r="V55" s="86"/>
      <c r="W55" s="86"/>
      <c r="X55" s="86"/>
      <c r="Y55" s="86"/>
      <c r="Z55" s="86"/>
    </row>
    <row r="56">
      <c r="A56" s="49" t="s">
        <v>1096</v>
      </c>
      <c r="B56" s="48" t="s">
        <v>61</v>
      </c>
      <c r="C56" s="92" t="s">
        <v>1048</v>
      </c>
      <c r="D56" s="99">
        <v>800.0</v>
      </c>
      <c r="E56" s="99">
        <v>800.0</v>
      </c>
      <c r="F56" s="80" t="s">
        <v>1037</v>
      </c>
      <c r="G56" s="97">
        <v>45735.0</v>
      </c>
      <c r="H56" s="97">
        <v>45756.0</v>
      </c>
      <c r="I56" s="80" t="s">
        <v>1027</v>
      </c>
      <c r="J56" s="86"/>
      <c r="K56" s="86"/>
      <c r="L56" s="86"/>
      <c r="M56" s="86"/>
      <c r="N56" s="86"/>
      <c r="O56" s="86"/>
      <c r="P56" s="86"/>
      <c r="Q56" s="86"/>
      <c r="R56" s="86"/>
      <c r="S56" s="86"/>
      <c r="T56" s="86"/>
      <c r="U56" s="86"/>
      <c r="V56" s="86"/>
      <c r="W56" s="86"/>
      <c r="X56" s="86"/>
      <c r="Y56" s="86"/>
      <c r="Z56" s="86"/>
    </row>
    <row r="57">
      <c r="A57" s="49" t="s">
        <v>1097</v>
      </c>
      <c r="B57" s="48" t="s">
        <v>55</v>
      </c>
      <c r="C57" s="92" t="s">
        <v>1031</v>
      </c>
      <c r="D57" s="99">
        <v>2000.0</v>
      </c>
      <c r="E57" s="99">
        <v>2000.0</v>
      </c>
      <c r="F57" s="80" t="s">
        <v>1037</v>
      </c>
      <c r="G57" s="97">
        <v>45733.0</v>
      </c>
      <c r="H57" s="97">
        <v>45789.0</v>
      </c>
      <c r="I57" s="80" t="s">
        <v>1027</v>
      </c>
      <c r="J57" s="86"/>
      <c r="K57" s="86"/>
      <c r="L57" s="86"/>
      <c r="M57" s="86"/>
      <c r="N57" s="86"/>
      <c r="O57" s="86"/>
      <c r="P57" s="86"/>
      <c r="Q57" s="86"/>
      <c r="R57" s="86"/>
      <c r="S57" s="86"/>
      <c r="T57" s="86"/>
      <c r="U57" s="86"/>
      <c r="V57" s="86"/>
      <c r="W57" s="86"/>
      <c r="X57" s="86"/>
      <c r="Y57" s="86"/>
      <c r="Z57" s="86"/>
    </row>
    <row r="58">
      <c r="A58" s="49" t="s">
        <v>1098</v>
      </c>
      <c r="B58" s="48" t="s">
        <v>52</v>
      </c>
      <c r="C58" s="92" t="s">
        <v>1034</v>
      </c>
      <c r="D58" s="99">
        <v>1900.0</v>
      </c>
      <c r="E58" s="99">
        <v>1900.0</v>
      </c>
      <c r="F58" s="80" t="s">
        <v>1037</v>
      </c>
      <c r="G58" s="97">
        <v>45729.0</v>
      </c>
      <c r="H58" s="97">
        <v>45740.0</v>
      </c>
      <c r="I58" s="80" t="s">
        <v>1027</v>
      </c>
      <c r="J58" s="86"/>
      <c r="K58" s="86"/>
      <c r="L58" s="86"/>
      <c r="M58" s="86"/>
      <c r="N58" s="86"/>
      <c r="O58" s="86"/>
      <c r="P58" s="86"/>
      <c r="Q58" s="86"/>
      <c r="R58" s="86"/>
      <c r="S58" s="86"/>
      <c r="T58" s="86"/>
      <c r="U58" s="86"/>
      <c r="V58" s="86"/>
      <c r="W58" s="86"/>
      <c r="X58" s="86"/>
      <c r="Y58" s="86"/>
      <c r="Z58" s="86"/>
    </row>
    <row r="59">
      <c r="A59" s="49" t="s">
        <v>1099</v>
      </c>
      <c r="B59" s="48" t="s">
        <v>64</v>
      </c>
      <c r="C59" s="92" t="s">
        <v>1045</v>
      </c>
      <c r="D59" s="99">
        <v>2000.0</v>
      </c>
      <c r="E59" s="99">
        <v>2000.0</v>
      </c>
      <c r="F59" s="80" t="s">
        <v>1037</v>
      </c>
      <c r="G59" s="97">
        <v>45727.0</v>
      </c>
      <c r="H59" s="97">
        <v>45747.0</v>
      </c>
      <c r="I59" s="80" t="s">
        <v>1027</v>
      </c>
      <c r="J59" s="86"/>
      <c r="K59" s="86"/>
      <c r="L59" s="86"/>
      <c r="M59" s="86"/>
      <c r="N59" s="86"/>
      <c r="O59" s="86"/>
      <c r="P59" s="86"/>
      <c r="Q59" s="86"/>
      <c r="R59" s="86"/>
      <c r="S59" s="86"/>
      <c r="T59" s="86"/>
      <c r="U59" s="86"/>
      <c r="V59" s="86"/>
      <c r="W59" s="86"/>
      <c r="X59" s="86"/>
      <c r="Y59" s="86"/>
      <c r="Z59" s="86"/>
    </row>
    <row r="60">
      <c r="A60" s="48" t="s">
        <v>1100</v>
      </c>
      <c r="B60" s="48" t="s">
        <v>85</v>
      </c>
      <c r="C60" s="92" t="s">
        <v>1039</v>
      </c>
      <c r="D60" s="99">
        <v>800.0</v>
      </c>
      <c r="E60" s="99">
        <v>800.0</v>
      </c>
      <c r="F60" s="80" t="s">
        <v>1037</v>
      </c>
      <c r="G60" s="97">
        <v>45723.0</v>
      </c>
      <c r="H60" s="97">
        <v>45761.0</v>
      </c>
      <c r="I60" s="80" t="s">
        <v>1027</v>
      </c>
      <c r="J60" s="86"/>
      <c r="K60" s="86"/>
      <c r="L60" s="86"/>
      <c r="M60" s="86"/>
      <c r="N60" s="86"/>
      <c r="O60" s="86"/>
      <c r="P60" s="86"/>
      <c r="Q60" s="86"/>
      <c r="R60" s="86"/>
      <c r="S60" s="86"/>
      <c r="T60" s="86"/>
      <c r="U60" s="86"/>
      <c r="V60" s="86"/>
      <c r="W60" s="86"/>
      <c r="X60" s="86"/>
      <c r="Y60" s="86"/>
      <c r="Z60" s="86"/>
    </row>
    <row r="61">
      <c r="A61" s="49" t="s">
        <v>1101</v>
      </c>
      <c r="B61" s="48" t="s">
        <v>58</v>
      </c>
      <c r="C61" s="92" t="s">
        <v>1025</v>
      </c>
      <c r="D61" s="99">
        <v>1600.0</v>
      </c>
      <c r="E61" s="99">
        <v>1600.0</v>
      </c>
      <c r="F61" s="80" t="s">
        <v>1037</v>
      </c>
      <c r="G61" s="97">
        <v>45722.0</v>
      </c>
      <c r="H61" s="97">
        <v>45738.0</v>
      </c>
      <c r="I61" s="80" t="s">
        <v>1027</v>
      </c>
      <c r="J61" s="86"/>
      <c r="K61" s="86"/>
      <c r="L61" s="86"/>
      <c r="M61" s="86"/>
      <c r="N61" s="86"/>
      <c r="O61" s="86"/>
      <c r="P61" s="86"/>
      <c r="Q61" s="86"/>
      <c r="R61" s="86"/>
      <c r="S61" s="86"/>
      <c r="T61" s="86"/>
      <c r="U61" s="86"/>
      <c r="V61" s="86"/>
      <c r="W61" s="86"/>
      <c r="X61" s="86"/>
      <c r="Y61" s="86"/>
      <c r="Z61" s="86"/>
    </row>
    <row r="62">
      <c r="A62" s="49" t="s">
        <v>1102</v>
      </c>
      <c r="B62" s="48" t="s">
        <v>1090</v>
      </c>
      <c r="C62" s="92" t="s">
        <v>1036</v>
      </c>
      <c r="D62" s="99">
        <v>800.0</v>
      </c>
      <c r="E62" s="99">
        <v>800.0</v>
      </c>
      <c r="F62" s="80" t="s">
        <v>1037</v>
      </c>
      <c r="G62" s="97">
        <v>45720.0</v>
      </c>
      <c r="H62" s="97">
        <v>45737.0</v>
      </c>
      <c r="I62" s="80" t="s">
        <v>1027</v>
      </c>
      <c r="J62" s="86"/>
      <c r="K62" s="86"/>
      <c r="L62" s="86"/>
      <c r="M62" s="86"/>
      <c r="N62" s="86"/>
      <c r="O62" s="86"/>
      <c r="P62" s="86"/>
      <c r="Q62" s="86"/>
      <c r="R62" s="86"/>
      <c r="S62" s="86"/>
      <c r="T62" s="86"/>
      <c r="U62" s="86"/>
      <c r="V62" s="86"/>
      <c r="W62" s="86"/>
      <c r="X62" s="86"/>
      <c r="Y62" s="86"/>
      <c r="Z62" s="86"/>
    </row>
    <row r="63">
      <c r="A63" s="49" t="s">
        <v>1103</v>
      </c>
      <c r="B63" s="91" t="s">
        <v>76</v>
      </c>
      <c r="C63" s="96" t="s">
        <v>1029</v>
      </c>
      <c r="D63" s="100">
        <v>1800.0</v>
      </c>
      <c r="E63" s="100">
        <v>1800.0</v>
      </c>
      <c r="F63" s="80" t="s">
        <v>1037</v>
      </c>
      <c r="G63" s="97">
        <v>45716.0</v>
      </c>
      <c r="H63" s="94">
        <v>45730.0</v>
      </c>
      <c r="I63" s="80" t="s">
        <v>1027</v>
      </c>
      <c r="J63" s="86"/>
      <c r="K63" s="86"/>
      <c r="L63" s="86"/>
      <c r="M63" s="86"/>
      <c r="N63" s="86"/>
      <c r="O63" s="86"/>
      <c r="P63" s="86"/>
      <c r="Q63" s="86"/>
      <c r="R63" s="86"/>
      <c r="S63" s="86"/>
      <c r="T63" s="86"/>
      <c r="U63" s="86"/>
      <c r="V63" s="86"/>
      <c r="W63" s="86"/>
      <c r="X63" s="86"/>
      <c r="Y63" s="86"/>
      <c r="Z63" s="86"/>
    </row>
    <row r="64">
      <c r="A64" s="49" t="s">
        <v>1104</v>
      </c>
      <c r="B64" s="91" t="s">
        <v>1085</v>
      </c>
      <c r="C64" s="96" t="s">
        <v>1042</v>
      </c>
      <c r="D64" s="100">
        <v>800.0</v>
      </c>
      <c r="E64" s="100">
        <v>800.0</v>
      </c>
      <c r="F64" s="80" t="s">
        <v>1037</v>
      </c>
      <c r="G64" s="97">
        <v>45707.0</v>
      </c>
      <c r="H64" s="97">
        <v>45726.0</v>
      </c>
      <c r="I64" s="80" t="s">
        <v>1027</v>
      </c>
      <c r="J64" s="86"/>
      <c r="K64" s="86"/>
      <c r="L64" s="86"/>
      <c r="M64" s="86"/>
      <c r="N64" s="86"/>
      <c r="O64" s="86"/>
      <c r="P64" s="86"/>
      <c r="Q64" s="86"/>
      <c r="R64" s="86"/>
      <c r="S64" s="86"/>
      <c r="T64" s="86"/>
      <c r="U64" s="86"/>
      <c r="V64" s="86"/>
      <c r="W64" s="86"/>
      <c r="X64" s="86"/>
      <c r="Y64" s="86"/>
      <c r="Z64" s="86"/>
    </row>
    <row r="65">
      <c r="A65" s="49" t="s">
        <v>1105</v>
      </c>
      <c r="B65" s="48" t="s">
        <v>70</v>
      </c>
      <c r="C65" s="92" t="s">
        <v>1039</v>
      </c>
      <c r="D65" s="99">
        <v>800.0</v>
      </c>
      <c r="E65" s="99">
        <v>800.0</v>
      </c>
      <c r="F65" s="80" t="s">
        <v>1037</v>
      </c>
      <c r="G65" s="97">
        <v>45705.0</v>
      </c>
      <c r="H65" s="97">
        <v>45721.0</v>
      </c>
      <c r="I65" s="80" t="s">
        <v>1027</v>
      </c>
      <c r="J65" s="86"/>
      <c r="K65" s="86"/>
      <c r="L65" s="86"/>
      <c r="M65" s="86"/>
      <c r="N65" s="86"/>
      <c r="O65" s="86"/>
      <c r="P65" s="86"/>
      <c r="Q65" s="86"/>
      <c r="R65" s="86"/>
      <c r="S65" s="86"/>
      <c r="T65" s="86"/>
      <c r="U65" s="86"/>
      <c r="V65" s="86"/>
      <c r="W65" s="86"/>
      <c r="X65" s="86"/>
      <c r="Y65" s="86"/>
      <c r="Z65" s="86"/>
    </row>
    <row r="66">
      <c r="A66" s="49" t="s">
        <v>1106</v>
      </c>
      <c r="B66" s="48" t="s">
        <v>61</v>
      </c>
      <c r="C66" s="92" t="s">
        <v>1048</v>
      </c>
      <c r="D66" s="99">
        <v>800.0</v>
      </c>
      <c r="E66" s="99">
        <v>800.0</v>
      </c>
      <c r="F66" s="80" t="s">
        <v>1037</v>
      </c>
      <c r="G66" s="97">
        <v>45705.0</v>
      </c>
      <c r="H66" s="97">
        <v>45719.0</v>
      </c>
      <c r="I66" s="80" t="s">
        <v>1027</v>
      </c>
      <c r="J66" s="86"/>
      <c r="K66" s="86"/>
      <c r="L66" s="86"/>
      <c r="M66" s="86"/>
      <c r="N66" s="86"/>
      <c r="O66" s="86"/>
      <c r="P66" s="86"/>
      <c r="Q66" s="86"/>
      <c r="R66" s="86"/>
      <c r="S66" s="86"/>
      <c r="T66" s="86"/>
      <c r="U66" s="86"/>
      <c r="V66" s="86"/>
      <c r="W66" s="86"/>
      <c r="X66" s="86"/>
      <c r="Y66" s="86"/>
      <c r="Z66" s="86"/>
    </row>
    <row r="67">
      <c r="A67" s="49" t="s">
        <v>1107</v>
      </c>
      <c r="B67" s="48" t="s">
        <v>64</v>
      </c>
      <c r="C67" s="92" t="s">
        <v>1036</v>
      </c>
      <c r="D67" s="99">
        <v>800.0</v>
      </c>
      <c r="E67" s="99">
        <v>800.0</v>
      </c>
      <c r="F67" s="80" t="s">
        <v>1037</v>
      </c>
      <c r="G67" s="97">
        <v>45702.0</v>
      </c>
      <c r="H67" s="97">
        <v>45712.0</v>
      </c>
      <c r="I67" s="80" t="s">
        <v>1027</v>
      </c>
      <c r="J67" s="86"/>
      <c r="K67" s="86"/>
      <c r="L67" s="86"/>
      <c r="M67" s="86"/>
      <c r="N67" s="86"/>
      <c r="O67" s="86"/>
      <c r="P67" s="86"/>
      <c r="Q67" s="86"/>
      <c r="R67" s="86"/>
      <c r="S67" s="86"/>
      <c r="T67" s="86"/>
      <c r="U67" s="86"/>
      <c r="V67" s="86"/>
      <c r="W67" s="86"/>
      <c r="X67" s="86"/>
      <c r="Y67" s="86"/>
      <c r="Z67" s="86"/>
    </row>
    <row r="68">
      <c r="A68" s="49" t="s">
        <v>1108</v>
      </c>
      <c r="B68" s="48" t="s">
        <v>52</v>
      </c>
      <c r="C68" s="92" t="s">
        <v>1031</v>
      </c>
      <c r="D68" s="99">
        <v>2000.0</v>
      </c>
      <c r="E68" s="99">
        <v>2000.0</v>
      </c>
      <c r="F68" s="80" t="s">
        <v>1037</v>
      </c>
      <c r="G68" s="97">
        <v>45678.0</v>
      </c>
      <c r="H68" s="97">
        <v>45712.0</v>
      </c>
      <c r="I68" s="80" t="s">
        <v>1027</v>
      </c>
      <c r="J68" s="86"/>
      <c r="K68" s="86"/>
      <c r="L68" s="86"/>
      <c r="M68" s="86"/>
      <c r="N68" s="86"/>
      <c r="O68" s="86"/>
      <c r="P68" s="86"/>
      <c r="Q68" s="86"/>
      <c r="R68" s="86"/>
      <c r="S68" s="86"/>
      <c r="T68" s="86"/>
      <c r="U68" s="86"/>
      <c r="V68" s="86"/>
      <c r="W68" s="86"/>
      <c r="X68" s="86"/>
      <c r="Y68" s="86"/>
      <c r="Z68" s="86"/>
    </row>
    <row r="69">
      <c r="A69" s="49" t="s">
        <v>1109</v>
      </c>
      <c r="B69" s="48" t="s">
        <v>1110</v>
      </c>
      <c r="C69" s="92" t="s">
        <v>1042</v>
      </c>
      <c r="D69" s="99">
        <v>800.0</v>
      </c>
      <c r="E69" s="99">
        <v>800.0</v>
      </c>
      <c r="F69" s="80" t="s">
        <v>1037</v>
      </c>
      <c r="G69" s="97">
        <v>45672.0</v>
      </c>
      <c r="H69" s="97">
        <v>45700.0</v>
      </c>
      <c r="I69" s="80" t="s">
        <v>1027</v>
      </c>
      <c r="J69" s="86"/>
      <c r="K69" s="86"/>
      <c r="L69" s="86"/>
      <c r="M69" s="86"/>
      <c r="N69" s="86"/>
      <c r="O69" s="86"/>
      <c r="P69" s="86"/>
      <c r="Q69" s="86"/>
      <c r="R69" s="86"/>
      <c r="S69" s="86"/>
      <c r="T69" s="86"/>
      <c r="U69" s="86"/>
      <c r="V69" s="86"/>
      <c r="W69" s="86"/>
      <c r="X69" s="86"/>
      <c r="Y69" s="86"/>
      <c r="Z69" s="86"/>
    </row>
    <row r="70">
      <c r="A70" s="49" t="s">
        <v>1111</v>
      </c>
      <c r="B70" s="48" t="s">
        <v>1090</v>
      </c>
      <c r="C70" s="92" t="s">
        <v>1048</v>
      </c>
      <c r="D70" s="99">
        <v>800.0</v>
      </c>
      <c r="E70" s="99">
        <v>820.0</v>
      </c>
      <c r="F70" s="80" t="s">
        <v>1037</v>
      </c>
      <c r="G70" s="97">
        <v>45660.0</v>
      </c>
      <c r="H70" s="97">
        <v>45677.0</v>
      </c>
      <c r="I70" s="80" t="s">
        <v>1027</v>
      </c>
      <c r="J70" s="86"/>
      <c r="K70" s="86"/>
      <c r="L70" s="86"/>
      <c r="M70" s="86"/>
      <c r="N70" s="86"/>
      <c r="O70" s="86"/>
      <c r="P70" s="86"/>
      <c r="Q70" s="86"/>
      <c r="R70" s="86"/>
      <c r="S70" s="86"/>
      <c r="T70" s="86"/>
      <c r="U70" s="86"/>
      <c r="V70" s="86"/>
      <c r="W70" s="86"/>
      <c r="X70" s="86"/>
      <c r="Y70" s="86"/>
      <c r="Z70" s="86"/>
    </row>
  </sheetData>
  <mergeCells count="1">
    <mergeCell ref="A1:J1"/>
  </mergeCells>
  <dataValidations>
    <dataValidation type="list" allowBlank="1" sqref="F5:F70">
      <formula1>"planned,brewing,fermenting,conditioning,completed,cancelled"</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7.25"/>
    <col customWidth="1" min="2" max="2" width="33.13"/>
    <col customWidth="1" min="3" max="3" width="23.88"/>
    <col customWidth="1" min="4" max="4" width="26.13"/>
    <col customWidth="1" min="5" max="5" width="40.63"/>
    <col customWidth="1" min="6" max="6" width="26.88"/>
    <col customWidth="1" min="7" max="7" width="5.88"/>
  </cols>
  <sheetData>
    <row r="1">
      <c r="A1" s="21" t="s">
        <v>1112</v>
      </c>
    </row>
    <row r="2">
      <c r="A2" s="22" t="s">
        <v>1113</v>
      </c>
      <c r="B2" s="22" t="s">
        <v>1114</v>
      </c>
      <c r="C2" s="22" t="s">
        <v>1115</v>
      </c>
      <c r="D2" s="22" t="s">
        <v>1116</v>
      </c>
      <c r="E2" s="22" t="s">
        <v>803</v>
      </c>
      <c r="F2" s="22" t="s">
        <v>1117</v>
      </c>
      <c r="G2" s="22" t="s">
        <v>98</v>
      </c>
    </row>
    <row r="3">
      <c r="A3" s="23" t="s">
        <v>49</v>
      </c>
      <c r="B3" s="23" t="s">
        <v>49</v>
      </c>
      <c r="C3" s="23" t="s">
        <v>49</v>
      </c>
      <c r="D3" s="24"/>
      <c r="E3" s="24"/>
      <c r="F3" s="24"/>
      <c r="G3" s="24"/>
    </row>
    <row r="4">
      <c r="A4" s="25" t="s">
        <v>50</v>
      </c>
      <c r="B4" s="25" t="s">
        <v>50</v>
      </c>
      <c r="C4" s="25" t="s">
        <v>102</v>
      </c>
      <c r="D4" s="25" t="s">
        <v>102</v>
      </c>
      <c r="E4" s="25" t="s">
        <v>1118</v>
      </c>
      <c r="F4" s="25" t="s">
        <v>1119</v>
      </c>
      <c r="G4" s="25" t="s">
        <v>50</v>
      </c>
    </row>
    <row r="5">
      <c r="A5" s="26" t="s">
        <v>1120</v>
      </c>
      <c r="B5" s="26" t="s">
        <v>467</v>
      </c>
      <c r="C5" s="27">
        <v>46141.0</v>
      </c>
      <c r="D5" s="27">
        <v>46141.0</v>
      </c>
      <c r="E5" s="26" t="s">
        <v>1121</v>
      </c>
      <c r="F5" s="26" t="s">
        <v>1122</v>
      </c>
    </row>
    <row r="6">
      <c r="A6" s="26" t="s">
        <v>1123</v>
      </c>
      <c r="B6" s="26" t="s">
        <v>522</v>
      </c>
      <c r="C6" s="27">
        <v>46141.0</v>
      </c>
      <c r="D6" s="27">
        <v>46141.0</v>
      </c>
      <c r="E6" s="26" t="s">
        <v>1121</v>
      </c>
      <c r="F6" s="26" t="s">
        <v>1122</v>
      </c>
    </row>
    <row r="7">
      <c r="A7" s="26" t="s">
        <v>1124</v>
      </c>
      <c r="B7" s="26" t="s">
        <v>1125</v>
      </c>
      <c r="C7" s="27">
        <v>46141.0</v>
      </c>
      <c r="D7" s="27">
        <v>46141.0</v>
      </c>
      <c r="E7" s="26" t="s">
        <v>1121</v>
      </c>
      <c r="F7" s="26" t="s">
        <v>1122</v>
      </c>
    </row>
    <row r="8">
      <c r="A8" s="26" t="s">
        <v>1124</v>
      </c>
      <c r="B8" s="26" t="s">
        <v>1125</v>
      </c>
      <c r="C8" s="27">
        <v>46141.0</v>
      </c>
      <c r="D8" s="27">
        <v>46141.0</v>
      </c>
      <c r="E8" s="26" t="s">
        <v>1121</v>
      </c>
      <c r="F8" s="26" t="s">
        <v>1122</v>
      </c>
    </row>
    <row r="9">
      <c r="A9" s="26" t="s">
        <v>1124</v>
      </c>
      <c r="B9" s="26" t="s">
        <v>1125</v>
      </c>
      <c r="C9" s="27">
        <v>46141.0</v>
      </c>
      <c r="D9" s="27">
        <v>46141.0</v>
      </c>
      <c r="E9" s="26" t="s">
        <v>1121</v>
      </c>
      <c r="F9" s="26" t="s">
        <v>1122</v>
      </c>
    </row>
    <row r="10">
      <c r="A10" s="26" t="s">
        <v>1124</v>
      </c>
      <c r="B10" s="26" t="s">
        <v>1125</v>
      </c>
      <c r="C10" s="27">
        <v>46141.0</v>
      </c>
      <c r="D10" s="27">
        <v>46141.0</v>
      </c>
      <c r="E10" s="26" t="s">
        <v>1121</v>
      </c>
      <c r="F10" s="26" t="s">
        <v>1122</v>
      </c>
    </row>
    <row r="11">
      <c r="A11" s="26" t="s">
        <v>1124</v>
      </c>
      <c r="B11" s="26" t="s">
        <v>1125</v>
      </c>
      <c r="C11" s="27">
        <v>46141.0</v>
      </c>
      <c r="D11" s="27">
        <v>46141.0</v>
      </c>
      <c r="E11" s="26" t="s">
        <v>1121</v>
      </c>
      <c r="F11" s="26" t="s">
        <v>1122</v>
      </c>
    </row>
    <row r="12">
      <c r="A12" s="26" t="s">
        <v>1126</v>
      </c>
      <c r="B12" s="26" t="s">
        <v>546</v>
      </c>
      <c r="C12" s="27">
        <v>46141.0</v>
      </c>
      <c r="D12" s="27">
        <v>46141.0</v>
      </c>
      <c r="E12" s="26" t="s">
        <v>1121</v>
      </c>
      <c r="F12" s="26" t="s">
        <v>1122</v>
      </c>
    </row>
    <row r="13">
      <c r="A13" s="26" t="s">
        <v>1126</v>
      </c>
      <c r="B13" s="26" t="s">
        <v>546</v>
      </c>
      <c r="C13" s="27">
        <v>46141.0</v>
      </c>
      <c r="D13" s="27">
        <v>46141.0</v>
      </c>
      <c r="E13" s="26" t="s">
        <v>1121</v>
      </c>
      <c r="F13" s="26" t="s">
        <v>1122</v>
      </c>
    </row>
    <row r="14">
      <c r="A14" s="26" t="s">
        <v>1126</v>
      </c>
      <c r="B14" s="26" t="s">
        <v>546</v>
      </c>
      <c r="C14" s="27">
        <v>46141.0</v>
      </c>
      <c r="D14" s="27">
        <v>46141.0</v>
      </c>
      <c r="E14" s="26" t="s">
        <v>1121</v>
      </c>
      <c r="F14" s="26" t="s">
        <v>1122</v>
      </c>
    </row>
    <row r="15">
      <c r="A15" s="26" t="s">
        <v>1126</v>
      </c>
      <c r="B15" s="26" t="s">
        <v>546</v>
      </c>
      <c r="C15" s="27">
        <v>46141.0</v>
      </c>
      <c r="D15" s="27">
        <v>46141.0</v>
      </c>
      <c r="E15" s="26" t="s">
        <v>1121</v>
      </c>
      <c r="F15" s="26" t="s">
        <v>1122</v>
      </c>
    </row>
    <row r="16">
      <c r="A16" s="26" t="s">
        <v>1127</v>
      </c>
      <c r="B16" s="26" t="s">
        <v>432</v>
      </c>
      <c r="C16" s="27">
        <v>46140.0</v>
      </c>
      <c r="D16" s="27">
        <v>46140.0</v>
      </c>
      <c r="E16" s="26" t="s">
        <v>1121</v>
      </c>
      <c r="F16" s="26" t="s">
        <v>1122</v>
      </c>
    </row>
    <row r="17">
      <c r="A17" s="26" t="s">
        <v>1127</v>
      </c>
      <c r="B17" s="26" t="s">
        <v>432</v>
      </c>
      <c r="C17" s="27">
        <v>46140.0</v>
      </c>
      <c r="D17" s="27">
        <v>46140.0</v>
      </c>
      <c r="E17" s="26" t="s">
        <v>1121</v>
      </c>
      <c r="F17" s="26" t="s">
        <v>1122</v>
      </c>
    </row>
    <row r="18">
      <c r="A18" s="26" t="s">
        <v>1128</v>
      </c>
      <c r="B18" s="26" t="s">
        <v>574</v>
      </c>
      <c r="C18" s="27">
        <v>46140.0</v>
      </c>
      <c r="D18" s="27">
        <v>46140.0</v>
      </c>
      <c r="E18" s="26" t="s">
        <v>1121</v>
      </c>
      <c r="F18" s="26" t="s">
        <v>1122</v>
      </c>
    </row>
    <row r="19">
      <c r="A19" s="26" t="s">
        <v>1129</v>
      </c>
      <c r="B19" s="26" t="s">
        <v>505</v>
      </c>
      <c r="C19" s="27">
        <v>46140.0</v>
      </c>
      <c r="D19" s="27">
        <v>46140.0</v>
      </c>
      <c r="E19" s="26" t="s">
        <v>1121</v>
      </c>
      <c r="F19" s="26" t="s">
        <v>1122</v>
      </c>
    </row>
    <row r="20">
      <c r="A20" s="26" t="s">
        <v>1130</v>
      </c>
      <c r="B20" s="26" t="s">
        <v>717</v>
      </c>
      <c r="C20" s="27">
        <v>46140.0</v>
      </c>
      <c r="D20" s="27">
        <v>46140.0</v>
      </c>
      <c r="E20" s="26" t="s">
        <v>1121</v>
      </c>
      <c r="F20" s="26" t="s">
        <v>1122</v>
      </c>
    </row>
    <row r="21">
      <c r="A21" s="26" t="s">
        <v>1130</v>
      </c>
      <c r="B21" s="26" t="s">
        <v>717</v>
      </c>
      <c r="C21" s="27">
        <v>46140.0</v>
      </c>
      <c r="D21" s="27">
        <v>46140.0</v>
      </c>
      <c r="E21" s="26" t="s">
        <v>1121</v>
      </c>
      <c r="F21" s="26" t="s">
        <v>1122</v>
      </c>
    </row>
    <row r="22">
      <c r="A22" s="26" t="s">
        <v>1131</v>
      </c>
      <c r="B22" s="26" t="s">
        <v>444</v>
      </c>
      <c r="C22" s="27">
        <v>46139.0</v>
      </c>
      <c r="D22" s="27">
        <v>46139.0</v>
      </c>
      <c r="E22" s="26" t="s">
        <v>1121</v>
      </c>
      <c r="F22" s="26" t="s">
        <v>1122</v>
      </c>
    </row>
    <row r="23">
      <c r="A23" s="26" t="s">
        <v>1131</v>
      </c>
      <c r="B23" s="26" t="s">
        <v>444</v>
      </c>
      <c r="C23" s="27">
        <v>46139.0</v>
      </c>
      <c r="D23" s="27">
        <v>46139.0</v>
      </c>
      <c r="E23" s="26" t="s">
        <v>1121</v>
      </c>
      <c r="F23" s="26" t="s">
        <v>1122</v>
      </c>
    </row>
    <row r="24">
      <c r="A24" s="26" t="s">
        <v>1131</v>
      </c>
      <c r="B24" s="26" t="s">
        <v>444</v>
      </c>
      <c r="C24" s="27">
        <v>46139.0</v>
      </c>
      <c r="D24" s="27">
        <v>46139.0</v>
      </c>
      <c r="E24" s="26" t="s">
        <v>1121</v>
      </c>
      <c r="F24" s="26" t="s">
        <v>1122</v>
      </c>
    </row>
    <row r="25">
      <c r="A25" s="26" t="s">
        <v>1132</v>
      </c>
      <c r="B25" s="26" t="s">
        <v>591</v>
      </c>
      <c r="C25" s="27">
        <v>46139.0</v>
      </c>
      <c r="D25" s="27">
        <v>46139.0</v>
      </c>
      <c r="E25" s="26" t="s">
        <v>1121</v>
      </c>
      <c r="F25" s="26" t="s">
        <v>1122</v>
      </c>
    </row>
    <row r="26">
      <c r="A26" s="26" t="s">
        <v>1133</v>
      </c>
      <c r="B26" s="26" t="s">
        <v>717</v>
      </c>
      <c r="C26" s="27">
        <v>46139.0</v>
      </c>
      <c r="D26" s="27">
        <v>46139.0</v>
      </c>
      <c r="E26" s="26" t="s">
        <v>1121</v>
      </c>
      <c r="F26" s="26" t="s">
        <v>1122</v>
      </c>
    </row>
    <row r="27">
      <c r="A27" s="26" t="s">
        <v>1133</v>
      </c>
      <c r="B27" s="26" t="s">
        <v>717</v>
      </c>
      <c r="C27" s="27">
        <v>46139.0</v>
      </c>
      <c r="D27" s="27">
        <v>46139.0</v>
      </c>
      <c r="E27" s="26" t="s">
        <v>1121</v>
      </c>
      <c r="F27" s="26" t="s">
        <v>1122</v>
      </c>
    </row>
    <row r="28">
      <c r="A28" s="26" t="s">
        <v>1134</v>
      </c>
      <c r="B28" s="26" t="s">
        <v>483</v>
      </c>
      <c r="C28" s="27">
        <v>46139.0</v>
      </c>
      <c r="D28" s="27">
        <v>46139.0</v>
      </c>
      <c r="E28" s="26" t="s">
        <v>1121</v>
      </c>
      <c r="F28" s="26" t="s">
        <v>1122</v>
      </c>
    </row>
    <row r="29">
      <c r="A29" s="26" t="s">
        <v>1135</v>
      </c>
      <c r="B29" s="26" t="s">
        <v>546</v>
      </c>
      <c r="C29" s="27">
        <v>46136.0</v>
      </c>
      <c r="D29" s="27">
        <v>46136.0</v>
      </c>
      <c r="E29" s="26" t="s">
        <v>1121</v>
      </c>
      <c r="F29" s="26" t="s">
        <v>1122</v>
      </c>
    </row>
    <row r="30">
      <c r="A30" s="26" t="s">
        <v>1136</v>
      </c>
      <c r="B30" s="26" t="s">
        <v>483</v>
      </c>
      <c r="C30" s="27">
        <v>46136.0</v>
      </c>
      <c r="D30" s="27">
        <v>46136.0</v>
      </c>
      <c r="E30" s="26" t="s">
        <v>1121</v>
      </c>
      <c r="F30" s="26" t="s">
        <v>1122</v>
      </c>
    </row>
    <row r="31">
      <c r="A31" s="26" t="s">
        <v>1137</v>
      </c>
      <c r="B31" s="26" t="s">
        <v>432</v>
      </c>
      <c r="C31" s="27">
        <v>46136.0</v>
      </c>
      <c r="D31" s="27">
        <v>46136.0</v>
      </c>
      <c r="E31" s="26" t="s">
        <v>1121</v>
      </c>
      <c r="F31" s="26" t="s">
        <v>1122</v>
      </c>
    </row>
    <row r="32">
      <c r="A32" s="26" t="s">
        <v>1138</v>
      </c>
      <c r="B32" s="26" t="s">
        <v>461</v>
      </c>
      <c r="C32" s="27">
        <v>46135.0</v>
      </c>
      <c r="D32" s="27">
        <v>46135.0</v>
      </c>
      <c r="E32" s="26" t="s">
        <v>1121</v>
      </c>
      <c r="F32" s="26" t="s">
        <v>1122</v>
      </c>
    </row>
    <row r="33">
      <c r="A33" s="26" t="s">
        <v>1139</v>
      </c>
      <c r="B33" s="26" t="s">
        <v>467</v>
      </c>
      <c r="C33" s="27">
        <v>46135.0</v>
      </c>
      <c r="D33" s="27">
        <v>46135.0</v>
      </c>
      <c r="E33" s="26" t="s">
        <v>1121</v>
      </c>
      <c r="F33" s="26" t="s">
        <v>1122</v>
      </c>
    </row>
    <row r="34">
      <c r="A34" s="26" t="s">
        <v>1140</v>
      </c>
      <c r="B34" s="26" t="s">
        <v>731</v>
      </c>
      <c r="C34" s="27">
        <v>46135.0</v>
      </c>
      <c r="D34" s="27">
        <v>46135.0</v>
      </c>
      <c r="E34" s="26" t="s">
        <v>1121</v>
      </c>
      <c r="F34" s="26" t="s">
        <v>1122</v>
      </c>
    </row>
    <row r="35">
      <c r="A35" s="26" t="s">
        <v>1140</v>
      </c>
      <c r="B35" s="26" t="s">
        <v>731</v>
      </c>
      <c r="C35" s="27">
        <v>46135.0</v>
      </c>
      <c r="D35" s="27">
        <v>46135.0</v>
      </c>
      <c r="E35" s="26" t="s">
        <v>1121</v>
      </c>
      <c r="F35" s="26" t="s">
        <v>1122</v>
      </c>
    </row>
    <row r="36">
      <c r="A36" s="26" t="s">
        <v>1140</v>
      </c>
      <c r="B36" s="26" t="s">
        <v>731</v>
      </c>
      <c r="C36" s="27">
        <v>46135.0</v>
      </c>
      <c r="D36" s="27">
        <v>46135.0</v>
      </c>
      <c r="E36" s="26" t="s">
        <v>1121</v>
      </c>
      <c r="F36" s="26" t="s">
        <v>1122</v>
      </c>
    </row>
    <row r="37">
      <c r="A37" s="26" t="s">
        <v>1140</v>
      </c>
      <c r="B37" s="26" t="s">
        <v>731</v>
      </c>
      <c r="C37" s="27">
        <v>46135.0</v>
      </c>
      <c r="D37" s="27">
        <v>46135.0</v>
      </c>
      <c r="E37" s="26" t="s">
        <v>1121</v>
      </c>
      <c r="F37" s="26" t="s">
        <v>1122</v>
      </c>
    </row>
    <row r="38">
      <c r="A38" s="26" t="s">
        <v>1141</v>
      </c>
      <c r="B38" s="26" t="s">
        <v>717</v>
      </c>
      <c r="C38" s="27">
        <v>46133.0</v>
      </c>
      <c r="D38" s="27">
        <v>46133.0</v>
      </c>
      <c r="E38" s="26" t="s">
        <v>1121</v>
      </c>
      <c r="F38" s="26" t="s">
        <v>1122</v>
      </c>
    </row>
    <row r="39">
      <c r="A39" s="26" t="s">
        <v>1142</v>
      </c>
      <c r="B39" s="26" t="s">
        <v>432</v>
      </c>
      <c r="C39" s="27">
        <v>46133.0</v>
      </c>
      <c r="D39" s="27">
        <v>46133.0</v>
      </c>
      <c r="E39" s="26" t="s">
        <v>1121</v>
      </c>
      <c r="F39" s="26" t="s">
        <v>1122</v>
      </c>
    </row>
    <row r="40">
      <c r="A40" s="26" t="s">
        <v>1143</v>
      </c>
      <c r="B40" s="26" t="s">
        <v>435</v>
      </c>
      <c r="C40" s="27">
        <v>46133.0</v>
      </c>
      <c r="D40" s="27">
        <v>46133.0</v>
      </c>
      <c r="E40" s="26" t="s">
        <v>1121</v>
      </c>
      <c r="F40" s="26" t="s">
        <v>1122</v>
      </c>
    </row>
    <row r="41">
      <c r="A41" s="26" t="s">
        <v>1144</v>
      </c>
      <c r="B41" s="26" t="s">
        <v>428</v>
      </c>
      <c r="C41" s="27">
        <v>46133.0</v>
      </c>
      <c r="D41" s="27">
        <v>46133.0</v>
      </c>
      <c r="E41" s="26" t="s">
        <v>1121</v>
      </c>
      <c r="F41" s="26" t="s">
        <v>1122</v>
      </c>
    </row>
    <row r="42">
      <c r="A42" s="26" t="s">
        <v>1145</v>
      </c>
      <c r="B42" s="26" t="s">
        <v>542</v>
      </c>
      <c r="C42" s="27">
        <v>46133.0</v>
      </c>
      <c r="D42" s="27">
        <v>46133.0</v>
      </c>
      <c r="E42" s="26" t="s">
        <v>1121</v>
      </c>
      <c r="F42" s="26" t="s">
        <v>1122</v>
      </c>
    </row>
    <row r="43">
      <c r="A43" s="26" t="s">
        <v>1146</v>
      </c>
      <c r="B43" s="26" t="s">
        <v>546</v>
      </c>
      <c r="C43" s="27">
        <v>46132.0</v>
      </c>
      <c r="D43" s="27">
        <v>46132.0</v>
      </c>
      <c r="E43" s="26" t="s">
        <v>1121</v>
      </c>
      <c r="F43" s="26" t="s">
        <v>1122</v>
      </c>
    </row>
    <row r="44">
      <c r="A44" s="26" t="s">
        <v>1146</v>
      </c>
      <c r="B44" s="26" t="s">
        <v>546</v>
      </c>
      <c r="C44" s="27">
        <v>46132.0</v>
      </c>
      <c r="D44" s="27">
        <v>46132.0</v>
      </c>
      <c r="E44" s="26" t="s">
        <v>1121</v>
      </c>
      <c r="F44" s="26" t="s">
        <v>1122</v>
      </c>
    </row>
    <row r="45">
      <c r="A45" s="26" t="s">
        <v>1147</v>
      </c>
      <c r="B45" s="26" t="s">
        <v>1148</v>
      </c>
      <c r="C45" s="27">
        <v>46132.0</v>
      </c>
      <c r="D45" s="27">
        <v>46132.0</v>
      </c>
      <c r="E45" s="26" t="s">
        <v>1121</v>
      </c>
      <c r="F45" s="26" t="s">
        <v>1122</v>
      </c>
    </row>
    <row r="46">
      <c r="A46" s="26" t="s">
        <v>1147</v>
      </c>
      <c r="B46" s="26" t="s">
        <v>1148</v>
      </c>
      <c r="C46" s="27">
        <v>46132.0</v>
      </c>
      <c r="D46" s="27">
        <v>46132.0</v>
      </c>
      <c r="E46" s="26" t="s">
        <v>1121</v>
      </c>
      <c r="F46" s="26" t="s">
        <v>1122</v>
      </c>
    </row>
    <row r="47">
      <c r="A47" s="26" t="s">
        <v>1147</v>
      </c>
      <c r="B47" s="26" t="s">
        <v>1148</v>
      </c>
      <c r="C47" s="27">
        <v>46132.0</v>
      </c>
      <c r="D47" s="27">
        <v>46132.0</v>
      </c>
      <c r="E47" s="26" t="s">
        <v>1121</v>
      </c>
      <c r="F47" s="26" t="s">
        <v>1122</v>
      </c>
    </row>
    <row r="48">
      <c r="A48" s="26" t="s">
        <v>1147</v>
      </c>
      <c r="B48" s="26" t="s">
        <v>1148</v>
      </c>
      <c r="C48" s="27">
        <v>46132.0</v>
      </c>
      <c r="D48" s="27">
        <v>46132.0</v>
      </c>
      <c r="E48" s="26" t="s">
        <v>1121</v>
      </c>
      <c r="F48" s="26" t="s">
        <v>1122</v>
      </c>
    </row>
    <row r="49">
      <c r="A49" s="26" t="s">
        <v>1147</v>
      </c>
      <c r="B49" s="26" t="s">
        <v>1148</v>
      </c>
      <c r="C49" s="27">
        <v>46132.0</v>
      </c>
      <c r="D49" s="27">
        <v>46132.0</v>
      </c>
      <c r="E49" s="26" t="s">
        <v>1121</v>
      </c>
      <c r="F49" s="26" t="s">
        <v>1122</v>
      </c>
    </row>
    <row r="50">
      <c r="A50" s="26" t="s">
        <v>1147</v>
      </c>
      <c r="B50" s="26" t="s">
        <v>1148</v>
      </c>
      <c r="C50" s="27">
        <v>46132.0</v>
      </c>
      <c r="D50" s="27">
        <v>46132.0</v>
      </c>
      <c r="E50" s="26" t="s">
        <v>1121</v>
      </c>
      <c r="F50" s="26" t="s">
        <v>1122</v>
      </c>
    </row>
    <row r="51">
      <c r="A51" s="26" t="s">
        <v>1149</v>
      </c>
      <c r="B51" s="26" t="s">
        <v>745</v>
      </c>
      <c r="C51" s="27">
        <v>46132.0</v>
      </c>
      <c r="D51" s="27">
        <v>46132.0</v>
      </c>
      <c r="E51" s="26" t="s">
        <v>1121</v>
      </c>
      <c r="F51" s="26" t="s">
        <v>1122</v>
      </c>
    </row>
    <row r="52">
      <c r="A52" s="26" t="s">
        <v>1149</v>
      </c>
      <c r="B52" s="26" t="s">
        <v>745</v>
      </c>
      <c r="C52" s="27">
        <v>46132.0</v>
      </c>
      <c r="D52" s="27">
        <v>46132.0</v>
      </c>
      <c r="E52" s="26" t="s">
        <v>1121</v>
      </c>
      <c r="F52" s="26" t="s">
        <v>1122</v>
      </c>
    </row>
    <row r="53">
      <c r="A53" s="26" t="s">
        <v>1150</v>
      </c>
      <c r="B53" s="26" t="s">
        <v>505</v>
      </c>
      <c r="C53" s="27">
        <v>46132.0</v>
      </c>
      <c r="D53" s="27">
        <v>46132.0</v>
      </c>
      <c r="E53" s="26" t="s">
        <v>1121</v>
      </c>
      <c r="F53" s="26" t="s">
        <v>1122</v>
      </c>
    </row>
    <row r="54">
      <c r="A54" s="26" t="s">
        <v>1151</v>
      </c>
      <c r="B54" s="26" t="s">
        <v>776</v>
      </c>
      <c r="C54" s="27">
        <v>46132.0</v>
      </c>
      <c r="D54" s="27">
        <v>46132.0</v>
      </c>
      <c r="E54" s="26" t="s">
        <v>1121</v>
      </c>
      <c r="F54" s="26" t="s">
        <v>1122</v>
      </c>
    </row>
    <row r="55">
      <c r="A55" s="26" t="s">
        <v>1151</v>
      </c>
      <c r="B55" s="26" t="s">
        <v>776</v>
      </c>
      <c r="C55" s="27">
        <v>46132.0</v>
      </c>
      <c r="D55" s="27">
        <v>46132.0</v>
      </c>
      <c r="E55" s="26" t="s">
        <v>1121</v>
      </c>
      <c r="F55" s="26" t="s">
        <v>1122</v>
      </c>
    </row>
    <row r="56">
      <c r="A56" s="26" t="s">
        <v>1152</v>
      </c>
      <c r="B56" s="26" t="s">
        <v>634</v>
      </c>
      <c r="C56" s="27">
        <v>46132.0</v>
      </c>
      <c r="D56" s="27">
        <v>46132.0</v>
      </c>
      <c r="E56" s="26" t="s">
        <v>1121</v>
      </c>
      <c r="F56" s="26" t="s">
        <v>1122</v>
      </c>
    </row>
    <row r="57">
      <c r="A57" s="26" t="s">
        <v>1152</v>
      </c>
      <c r="B57" s="26" t="s">
        <v>634</v>
      </c>
      <c r="C57" s="27">
        <v>46132.0</v>
      </c>
      <c r="D57" s="27">
        <v>46132.0</v>
      </c>
      <c r="E57" s="26" t="s">
        <v>1121</v>
      </c>
      <c r="F57" s="26" t="s">
        <v>1122</v>
      </c>
    </row>
    <row r="58">
      <c r="A58" s="26" t="s">
        <v>1153</v>
      </c>
      <c r="B58" s="26" t="s">
        <v>604</v>
      </c>
      <c r="C58" s="27">
        <v>46132.0</v>
      </c>
      <c r="D58" s="27">
        <v>46132.0</v>
      </c>
      <c r="E58" s="26" t="s">
        <v>1121</v>
      </c>
      <c r="F58" s="26" t="s">
        <v>1122</v>
      </c>
    </row>
    <row r="59">
      <c r="A59" s="26" t="s">
        <v>1154</v>
      </c>
      <c r="B59" s="26" t="s">
        <v>516</v>
      </c>
      <c r="C59" s="27">
        <v>46130.0</v>
      </c>
      <c r="D59" s="27">
        <v>46130.0</v>
      </c>
      <c r="E59" s="26" t="s">
        <v>1121</v>
      </c>
      <c r="F59" s="26" t="s">
        <v>1122</v>
      </c>
    </row>
    <row r="60">
      <c r="A60" s="26" t="s">
        <v>1155</v>
      </c>
      <c r="B60" s="26" t="s">
        <v>546</v>
      </c>
      <c r="C60" s="27">
        <v>46130.0</v>
      </c>
      <c r="D60" s="27">
        <v>46130.0</v>
      </c>
      <c r="E60" s="26" t="s">
        <v>1121</v>
      </c>
      <c r="F60" s="26" t="s">
        <v>1122</v>
      </c>
    </row>
    <row r="61">
      <c r="A61" s="26" t="s">
        <v>1155</v>
      </c>
      <c r="B61" s="26" t="s">
        <v>546</v>
      </c>
      <c r="C61" s="27">
        <v>46130.0</v>
      </c>
      <c r="D61" s="27">
        <v>46130.0</v>
      </c>
      <c r="E61" s="26" t="s">
        <v>1121</v>
      </c>
      <c r="F61" s="26" t="s">
        <v>1122</v>
      </c>
    </row>
    <row r="62">
      <c r="A62" s="26" t="s">
        <v>1156</v>
      </c>
      <c r="B62" s="26" t="s">
        <v>472</v>
      </c>
      <c r="C62" s="27">
        <v>46130.0</v>
      </c>
      <c r="D62" s="27">
        <v>46130.0</v>
      </c>
      <c r="E62" s="26" t="s">
        <v>1121</v>
      </c>
      <c r="F62" s="26" t="s">
        <v>1122</v>
      </c>
    </row>
    <row r="63">
      <c r="A63" s="26" t="s">
        <v>1157</v>
      </c>
      <c r="B63" s="26" t="s">
        <v>717</v>
      </c>
      <c r="C63" s="27">
        <v>46130.0</v>
      </c>
      <c r="D63" s="27">
        <v>46130.0</v>
      </c>
      <c r="E63" s="26" t="s">
        <v>1121</v>
      </c>
      <c r="F63" s="26" t="s">
        <v>1122</v>
      </c>
    </row>
    <row r="64">
      <c r="A64" s="26" t="s">
        <v>1158</v>
      </c>
      <c r="B64" s="26" t="s">
        <v>546</v>
      </c>
      <c r="C64" s="27">
        <v>46129.0</v>
      </c>
      <c r="D64" s="27">
        <v>46129.0</v>
      </c>
      <c r="E64" s="26" t="s">
        <v>1121</v>
      </c>
      <c r="F64" s="26" t="s">
        <v>1122</v>
      </c>
    </row>
    <row r="65">
      <c r="A65" s="26" t="s">
        <v>1159</v>
      </c>
      <c r="B65" s="26" t="s">
        <v>493</v>
      </c>
      <c r="C65" s="27">
        <v>46128.0</v>
      </c>
      <c r="D65" s="27">
        <v>46128.0</v>
      </c>
      <c r="E65" s="26" t="s">
        <v>1121</v>
      </c>
      <c r="F65" s="26" t="s">
        <v>1122</v>
      </c>
    </row>
    <row r="66">
      <c r="A66" s="26" t="s">
        <v>1160</v>
      </c>
      <c r="B66" s="26" t="s">
        <v>400</v>
      </c>
      <c r="C66" s="27">
        <v>46127.0</v>
      </c>
      <c r="D66" s="27">
        <v>46127.0</v>
      </c>
      <c r="E66" s="26" t="s">
        <v>1121</v>
      </c>
      <c r="F66" s="26" t="s">
        <v>1122</v>
      </c>
    </row>
    <row r="67">
      <c r="A67" s="26" t="s">
        <v>1161</v>
      </c>
      <c r="B67" s="26" t="s">
        <v>717</v>
      </c>
      <c r="C67" s="27">
        <v>46127.0</v>
      </c>
      <c r="D67" s="27">
        <v>46127.0</v>
      </c>
      <c r="E67" s="26" t="s">
        <v>1121</v>
      </c>
      <c r="F67" s="26" t="s">
        <v>1122</v>
      </c>
    </row>
    <row r="68">
      <c r="A68" s="26" t="s">
        <v>1162</v>
      </c>
      <c r="B68" s="26" t="s">
        <v>745</v>
      </c>
      <c r="C68" s="27">
        <v>46127.0</v>
      </c>
      <c r="D68" s="27">
        <v>46127.0</v>
      </c>
      <c r="E68" s="26" t="s">
        <v>1121</v>
      </c>
      <c r="F68" s="26" t="s">
        <v>1122</v>
      </c>
    </row>
    <row r="69">
      <c r="A69" s="26" t="s">
        <v>1162</v>
      </c>
      <c r="B69" s="26" t="s">
        <v>745</v>
      </c>
      <c r="C69" s="27">
        <v>46127.0</v>
      </c>
      <c r="D69" s="27">
        <v>46127.0</v>
      </c>
      <c r="E69" s="26" t="s">
        <v>1121</v>
      </c>
      <c r="F69" s="26" t="s">
        <v>1122</v>
      </c>
    </row>
    <row r="70">
      <c r="A70" s="26" t="s">
        <v>1162</v>
      </c>
      <c r="B70" s="26" t="s">
        <v>745</v>
      </c>
      <c r="C70" s="27">
        <v>46127.0</v>
      </c>
      <c r="D70" s="27">
        <v>46127.0</v>
      </c>
      <c r="E70" s="26" t="s">
        <v>1121</v>
      </c>
      <c r="F70" s="26" t="s">
        <v>1122</v>
      </c>
    </row>
    <row r="71">
      <c r="A71" s="26" t="s">
        <v>1162</v>
      </c>
      <c r="B71" s="26" t="s">
        <v>745</v>
      </c>
      <c r="C71" s="27">
        <v>46127.0</v>
      </c>
      <c r="D71" s="27">
        <v>46127.0</v>
      </c>
      <c r="E71" s="26" t="s">
        <v>1121</v>
      </c>
      <c r="F71" s="26" t="s">
        <v>1122</v>
      </c>
    </row>
    <row r="72">
      <c r="A72" s="26" t="s">
        <v>1162</v>
      </c>
      <c r="B72" s="26" t="s">
        <v>745</v>
      </c>
      <c r="C72" s="27">
        <v>46127.0</v>
      </c>
      <c r="D72" s="27">
        <v>46127.0</v>
      </c>
      <c r="E72" s="26" t="s">
        <v>1121</v>
      </c>
      <c r="F72" s="26" t="s">
        <v>1122</v>
      </c>
    </row>
    <row r="73">
      <c r="A73" s="26" t="s">
        <v>1163</v>
      </c>
      <c r="B73" s="26" t="s">
        <v>432</v>
      </c>
      <c r="C73" s="27">
        <v>46126.0</v>
      </c>
      <c r="D73" s="27">
        <v>46126.0</v>
      </c>
      <c r="E73" s="26" t="s">
        <v>1121</v>
      </c>
      <c r="F73" s="26" t="s">
        <v>1122</v>
      </c>
    </row>
    <row r="74">
      <c r="A74" s="26" t="s">
        <v>1164</v>
      </c>
      <c r="B74" s="26" t="s">
        <v>435</v>
      </c>
      <c r="C74" s="27">
        <v>46125.0</v>
      </c>
      <c r="D74" s="27">
        <v>46125.0</v>
      </c>
      <c r="E74" s="26" t="s">
        <v>1121</v>
      </c>
      <c r="F74" s="26" t="s">
        <v>1122</v>
      </c>
    </row>
    <row r="75">
      <c r="A75" s="26" t="s">
        <v>1165</v>
      </c>
      <c r="B75" s="26" t="s">
        <v>546</v>
      </c>
      <c r="C75" s="27">
        <v>46125.0</v>
      </c>
      <c r="D75" s="27">
        <v>46125.0</v>
      </c>
      <c r="E75" s="26" t="s">
        <v>1121</v>
      </c>
      <c r="F75" s="26" t="s">
        <v>1122</v>
      </c>
    </row>
    <row r="76">
      <c r="A76" s="26" t="s">
        <v>1165</v>
      </c>
      <c r="B76" s="26" t="s">
        <v>546</v>
      </c>
      <c r="C76" s="27">
        <v>46125.0</v>
      </c>
      <c r="D76" s="27">
        <v>46125.0</v>
      </c>
      <c r="E76" s="26" t="s">
        <v>1121</v>
      </c>
      <c r="F76" s="26" t="s">
        <v>1122</v>
      </c>
    </row>
    <row r="77">
      <c r="A77" s="26" t="s">
        <v>1166</v>
      </c>
      <c r="B77" s="26" t="s">
        <v>467</v>
      </c>
      <c r="C77" s="27">
        <v>46123.0</v>
      </c>
      <c r="D77" s="27">
        <v>46123.0</v>
      </c>
      <c r="E77" s="26" t="s">
        <v>1121</v>
      </c>
      <c r="F77" s="26" t="s">
        <v>1122</v>
      </c>
    </row>
    <row r="78">
      <c r="A78" s="26" t="s">
        <v>1166</v>
      </c>
      <c r="B78" s="26" t="s">
        <v>467</v>
      </c>
      <c r="C78" s="27">
        <v>46123.0</v>
      </c>
      <c r="D78" s="27">
        <v>46123.0</v>
      </c>
      <c r="E78" s="26" t="s">
        <v>1121</v>
      </c>
      <c r="F78" s="26" t="s">
        <v>1122</v>
      </c>
    </row>
    <row r="79">
      <c r="A79" s="26" t="s">
        <v>1167</v>
      </c>
      <c r="B79" s="26" t="s">
        <v>439</v>
      </c>
      <c r="C79" s="27">
        <v>46123.0</v>
      </c>
      <c r="D79" s="27">
        <v>46123.0</v>
      </c>
      <c r="E79" s="26" t="s">
        <v>1121</v>
      </c>
      <c r="F79" s="26" t="s">
        <v>1122</v>
      </c>
    </row>
    <row r="80">
      <c r="A80" s="26" t="s">
        <v>1168</v>
      </c>
      <c r="B80" s="26" t="s">
        <v>717</v>
      </c>
      <c r="C80" s="27">
        <v>46123.0</v>
      </c>
      <c r="D80" s="27">
        <v>46123.0</v>
      </c>
      <c r="E80" s="26" t="s">
        <v>1121</v>
      </c>
      <c r="F80" s="26" t="s">
        <v>1122</v>
      </c>
    </row>
    <row r="81">
      <c r="A81" s="26" t="s">
        <v>1169</v>
      </c>
      <c r="B81" s="26" t="s">
        <v>387</v>
      </c>
      <c r="C81" s="27">
        <v>46121.0</v>
      </c>
      <c r="D81" s="27">
        <v>46121.0</v>
      </c>
      <c r="E81" s="26" t="s">
        <v>1121</v>
      </c>
      <c r="F81" s="26" t="s">
        <v>1122</v>
      </c>
    </row>
    <row r="82">
      <c r="A82" s="26" t="s">
        <v>1169</v>
      </c>
      <c r="B82" s="26" t="s">
        <v>387</v>
      </c>
      <c r="C82" s="27">
        <v>46121.0</v>
      </c>
      <c r="D82" s="27">
        <v>46121.0</v>
      </c>
      <c r="E82" s="26" t="s">
        <v>1121</v>
      </c>
      <c r="F82" s="26" t="s">
        <v>1122</v>
      </c>
    </row>
    <row r="83">
      <c r="A83" s="26" t="s">
        <v>1170</v>
      </c>
      <c r="B83" s="26" t="s">
        <v>432</v>
      </c>
      <c r="C83" s="27">
        <v>46122.0</v>
      </c>
      <c r="D83" s="27">
        <v>46122.0</v>
      </c>
      <c r="E83" s="26" t="s">
        <v>1121</v>
      </c>
      <c r="F83" s="26" t="s">
        <v>1122</v>
      </c>
    </row>
    <row r="84">
      <c r="A84" s="26" t="s">
        <v>1171</v>
      </c>
      <c r="B84" s="26" t="s">
        <v>1172</v>
      </c>
      <c r="C84" s="27">
        <v>46122.0</v>
      </c>
      <c r="D84" s="27">
        <v>46122.0</v>
      </c>
      <c r="E84" s="26" t="s">
        <v>1121</v>
      </c>
      <c r="F84" s="26" t="s">
        <v>1122</v>
      </c>
    </row>
    <row r="85">
      <c r="A85" s="26" t="s">
        <v>1171</v>
      </c>
      <c r="B85" s="26" t="s">
        <v>1172</v>
      </c>
      <c r="C85" s="27">
        <v>46122.0</v>
      </c>
      <c r="D85" s="27">
        <v>46122.0</v>
      </c>
      <c r="E85" s="26" t="s">
        <v>1121</v>
      </c>
      <c r="F85" s="26" t="s">
        <v>1122</v>
      </c>
    </row>
    <row r="86">
      <c r="A86" s="26" t="s">
        <v>1173</v>
      </c>
      <c r="B86" s="26" t="s">
        <v>444</v>
      </c>
      <c r="C86" s="27">
        <v>46122.0</v>
      </c>
      <c r="D86" s="27">
        <v>46122.0</v>
      </c>
      <c r="E86" s="26" t="s">
        <v>1121</v>
      </c>
      <c r="F86" s="26" t="s">
        <v>1122</v>
      </c>
    </row>
    <row r="87">
      <c r="A87" s="26" t="s">
        <v>1173</v>
      </c>
      <c r="B87" s="26" t="s">
        <v>444</v>
      </c>
      <c r="C87" s="27">
        <v>46122.0</v>
      </c>
      <c r="D87" s="27">
        <v>46122.0</v>
      </c>
      <c r="E87" s="26" t="s">
        <v>1121</v>
      </c>
      <c r="F87" s="26" t="s">
        <v>1122</v>
      </c>
    </row>
    <row r="88">
      <c r="A88" s="26" t="s">
        <v>1174</v>
      </c>
      <c r="B88" s="26" t="s">
        <v>546</v>
      </c>
      <c r="C88" s="27">
        <v>46120.0</v>
      </c>
      <c r="D88" s="27">
        <v>46120.0</v>
      </c>
      <c r="E88" s="26" t="s">
        <v>1121</v>
      </c>
      <c r="F88" s="26" t="s">
        <v>1122</v>
      </c>
    </row>
    <row r="89">
      <c r="A89" s="26" t="s">
        <v>1174</v>
      </c>
      <c r="B89" s="26" t="s">
        <v>546</v>
      </c>
      <c r="C89" s="27">
        <v>46120.0</v>
      </c>
      <c r="D89" s="27">
        <v>46120.0</v>
      </c>
      <c r="E89" s="26" t="s">
        <v>1121</v>
      </c>
      <c r="F89" s="26" t="s">
        <v>1122</v>
      </c>
    </row>
    <row r="90">
      <c r="A90" s="26" t="s">
        <v>1174</v>
      </c>
      <c r="B90" s="26" t="s">
        <v>546</v>
      </c>
      <c r="C90" s="27">
        <v>46120.0</v>
      </c>
      <c r="D90" s="27">
        <v>46120.0</v>
      </c>
      <c r="E90" s="26" t="s">
        <v>1121</v>
      </c>
      <c r="F90" s="26" t="s">
        <v>1122</v>
      </c>
    </row>
    <row r="91">
      <c r="A91" s="26" t="s">
        <v>1174</v>
      </c>
      <c r="B91" s="26" t="s">
        <v>546</v>
      </c>
      <c r="C91" s="27">
        <v>46120.0</v>
      </c>
      <c r="D91" s="27">
        <v>46120.0</v>
      </c>
      <c r="E91" s="26" t="s">
        <v>1121</v>
      </c>
      <c r="F91" s="26" t="s">
        <v>1122</v>
      </c>
    </row>
    <row r="92">
      <c r="A92" s="26" t="s">
        <v>1174</v>
      </c>
      <c r="B92" s="26" t="s">
        <v>546</v>
      </c>
      <c r="C92" s="27">
        <v>46120.0</v>
      </c>
      <c r="D92" s="27">
        <v>46120.0</v>
      </c>
      <c r="E92" s="26" t="s">
        <v>1121</v>
      </c>
      <c r="F92" s="26" t="s">
        <v>1122</v>
      </c>
    </row>
    <row r="93">
      <c r="A93" s="26" t="s">
        <v>1175</v>
      </c>
      <c r="B93" s="26" t="s">
        <v>717</v>
      </c>
      <c r="C93" s="27">
        <v>46120.0</v>
      </c>
      <c r="D93" s="27">
        <v>46120.0</v>
      </c>
      <c r="E93" s="26" t="s">
        <v>1121</v>
      </c>
      <c r="F93" s="26" t="s">
        <v>1122</v>
      </c>
    </row>
    <row r="94">
      <c r="A94" s="26" t="s">
        <v>1176</v>
      </c>
      <c r="B94" s="26" t="s">
        <v>704</v>
      </c>
      <c r="C94" s="27">
        <v>46120.0</v>
      </c>
      <c r="D94" s="27">
        <v>46120.0</v>
      </c>
      <c r="E94" s="26" t="s">
        <v>1121</v>
      </c>
      <c r="F94" s="26" t="s">
        <v>1122</v>
      </c>
    </row>
    <row r="95">
      <c r="A95" s="26" t="s">
        <v>1176</v>
      </c>
      <c r="B95" s="26" t="s">
        <v>704</v>
      </c>
      <c r="C95" s="27">
        <v>46120.0</v>
      </c>
      <c r="D95" s="27">
        <v>46120.0</v>
      </c>
      <c r="E95" s="26" t="s">
        <v>1121</v>
      </c>
      <c r="F95" s="26" t="s">
        <v>1122</v>
      </c>
    </row>
    <row r="96">
      <c r="A96" s="26" t="s">
        <v>1176</v>
      </c>
      <c r="B96" s="26" t="s">
        <v>704</v>
      </c>
      <c r="C96" s="27">
        <v>46120.0</v>
      </c>
      <c r="D96" s="27">
        <v>46120.0</v>
      </c>
      <c r="E96" s="26" t="s">
        <v>1121</v>
      </c>
      <c r="F96" s="26" t="s">
        <v>1122</v>
      </c>
    </row>
    <row r="97">
      <c r="A97" s="26" t="s">
        <v>1176</v>
      </c>
      <c r="B97" s="26" t="s">
        <v>704</v>
      </c>
      <c r="C97" s="27">
        <v>46120.0</v>
      </c>
      <c r="D97" s="27">
        <v>46120.0</v>
      </c>
      <c r="E97" s="26" t="s">
        <v>1121</v>
      </c>
      <c r="F97" s="26" t="s">
        <v>1122</v>
      </c>
    </row>
    <row r="98">
      <c r="A98" s="26" t="s">
        <v>1177</v>
      </c>
      <c r="B98" s="26" t="s">
        <v>383</v>
      </c>
      <c r="C98" s="27">
        <v>46120.0</v>
      </c>
      <c r="D98" s="27">
        <v>46120.0</v>
      </c>
      <c r="E98" s="26" t="s">
        <v>1121</v>
      </c>
      <c r="F98" s="26" t="s">
        <v>1122</v>
      </c>
    </row>
    <row r="99">
      <c r="A99" s="26" t="s">
        <v>1178</v>
      </c>
      <c r="B99" s="26" t="s">
        <v>1179</v>
      </c>
      <c r="C99" s="27">
        <v>46120.0</v>
      </c>
      <c r="D99" s="27">
        <v>46120.0</v>
      </c>
      <c r="E99" s="26" t="s">
        <v>1121</v>
      </c>
      <c r="F99" s="26" t="s">
        <v>1122</v>
      </c>
    </row>
    <row r="100">
      <c r="A100" s="26" t="s">
        <v>1180</v>
      </c>
      <c r="B100" s="26" t="s">
        <v>595</v>
      </c>
      <c r="C100" s="27">
        <v>46119.0</v>
      </c>
      <c r="D100" s="27">
        <v>46119.0</v>
      </c>
      <c r="E100" s="26" t="s">
        <v>1121</v>
      </c>
      <c r="F100" s="26" t="s">
        <v>1122</v>
      </c>
    </row>
    <row r="101">
      <c r="A101" s="26" t="s">
        <v>1181</v>
      </c>
      <c r="B101" s="26" t="s">
        <v>361</v>
      </c>
      <c r="C101" s="27">
        <v>46119.0</v>
      </c>
      <c r="D101" s="27">
        <v>46119.0</v>
      </c>
      <c r="E101" s="26" t="s">
        <v>1121</v>
      </c>
      <c r="F101" s="26" t="s">
        <v>1122</v>
      </c>
    </row>
    <row r="102">
      <c r="A102" s="26" t="s">
        <v>1181</v>
      </c>
      <c r="B102" s="26" t="s">
        <v>361</v>
      </c>
      <c r="C102" s="27">
        <v>46119.0</v>
      </c>
      <c r="D102" s="27">
        <v>46119.0</v>
      </c>
      <c r="E102" s="26" t="s">
        <v>1121</v>
      </c>
      <c r="F102" s="26" t="s">
        <v>1122</v>
      </c>
    </row>
    <row r="103">
      <c r="A103" s="26" t="s">
        <v>1182</v>
      </c>
      <c r="B103" s="26" t="s">
        <v>731</v>
      </c>
      <c r="C103" s="27">
        <v>46118.0</v>
      </c>
      <c r="D103" s="27">
        <v>46118.0</v>
      </c>
      <c r="E103" s="26" t="s">
        <v>1121</v>
      </c>
      <c r="F103" s="26" t="s">
        <v>1122</v>
      </c>
    </row>
    <row r="104">
      <c r="A104" s="26" t="s">
        <v>1182</v>
      </c>
      <c r="B104" s="26" t="s">
        <v>731</v>
      </c>
      <c r="C104" s="27">
        <v>46118.0</v>
      </c>
      <c r="D104" s="27">
        <v>46118.0</v>
      </c>
      <c r="E104" s="26" t="s">
        <v>1121</v>
      </c>
      <c r="F104" s="26" t="s">
        <v>1122</v>
      </c>
    </row>
    <row r="105">
      <c r="A105" s="26" t="s">
        <v>1182</v>
      </c>
      <c r="B105" s="26" t="s">
        <v>731</v>
      </c>
      <c r="C105" s="27">
        <v>46118.0</v>
      </c>
      <c r="D105" s="27">
        <v>46118.0</v>
      </c>
      <c r="E105" s="26" t="s">
        <v>1121</v>
      </c>
      <c r="F105" s="26" t="s">
        <v>1122</v>
      </c>
    </row>
    <row r="106">
      <c r="A106" s="26" t="s">
        <v>1182</v>
      </c>
      <c r="B106" s="26" t="s">
        <v>731</v>
      </c>
      <c r="C106" s="27">
        <v>46118.0</v>
      </c>
      <c r="D106" s="27">
        <v>46118.0</v>
      </c>
      <c r="E106" s="26" t="s">
        <v>1121</v>
      </c>
      <c r="F106" s="26" t="s">
        <v>1122</v>
      </c>
    </row>
    <row r="107">
      <c r="A107" s="26" t="s">
        <v>1182</v>
      </c>
      <c r="B107" s="26" t="s">
        <v>731</v>
      </c>
      <c r="C107" s="27">
        <v>46118.0</v>
      </c>
      <c r="D107" s="27">
        <v>46118.0</v>
      </c>
      <c r="E107" s="26" t="s">
        <v>1121</v>
      </c>
      <c r="F107" s="26" t="s">
        <v>1122</v>
      </c>
    </row>
    <row r="108">
      <c r="A108" s="26" t="s">
        <v>1182</v>
      </c>
      <c r="B108" s="26" t="s">
        <v>731</v>
      </c>
      <c r="C108" s="27">
        <v>46118.0</v>
      </c>
      <c r="D108" s="27">
        <v>46118.0</v>
      </c>
      <c r="E108" s="26" t="s">
        <v>1121</v>
      </c>
      <c r="F108" s="26" t="s">
        <v>1122</v>
      </c>
    </row>
    <row r="109">
      <c r="A109" s="26" t="s">
        <v>1183</v>
      </c>
      <c r="B109" s="26" t="s">
        <v>542</v>
      </c>
      <c r="C109" s="27">
        <v>46118.0</v>
      </c>
      <c r="D109" s="27">
        <v>46118.0</v>
      </c>
      <c r="E109" s="26" t="s">
        <v>1121</v>
      </c>
      <c r="F109" s="26" t="s">
        <v>1122</v>
      </c>
    </row>
    <row r="110">
      <c r="A110" s="26" t="s">
        <v>1184</v>
      </c>
      <c r="B110" s="26" t="s">
        <v>467</v>
      </c>
      <c r="C110" s="27">
        <v>46118.0</v>
      </c>
      <c r="D110" s="27">
        <v>46118.0</v>
      </c>
      <c r="E110" s="26" t="s">
        <v>1121</v>
      </c>
      <c r="F110" s="26" t="s">
        <v>1122</v>
      </c>
    </row>
    <row r="111">
      <c r="A111" s="26" t="s">
        <v>1184</v>
      </c>
      <c r="B111" s="26" t="s">
        <v>467</v>
      </c>
      <c r="C111" s="27">
        <v>46118.0</v>
      </c>
      <c r="D111" s="27">
        <v>46118.0</v>
      </c>
      <c r="E111" s="26" t="s">
        <v>1121</v>
      </c>
      <c r="F111" s="26" t="s">
        <v>1122</v>
      </c>
    </row>
    <row r="112">
      <c r="A112" s="26" t="s">
        <v>1185</v>
      </c>
      <c r="B112" s="26" t="s">
        <v>483</v>
      </c>
      <c r="C112" s="27">
        <v>46118.0</v>
      </c>
      <c r="D112" s="27">
        <v>46118.0</v>
      </c>
      <c r="E112" s="26" t="s">
        <v>1121</v>
      </c>
      <c r="F112" s="26" t="s">
        <v>1122</v>
      </c>
    </row>
    <row r="113">
      <c r="A113" s="26" t="s">
        <v>1186</v>
      </c>
      <c r="B113" s="26" t="s">
        <v>726</v>
      </c>
      <c r="C113" s="27">
        <v>46118.0</v>
      </c>
      <c r="D113" s="27">
        <v>46118.0</v>
      </c>
      <c r="E113" s="26" t="s">
        <v>1121</v>
      </c>
      <c r="F113" s="26" t="s">
        <v>1122</v>
      </c>
    </row>
    <row r="114">
      <c r="A114" s="26" t="s">
        <v>1187</v>
      </c>
      <c r="B114" s="26" t="s">
        <v>546</v>
      </c>
      <c r="C114" s="27">
        <v>46118.0</v>
      </c>
      <c r="D114" s="27">
        <v>46118.0</v>
      </c>
      <c r="E114" s="26" t="s">
        <v>1121</v>
      </c>
      <c r="F114" s="26" t="s">
        <v>1122</v>
      </c>
    </row>
    <row r="115">
      <c r="A115" s="26" t="s">
        <v>1188</v>
      </c>
      <c r="B115" s="26" t="s">
        <v>444</v>
      </c>
      <c r="C115" s="27">
        <v>46118.0</v>
      </c>
      <c r="D115" s="27">
        <v>46118.0</v>
      </c>
      <c r="E115" s="26" t="s">
        <v>1121</v>
      </c>
      <c r="F115" s="26" t="s">
        <v>1122</v>
      </c>
    </row>
    <row r="116">
      <c r="A116" s="26" t="s">
        <v>1189</v>
      </c>
      <c r="B116" s="26" t="s">
        <v>1190</v>
      </c>
      <c r="C116" s="27">
        <v>46118.0</v>
      </c>
      <c r="D116" s="27">
        <v>46118.0</v>
      </c>
      <c r="E116" s="26" t="s">
        <v>1121</v>
      </c>
      <c r="F116" s="26" t="s">
        <v>1122</v>
      </c>
    </row>
    <row r="117">
      <c r="A117" s="26" t="s">
        <v>1189</v>
      </c>
      <c r="B117" s="26" t="s">
        <v>1190</v>
      </c>
      <c r="C117" s="27">
        <v>46118.0</v>
      </c>
      <c r="D117" s="27">
        <v>46118.0</v>
      </c>
      <c r="E117" s="26" t="s">
        <v>1121</v>
      </c>
      <c r="F117" s="26" t="s">
        <v>1122</v>
      </c>
    </row>
    <row r="118">
      <c r="A118" s="26" t="s">
        <v>1189</v>
      </c>
      <c r="B118" s="26" t="s">
        <v>1190</v>
      </c>
      <c r="C118" s="27">
        <v>46118.0</v>
      </c>
      <c r="D118" s="27">
        <v>46118.0</v>
      </c>
      <c r="E118" s="26" t="s">
        <v>1121</v>
      </c>
      <c r="F118" s="26" t="s">
        <v>1122</v>
      </c>
    </row>
    <row r="119">
      <c r="A119" s="26" t="s">
        <v>1189</v>
      </c>
      <c r="B119" s="26" t="s">
        <v>1190</v>
      </c>
      <c r="C119" s="27">
        <v>46118.0</v>
      </c>
      <c r="D119" s="27">
        <v>46118.0</v>
      </c>
      <c r="E119" s="26" t="s">
        <v>1121</v>
      </c>
      <c r="F119" s="26" t="s">
        <v>1122</v>
      </c>
    </row>
    <row r="120">
      <c r="A120" s="26" t="s">
        <v>1189</v>
      </c>
      <c r="B120" s="26" t="s">
        <v>1190</v>
      </c>
      <c r="C120" s="27">
        <v>46118.0</v>
      </c>
      <c r="D120" s="27">
        <v>46118.0</v>
      </c>
      <c r="E120" s="26" t="s">
        <v>1121</v>
      </c>
      <c r="F120" s="26" t="s">
        <v>1122</v>
      </c>
    </row>
    <row r="121">
      <c r="A121" s="26" t="s">
        <v>1189</v>
      </c>
      <c r="B121" s="26" t="s">
        <v>1190</v>
      </c>
      <c r="C121" s="27">
        <v>46118.0</v>
      </c>
      <c r="D121" s="27">
        <v>46118.0</v>
      </c>
      <c r="E121" s="26" t="s">
        <v>1121</v>
      </c>
      <c r="F121" s="26" t="s">
        <v>1122</v>
      </c>
    </row>
    <row r="122">
      <c r="A122" s="26" t="s">
        <v>1191</v>
      </c>
      <c r="B122" s="26" t="s">
        <v>717</v>
      </c>
      <c r="C122" s="27">
        <v>46116.0</v>
      </c>
      <c r="D122" s="27">
        <v>46116.0</v>
      </c>
      <c r="E122" s="26" t="s">
        <v>1121</v>
      </c>
      <c r="F122" s="26" t="s">
        <v>1122</v>
      </c>
    </row>
    <row r="123">
      <c r="A123" s="26" t="s">
        <v>1192</v>
      </c>
      <c r="B123" s="26" t="s">
        <v>428</v>
      </c>
      <c r="C123" s="27">
        <v>46116.0</v>
      </c>
      <c r="D123" s="27">
        <v>46116.0</v>
      </c>
      <c r="E123" s="26" t="s">
        <v>1121</v>
      </c>
      <c r="F123" s="26" t="s">
        <v>1122</v>
      </c>
    </row>
    <row r="124">
      <c r="A124" s="26" t="s">
        <v>1193</v>
      </c>
      <c r="B124" s="26" t="s">
        <v>432</v>
      </c>
      <c r="C124" s="27">
        <v>46116.0</v>
      </c>
      <c r="D124" s="27">
        <v>46116.0</v>
      </c>
      <c r="E124" s="26" t="s">
        <v>1121</v>
      </c>
      <c r="F124" s="26" t="s">
        <v>1122</v>
      </c>
    </row>
    <row r="125">
      <c r="A125" s="26" t="s">
        <v>1194</v>
      </c>
      <c r="B125" s="26" t="s">
        <v>458</v>
      </c>
      <c r="C125" s="27">
        <v>46116.0</v>
      </c>
      <c r="D125" s="27">
        <v>46116.0</v>
      </c>
      <c r="E125" s="26" t="s">
        <v>1121</v>
      </c>
      <c r="F125" s="26" t="s">
        <v>1122</v>
      </c>
    </row>
    <row r="126">
      <c r="A126" s="26" t="s">
        <v>1195</v>
      </c>
      <c r="B126" s="26" t="s">
        <v>739</v>
      </c>
      <c r="C126" s="27">
        <v>46116.0</v>
      </c>
      <c r="D126" s="27">
        <v>46116.0</v>
      </c>
      <c r="E126" s="26" t="s">
        <v>1121</v>
      </c>
      <c r="F126" s="26" t="s">
        <v>1122</v>
      </c>
    </row>
    <row r="127">
      <c r="A127" s="26" t="s">
        <v>1196</v>
      </c>
      <c r="B127" s="26" t="s">
        <v>483</v>
      </c>
      <c r="C127" s="27">
        <v>46116.0</v>
      </c>
      <c r="D127" s="27">
        <v>46116.0</v>
      </c>
      <c r="E127" s="26" t="s">
        <v>1121</v>
      </c>
      <c r="F127" s="26" t="s">
        <v>1122</v>
      </c>
    </row>
    <row r="128">
      <c r="A128" s="26" t="s">
        <v>1197</v>
      </c>
      <c r="B128" s="26" t="s">
        <v>444</v>
      </c>
      <c r="C128" s="27">
        <v>46116.0</v>
      </c>
      <c r="D128" s="27">
        <v>46116.0</v>
      </c>
      <c r="E128" s="26" t="s">
        <v>1121</v>
      </c>
      <c r="F128" s="26" t="s">
        <v>1122</v>
      </c>
    </row>
    <row r="129">
      <c r="A129" s="26" t="s">
        <v>1198</v>
      </c>
      <c r="B129" s="26" t="s">
        <v>546</v>
      </c>
      <c r="C129" s="27">
        <v>46115.0</v>
      </c>
      <c r="D129" s="27">
        <v>46115.0</v>
      </c>
      <c r="E129" s="26" t="s">
        <v>1121</v>
      </c>
      <c r="F129" s="26" t="s">
        <v>1122</v>
      </c>
    </row>
    <row r="130">
      <c r="A130" s="26" t="s">
        <v>1198</v>
      </c>
      <c r="B130" s="26" t="s">
        <v>546</v>
      </c>
      <c r="C130" s="27">
        <v>46115.0</v>
      </c>
      <c r="D130" s="27">
        <v>46115.0</v>
      </c>
      <c r="E130" s="26" t="s">
        <v>1121</v>
      </c>
      <c r="F130" s="26" t="s">
        <v>1122</v>
      </c>
    </row>
    <row r="131">
      <c r="A131" s="26" t="s">
        <v>1199</v>
      </c>
      <c r="B131" s="26" t="s">
        <v>497</v>
      </c>
      <c r="C131" s="27">
        <v>46112.0</v>
      </c>
      <c r="D131" s="27">
        <v>46112.0</v>
      </c>
      <c r="E131" s="26" t="s">
        <v>1121</v>
      </c>
      <c r="F131" s="26" t="s">
        <v>1200</v>
      </c>
    </row>
    <row r="132">
      <c r="A132" s="26" t="s">
        <v>1201</v>
      </c>
      <c r="B132" s="26" t="s">
        <v>717</v>
      </c>
      <c r="C132" s="27">
        <v>46112.0</v>
      </c>
      <c r="D132" s="27">
        <v>46112.0</v>
      </c>
      <c r="E132" s="26" t="s">
        <v>1121</v>
      </c>
      <c r="F132" s="26" t="s">
        <v>1200</v>
      </c>
    </row>
    <row r="133">
      <c r="A133" s="26" t="s">
        <v>1202</v>
      </c>
      <c r="B133" s="26" t="s">
        <v>717</v>
      </c>
      <c r="C133" s="27">
        <v>46111.0</v>
      </c>
      <c r="D133" s="27">
        <v>46111.0</v>
      </c>
      <c r="E133" s="26" t="s">
        <v>1121</v>
      </c>
      <c r="F133" s="26" t="s">
        <v>1200</v>
      </c>
    </row>
    <row r="134">
      <c r="A134" s="26" t="s">
        <v>1203</v>
      </c>
      <c r="B134" s="26" t="s">
        <v>739</v>
      </c>
      <c r="C134" s="27">
        <v>46111.0</v>
      </c>
      <c r="D134" s="27">
        <v>46111.0</v>
      </c>
      <c r="E134" s="26" t="s">
        <v>1121</v>
      </c>
      <c r="F134" s="26" t="s">
        <v>1200</v>
      </c>
    </row>
    <row r="135">
      <c r="A135" s="26" t="s">
        <v>1204</v>
      </c>
      <c r="B135" s="26" t="s">
        <v>546</v>
      </c>
      <c r="C135" s="27">
        <v>46111.0</v>
      </c>
      <c r="D135" s="27">
        <v>46111.0</v>
      </c>
      <c r="E135" s="26" t="s">
        <v>1121</v>
      </c>
      <c r="F135" s="26" t="s">
        <v>1200</v>
      </c>
    </row>
    <row r="136">
      <c r="A136" s="26" t="s">
        <v>1204</v>
      </c>
      <c r="B136" s="26" t="s">
        <v>546</v>
      </c>
      <c r="C136" s="27">
        <v>46111.0</v>
      </c>
      <c r="D136" s="27">
        <v>46111.0</v>
      </c>
      <c r="E136" s="26" t="s">
        <v>1121</v>
      </c>
      <c r="F136" s="26" t="s">
        <v>1200</v>
      </c>
    </row>
    <row r="137">
      <c r="A137" s="26" t="s">
        <v>1205</v>
      </c>
      <c r="B137" s="26" t="s">
        <v>745</v>
      </c>
      <c r="C137" s="27">
        <v>46118.0</v>
      </c>
      <c r="D137" s="27">
        <v>46118.0</v>
      </c>
      <c r="E137" s="26" t="s">
        <v>1121</v>
      </c>
      <c r="F137" s="26" t="s">
        <v>1200</v>
      </c>
    </row>
    <row r="138">
      <c r="A138" s="26" t="s">
        <v>1205</v>
      </c>
      <c r="B138" s="26" t="s">
        <v>745</v>
      </c>
      <c r="C138" s="27">
        <v>46118.0</v>
      </c>
      <c r="D138" s="27">
        <v>46118.0</v>
      </c>
      <c r="E138" s="26" t="s">
        <v>1121</v>
      </c>
      <c r="F138" s="26" t="s">
        <v>1200</v>
      </c>
    </row>
    <row r="139">
      <c r="A139" s="26" t="s">
        <v>1205</v>
      </c>
      <c r="B139" s="26" t="s">
        <v>745</v>
      </c>
      <c r="C139" s="27">
        <v>46118.0</v>
      </c>
      <c r="D139" s="27">
        <v>46118.0</v>
      </c>
      <c r="E139" s="26" t="s">
        <v>1121</v>
      </c>
      <c r="F139" s="26" t="s">
        <v>1200</v>
      </c>
    </row>
    <row r="140">
      <c r="A140" s="26" t="s">
        <v>1205</v>
      </c>
      <c r="B140" s="26" t="s">
        <v>745</v>
      </c>
      <c r="C140" s="27">
        <v>46118.0</v>
      </c>
      <c r="D140" s="27">
        <v>46118.0</v>
      </c>
      <c r="E140" s="26" t="s">
        <v>1121</v>
      </c>
      <c r="F140" s="26" t="s">
        <v>1200</v>
      </c>
    </row>
    <row r="141">
      <c r="A141" s="26" t="s">
        <v>1205</v>
      </c>
      <c r="B141" s="26" t="s">
        <v>745</v>
      </c>
      <c r="C141" s="27">
        <v>46118.0</v>
      </c>
      <c r="D141" s="27">
        <v>46118.0</v>
      </c>
      <c r="E141" s="26" t="s">
        <v>1121</v>
      </c>
      <c r="F141" s="26" t="s">
        <v>1200</v>
      </c>
    </row>
    <row r="142">
      <c r="A142" s="26" t="s">
        <v>1205</v>
      </c>
      <c r="B142" s="26" t="s">
        <v>745</v>
      </c>
      <c r="C142" s="27">
        <v>46118.0</v>
      </c>
      <c r="D142" s="27">
        <v>46118.0</v>
      </c>
      <c r="E142" s="26" t="s">
        <v>1121</v>
      </c>
      <c r="F142" s="26" t="s">
        <v>1200</v>
      </c>
    </row>
    <row r="143">
      <c r="A143" s="26" t="s">
        <v>1206</v>
      </c>
      <c r="B143" s="26" t="s">
        <v>574</v>
      </c>
      <c r="C143" s="27">
        <v>46109.0</v>
      </c>
      <c r="D143" s="27">
        <v>46109.0</v>
      </c>
      <c r="E143" s="26" t="s">
        <v>1121</v>
      </c>
      <c r="F143" s="26" t="s">
        <v>1200</v>
      </c>
    </row>
    <row r="144">
      <c r="A144" s="26" t="s">
        <v>1207</v>
      </c>
      <c r="B144" s="26" t="s">
        <v>546</v>
      </c>
      <c r="C144" s="27">
        <v>46109.0</v>
      </c>
      <c r="D144" s="27">
        <v>46109.0</v>
      </c>
      <c r="E144" s="26" t="s">
        <v>1121</v>
      </c>
      <c r="F144" s="26" t="s">
        <v>1200</v>
      </c>
    </row>
    <row r="145">
      <c r="A145" s="26" t="s">
        <v>1208</v>
      </c>
      <c r="B145" s="26" t="s">
        <v>512</v>
      </c>
      <c r="C145" s="27">
        <v>46108.0</v>
      </c>
      <c r="D145" s="27">
        <v>46108.0</v>
      </c>
      <c r="E145" s="26" t="s">
        <v>1121</v>
      </c>
      <c r="F145" s="26" t="s">
        <v>1200</v>
      </c>
    </row>
    <row r="146">
      <c r="A146" s="26" t="s">
        <v>1209</v>
      </c>
      <c r="B146" s="26" t="s">
        <v>516</v>
      </c>
      <c r="C146" s="27">
        <v>46108.0</v>
      </c>
      <c r="D146" s="27">
        <v>46108.0</v>
      </c>
      <c r="E146" s="26" t="s">
        <v>1121</v>
      </c>
      <c r="F146" s="26" t="s">
        <v>1200</v>
      </c>
    </row>
    <row r="147">
      <c r="A147" s="26" t="s">
        <v>1209</v>
      </c>
      <c r="B147" s="26" t="s">
        <v>516</v>
      </c>
      <c r="C147" s="27">
        <v>46108.0</v>
      </c>
      <c r="D147" s="27">
        <v>46108.0</v>
      </c>
      <c r="E147" s="26" t="s">
        <v>1121</v>
      </c>
      <c r="F147" s="26" t="s">
        <v>1200</v>
      </c>
    </row>
    <row r="148">
      <c r="A148" s="26" t="s">
        <v>1209</v>
      </c>
      <c r="B148" s="26" t="s">
        <v>516</v>
      </c>
      <c r="C148" s="27">
        <v>46108.0</v>
      </c>
      <c r="D148" s="27">
        <v>46108.0</v>
      </c>
      <c r="E148" s="26" t="s">
        <v>1121</v>
      </c>
      <c r="F148" s="26" t="s">
        <v>1200</v>
      </c>
    </row>
    <row r="149">
      <c r="A149" s="26" t="s">
        <v>1210</v>
      </c>
      <c r="B149" s="26" t="s">
        <v>668</v>
      </c>
      <c r="C149" s="27">
        <v>46108.0</v>
      </c>
      <c r="D149" s="27">
        <v>46108.0</v>
      </c>
      <c r="E149" s="26" t="s">
        <v>1121</v>
      </c>
      <c r="F149" s="26" t="s">
        <v>1200</v>
      </c>
    </row>
    <row r="150">
      <c r="A150" s="26" t="s">
        <v>1211</v>
      </c>
      <c r="B150" s="26" t="s">
        <v>546</v>
      </c>
      <c r="C150" s="27">
        <v>46106.0</v>
      </c>
      <c r="D150" s="27">
        <v>46106.0</v>
      </c>
      <c r="E150" s="26" t="s">
        <v>1121</v>
      </c>
      <c r="F150" s="26" t="s">
        <v>1200</v>
      </c>
    </row>
    <row r="151">
      <c r="A151" s="26" t="s">
        <v>1211</v>
      </c>
      <c r="B151" s="26" t="s">
        <v>546</v>
      </c>
      <c r="C151" s="27">
        <v>46106.0</v>
      </c>
      <c r="D151" s="27">
        <v>46106.0</v>
      </c>
      <c r="E151" s="26" t="s">
        <v>1121</v>
      </c>
      <c r="F151" s="26" t="s">
        <v>1200</v>
      </c>
    </row>
    <row r="152">
      <c r="A152" s="26" t="s">
        <v>1212</v>
      </c>
      <c r="B152" s="26" t="s">
        <v>717</v>
      </c>
      <c r="C152" s="27">
        <v>46106.0</v>
      </c>
      <c r="D152" s="27">
        <v>46106.0</v>
      </c>
      <c r="E152" s="26" t="s">
        <v>1121</v>
      </c>
      <c r="F152" s="26" t="s">
        <v>1200</v>
      </c>
    </row>
    <row r="153">
      <c r="A153" s="26" t="s">
        <v>1213</v>
      </c>
      <c r="B153" s="26" t="s">
        <v>444</v>
      </c>
      <c r="C153" s="27">
        <v>46106.0</v>
      </c>
      <c r="D153" s="27">
        <v>46106.0</v>
      </c>
      <c r="E153" s="26" t="s">
        <v>1121</v>
      </c>
      <c r="F153" s="26" t="s">
        <v>1200</v>
      </c>
    </row>
    <row r="154">
      <c r="A154" s="26" t="s">
        <v>1213</v>
      </c>
      <c r="B154" s="26" t="s">
        <v>444</v>
      </c>
      <c r="C154" s="27">
        <v>46106.0</v>
      </c>
      <c r="D154" s="27">
        <v>46106.0</v>
      </c>
      <c r="E154" s="26" t="s">
        <v>1121</v>
      </c>
      <c r="F154" s="26" t="s">
        <v>1200</v>
      </c>
    </row>
    <row r="155">
      <c r="A155" s="26" t="s">
        <v>1214</v>
      </c>
      <c r="B155" s="26" t="s">
        <v>483</v>
      </c>
      <c r="C155" s="27">
        <v>46106.0</v>
      </c>
      <c r="D155" s="27">
        <v>46106.0</v>
      </c>
      <c r="E155" s="26" t="s">
        <v>1121</v>
      </c>
      <c r="F155" s="26" t="s">
        <v>1200</v>
      </c>
    </row>
    <row r="156">
      <c r="A156" s="26" t="s">
        <v>1215</v>
      </c>
      <c r="B156" s="26" t="s">
        <v>448</v>
      </c>
      <c r="C156" s="27">
        <v>46106.0</v>
      </c>
      <c r="D156" s="27">
        <v>46106.0</v>
      </c>
      <c r="E156" s="26" t="s">
        <v>1121</v>
      </c>
      <c r="F156" s="26" t="s">
        <v>1200</v>
      </c>
    </row>
    <row r="157">
      <c r="A157" s="26" t="s">
        <v>1216</v>
      </c>
      <c r="B157" s="26" t="s">
        <v>595</v>
      </c>
      <c r="C157" s="27">
        <v>46106.0</v>
      </c>
      <c r="D157" s="27">
        <v>46106.0</v>
      </c>
      <c r="E157" s="26" t="s">
        <v>1121</v>
      </c>
      <c r="F157" s="26" t="s">
        <v>1200</v>
      </c>
    </row>
    <row r="158">
      <c r="A158" s="26" t="s">
        <v>1217</v>
      </c>
      <c r="B158" s="26" t="s">
        <v>467</v>
      </c>
      <c r="C158" s="27">
        <v>46105.0</v>
      </c>
      <c r="D158" s="27">
        <v>46105.0</v>
      </c>
      <c r="E158" s="26" t="s">
        <v>1121</v>
      </c>
      <c r="F158" s="26" t="s">
        <v>1200</v>
      </c>
    </row>
    <row r="159">
      <c r="A159" s="26" t="s">
        <v>1218</v>
      </c>
      <c r="B159" s="26" t="s">
        <v>546</v>
      </c>
      <c r="C159" s="27">
        <v>46104.0</v>
      </c>
      <c r="D159" s="27">
        <v>46104.0</v>
      </c>
      <c r="E159" s="26" t="s">
        <v>1121</v>
      </c>
      <c r="F159" s="26" t="s">
        <v>1200</v>
      </c>
    </row>
    <row r="160">
      <c r="A160" s="26" t="s">
        <v>1218</v>
      </c>
      <c r="B160" s="26" t="s">
        <v>546</v>
      </c>
      <c r="C160" s="27">
        <v>46104.0</v>
      </c>
      <c r="D160" s="27">
        <v>46104.0</v>
      </c>
      <c r="E160" s="26" t="s">
        <v>1121</v>
      </c>
      <c r="F160" s="26" t="s">
        <v>1200</v>
      </c>
    </row>
    <row r="161">
      <c r="A161" s="26" t="s">
        <v>1219</v>
      </c>
      <c r="B161" s="26" t="s">
        <v>497</v>
      </c>
      <c r="C161" s="27">
        <v>46104.0</v>
      </c>
      <c r="D161" s="27">
        <v>46104.0</v>
      </c>
      <c r="E161" s="26" t="s">
        <v>1121</v>
      </c>
      <c r="F161" s="26" t="s">
        <v>1200</v>
      </c>
    </row>
    <row r="162">
      <c r="A162" s="26" t="s">
        <v>1220</v>
      </c>
      <c r="B162" s="26" t="s">
        <v>505</v>
      </c>
      <c r="C162" s="27">
        <v>46104.0</v>
      </c>
      <c r="D162" s="27">
        <v>46104.0</v>
      </c>
      <c r="E162" s="26" t="s">
        <v>1121</v>
      </c>
      <c r="F162" s="26" t="s">
        <v>1200</v>
      </c>
    </row>
    <row r="163">
      <c r="A163" s="26" t="s">
        <v>1221</v>
      </c>
      <c r="B163" s="26" t="s">
        <v>472</v>
      </c>
      <c r="C163" s="27">
        <v>46105.0</v>
      </c>
      <c r="D163" s="27">
        <v>46105.0</v>
      </c>
      <c r="E163" s="26" t="s">
        <v>1121</v>
      </c>
      <c r="F163" s="26" t="s">
        <v>1200</v>
      </c>
    </row>
    <row r="164">
      <c r="A164" s="26" t="s">
        <v>1221</v>
      </c>
      <c r="B164" s="26" t="s">
        <v>472</v>
      </c>
      <c r="C164" s="27">
        <v>46105.0</v>
      </c>
      <c r="D164" s="27">
        <v>46105.0</v>
      </c>
      <c r="E164" s="26" t="s">
        <v>1121</v>
      </c>
      <c r="F164" s="26" t="s">
        <v>1200</v>
      </c>
    </row>
    <row r="165">
      <c r="A165" s="26" t="s">
        <v>1222</v>
      </c>
      <c r="B165" s="26" t="s">
        <v>435</v>
      </c>
      <c r="C165" s="27">
        <v>46105.0</v>
      </c>
      <c r="D165" s="27">
        <v>46105.0</v>
      </c>
      <c r="E165" s="26" t="s">
        <v>1121</v>
      </c>
      <c r="F165" s="26" t="s">
        <v>1200</v>
      </c>
    </row>
    <row r="166">
      <c r="A166" s="26" t="s">
        <v>1223</v>
      </c>
      <c r="B166" s="26" t="s">
        <v>432</v>
      </c>
      <c r="C166" s="27">
        <v>46105.0</v>
      </c>
      <c r="D166" s="27">
        <v>46105.0</v>
      </c>
      <c r="E166" s="26" t="s">
        <v>1121</v>
      </c>
      <c r="F166" s="26" t="s">
        <v>1200</v>
      </c>
    </row>
    <row r="167">
      <c r="A167" s="26" t="s">
        <v>1224</v>
      </c>
      <c r="B167" s="26" t="s">
        <v>731</v>
      </c>
      <c r="C167" s="27">
        <v>46109.0</v>
      </c>
      <c r="D167" s="27">
        <v>46109.0</v>
      </c>
      <c r="E167" s="26" t="s">
        <v>1121</v>
      </c>
      <c r="F167" s="26" t="s">
        <v>1200</v>
      </c>
    </row>
    <row r="168">
      <c r="A168" s="26" t="s">
        <v>1224</v>
      </c>
      <c r="B168" s="26" t="s">
        <v>731</v>
      </c>
      <c r="C168" s="27">
        <v>46109.0</v>
      </c>
      <c r="D168" s="27">
        <v>46109.0</v>
      </c>
      <c r="E168" s="26" t="s">
        <v>1121</v>
      </c>
      <c r="F168" s="26" t="s">
        <v>1200</v>
      </c>
    </row>
    <row r="169">
      <c r="A169" s="26" t="s">
        <v>1224</v>
      </c>
      <c r="B169" s="26" t="s">
        <v>731</v>
      </c>
      <c r="C169" s="27">
        <v>46109.0</v>
      </c>
      <c r="D169" s="27">
        <v>46109.0</v>
      </c>
      <c r="E169" s="26" t="s">
        <v>1121</v>
      </c>
      <c r="F169" s="26" t="s">
        <v>1200</v>
      </c>
    </row>
    <row r="170">
      <c r="A170" s="26" t="s">
        <v>1224</v>
      </c>
      <c r="B170" s="26" t="s">
        <v>731</v>
      </c>
      <c r="C170" s="27">
        <v>46109.0</v>
      </c>
      <c r="D170" s="27">
        <v>46109.0</v>
      </c>
      <c r="E170" s="26" t="s">
        <v>1121</v>
      </c>
      <c r="F170" s="26" t="s">
        <v>1200</v>
      </c>
    </row>
    <row r="171">
      <c r="A171" s="26" t="s">
        <v>1225</v>
      </c>
      <c r="B171" s="26" t="s">
        <v>1226</v>
      </c>
      <c r="C171" s="27">
        <v>46109.0</v>
      </c>
      <c r="D171" s="27">
        <v>46109.0</v>
      </c>
      <c r="E171" s="26" t="s">
        <v>1121</v>
      </c>
      <c r="F171" s="26" t="s">
        <v>1200</v>
      </c>
    </row>
    <row r="172">
      <c r="A172" s="26" t="s">
        <v>1225</v>
      </c>
      <c r="B172" s="26" t="s">
        <v>1226</v>
      </c>
      <c r="C172" s="27">
        <v>46109.0</v>
      </c>
      <c r="D172" s="27">
        <v>46109.0</v>
      </c>
      <c r="E172" s="26" t="s">
        <v>1121</v>
      </c>
      <c r="F172" s="26" t="s">
        <v>1200</v>
      </c>
    </row>
    <row r="173">
      <c r="A173" s="26" t="s">
        <v>1225</v>
      </c>
      <c r="B173" s="26" t="s">
        <v>1226</v>
      </c>
      <c r="C173" s="27">
        <v>46109.0</v>
      </c>
      <c r="D173" s="27">
        <v>46109.0</v>
      </c>
      <c r="E173" s="26" t="s">
        <v>1121</v>
      </c>
      <c r="F173" s="26" t="s">
        <v>1200</v>
      </c>
    </row>
    <row r="174">
      <c r="A174" s="26" t="s">
        <v>1225</v>
      </c>
      <c r="B174" s="26" t="s">
        <v>1226</v>
      </c>
      <c r="C174" s="27">
        <v>46109.0</v>
      </c>
      <c r="D174" s="27">
        <v>46109.0</v>
      </c>
      <c r="E174" s="26" t="s">
        <v>1121</v>
      </c>
      <c r="F174" s="26" t="s">
        <v>1200</v>
      </c>
    </row>
    <row r="175">
      <c r="A175" s="26" t="s">
        <v>1227</v>
      </c>
      <c r="B175" s="26" t="s">
        <v>726</v>
      </c>
      <c r="C175" s="27">
        <v>46108.0</v>
      </c>
      <c r="D175" s="27">
        <v>46108.0</v>
      </c>
      <c r="E175" s="26" t="s">
        <v>1121</v>
      </c>
      <c r="F175" s="26" t="s">
        <v>1200</v>
      </c>
    </row>
    <row r="176">
      <c r="A176" s="26" t="s">
        <v>1227</v>
      </c>
      <c r="B176" s="26" t="s">
        <v>726</v>
      </c>
      <c r="C176" s="27">
        <v>46108.0</v>
      </c>
      <c r="D176" s="27">
        <v>46108.0</v>
      </c>
      <c r="E176" s="26" t="s">
        <v>1121</v>
      </c>
      <c r="F176" s="26" t="s">
        <v>1200</v>
      </c>
    </row>
    <row r="177">
      <c r="A177" s="26" t="s">
        <v>1227</v>
      </c>
      <c r="B177" s="26" t="s">
        <v>726</v>
      </c>
      <c r="C177" s="27">
        <v>46108.0</v>
      </c>
      <c r="D177" s="27">
        <v>46108.0</v>
      </c>
      <c r="E177" s="26" t="s">
        <v>1121</v>
      </c>
      <c r="F177" s="26" t="s">
        <v>1200</v>
      </c>
    </row>
    <row r="178">
      <c r="A178" s="26" t="s">
        <v>1227</v>
      </c>
      <c r="B178" s="26" t="s">
        <v>726</v>
      </c>
      <c r="C178" s="27">
        <v>46108.0</v>
      </c>
      <c r="D178" s="27">
        <v>46108.0</v>
      </c>
      <c r="E178" s="26" t="s">
        <v>1121</v>
      </c>
      <c r="F178" s="26" t="s">
        <v>1200</v>
      </c>
    </row>
    <row r="179">
      <c r="A179" s="26" t="s">
        <v>1227</v>
      </c>
      <c r="B179" s="26" t="s">
        <v>726</v>
      </c>
      <c r="C179" s="27">
        <v>46108.0</v>
      </c>
      <c r="D179" s="27">
        <v>46108.0</v>
      </c>
      <c r="E179" s="26" t="s">
        <v>1121</v>
      </c>
      <c r="F179" s="26" t="s">
        <v>1200</v>
      </c>
    </row>
    <row r="180">
      <c r="A180" s="26" t="s">
        <v>1227</v>
      </c>
      <c r="B180" s="26" t="s">
        <v>726</v>
      </c>
      <c r="C180" s="27">
        <v>46108.0</v>
      </c>
      <c r="D180" s="27">
        <v>46108.0</v>
      </c>
      <c r="E180" s="26" t="s">
        <v>1121</v>
      </c>
      <c r="F180" s="26" t="s">
        <v>1200</v>
      </c>
    </row>
    <row r="181">
      <c r="A181" s="26" t="s">
        <v>1228</v>
      </c>
      <c r="B181" s="26" t="s">
        <v>522</v>
      </c>
      <c r="C181" s="27">
        <v>46104.0</v>
      </c>
      <c r="D181" s="27">
        <v>46104.0</v>
      </c>
      <c r="E181" s="26" t="s">
        <v>1121</v>
      </c>
      <c r="F181" s="26" t="s">
        <v>1200</v>
      </c>
    </row>
    <row r="182">
      <c r="A182" s="26" t="s">
        <v>1229</v>
      </c>
      <c r="B182" s="26" t="s">
        <v>546</v>
      </c>
      <c r="C182" s="27">
        <v>46102.0</v>
      </c>
      <c r="D182" s="27">
        <v>46102.0</v>
      </c>
      <c r="E182" s="26" t="s">
        <v>1121</v>
      </c>
      <c r="F182" s="26" t="s">
        <v>1200</v>
      </c>
    </row>
    <row r="183">
      <c r="A183" s="26" t="s">
        <v>1229</v>
      </c>
      <c r="B183" s="26" t="s">
        <v>546</v>
      </c>
      <c r="C183" s="27">
        <v>46102.0</v>
      </c>
      <c r="D183" s="27">
        <v>46102.0</v>
      </c>
      <c r="E183" s="26" t="s">
        <v>1121</v>
      </c>
      <c r="F183" s="26" t="s">
        <v>1200</v>
      </c>
    </row>
    <row r="184">
      <c r="A184" s="26" t="s">
        <v>1230</v>
      </c>
      <c r="B184" s="26" t="s">
        <v>726</v>
      </c>
      <c r="C184" s="27">
        <v>46101.0</v>
      </c>
      <c r="D184" s="27">
        <v>46101.0</v>
      </c>
      <c r="E184" s="26" t="s">
        <v>1121</v>
      </c>
      <c r="F184" s="26" t="s">
        <v>1200</v>
      </c>
    </row>
    <row r="185">
      <c r="A185" s="26" t="s">
        <v>1230</v>
      </c>
      <c r="B185" s="26" t="s">
        <v>726</v>
      </c>
      <c r="C185" s="27">
        <v>46101.0</v>
      </c>
      <c r="D185" s="27">
        <v>46101.0</v>
      </c>
      <c r="E185" s="26" t="s">
        <v>1121</v>
      </c>
      <c r="F185" s="26" t="s">
        <v>1200</v>
      </c>
    </row>
    <row r="186">
      <c r="A186" s="26" t="s">
        <v>1230</v>
      </c>
      <c r="B186" s="26" t="s">
        <v>726</v>
      </c>
      <c r="C186" s="27">
        <v>46101.0</v>
      </c>
      <c r="D186" s="27">
        <v>46101.0</v>
      </c>
      <c r="E186" s="26" t="s">
        <v>1121</v>
      </c>
      <c r="F186" s="26" t="s">
        <v>1200</v>
      </c>
    </row>
    <row r="187">
      <c r="A187" s="26" t="s">
        <v>1231</v>
      </c>
      <c r="B187" s="26" t="s">
        <v>467</v>
      </c>
      <c r="C187" s="27">
        <v>46100.0</v>
      </c>
      <c r="D187" s="27">
        <v>46100.0</v>
      </c>
      <c r="E187" s="26" t="s">
        <v>1121</v>
      </c>
      <c r="F187" s="26" t="s">
        <v>1200</v>
      </c>
    </row>
    <row r="188">
      <c r="A188" s="26" t="s">
        <v>1232</v>
      </c>
      <c r="B188" s="26" t="s">
        <v>546</v>
      </c>
      <c r="C188" s="27">
        <v>46100.0</v>
      </c>
      <c r="D188" s="27">
        <v>46100.0</v>
      </c>
      <c r="E188" s="26" t="s">
        <v>1121</v>
      </c>
      <c r="F188" s="26" t="s">
        <v>1200</v>
      </c>
    </row>
    <row r="189">
      <c r="A189" s="26" t="s">
        <v>1233</v>
      </c>
      <c r="B189" s="26" t="s">
        <v>717</v>
      </c>
      <c r="C189" s="27">
        <v>46100.0</v>
      </c>
      <c r="D189" s="27">
        <v>46100.0</v>
      </c>
      <c r="E189" s="26" t="s">
        <v>1121</v>
      </c>
      <c r="F189" s="26" t="s">
        <v>1200</v>
      </c>
    </row>
    <row r="190">
      <c r="A190" s="26" t="s">
        <v>1234</v>
      </c>
      <c r="B190" s="26" t="s">
        <v>546</v>
      </c>
      <c r="C190" s="27">
        <v>46099.0</v>
      </c>
      <c r="D190" s="27">
        <v>46099.0</v>
      </c>
      <c r="E190" s="26" t="s">
        <v>1121</v>
      </c>
      <c r="F190" s="26" t="s">
        <v>1200</v>
      </c>
    </row>
    <row r="191">
      <c r="A191" s="26" t="s">
        <v>1235</v>
      </c>
      <c r="B191" s="26" t="s">
        <v>315</v>
      </c>
      <c r="C191" s="27">
        <v>46099.0</v>
      </c>
      <c r="D191" s="27">
        <v>46099.0</v>
      </c>
      <c r="E191" s="26" t="s">
        <v>1121</v>
      </c>
      <c r="F191" s="26" t="s">
        <v>1200</v>
      </c>
    </row>
    <row r="192">
      <c r="A192" s="26" t="s">
        <v>1235</v>
      </c>
      <c r="B192" s="26" t="s">
        <v>315</v>
      </c>
      <c r="C192" s="27">
        <v>46099.0</v>
      </c>
      <c r="D192" s="27">
        <v>46099.0</v>
      </c>
      <c r="E192" s="26" t="s">
        <v>1121</v>
      </c>
      <c r="F192" s="26" t="s">
        <v>1200</v>
      </c>
    </row>
    <row r="193">
      <c r="A193" s="26" t="s">
        <v>1236</v>
      </c>
      <c r="B193" s="26" t="s">
        <v>458</v>
      </c>
      <c r="C193" s="27">
        <v>46099.0</v>
      </c>
      <c r="D193" s="27">
        <v>46099.0</v>
      </c>
      <c r="E193" s="26" t="s">
        <v>1121</v>
      </c>
      <c r="F193" s="26" t="s">
        <v>1200</v>
      </c>
    </row>
    <row r="194">
      <c r="A194" s="26" t="s">
        <v>1237</v>
      </c>
      <c r="B194" s="26" t="s">
        <v>439</v>
      </c>
      <c r="C194" s="27">
        <v>46099.0</v>
      </c>
      <c r="D194" s="27">
        <v>46099.0</v>
      </c>
      <c r="E194" s="26" t="s">
        <v>1121</v>
      </c>
      <c r="F194" s="26" t="s">
        <v>1200</v>
      </c>
    </row>
    <row r="195">
      <c r="A195" s="26" t="s">
        <v>1238</v>
      </c>
      <c r="B195" s="26" t="s">
        <v>731</v>
      </c>
      <c r="C195" s="27">
        <v>46100.0</v>
      </c>
      <c r="D195" s="27">
        <v>46100.0</v>
      </c>
      <c r="E195" s="26" t="s">
        <v>1121</v>
      </c>
      <c r="F195" s="26" t="s">
        <v>1200</v>
      </c>
    </row>
    <row r="196">
      <c r="A196" s="26" t="s">
        <v>1238</v>
      </c>
      <c r="B196" s="26" t="s">
        <v>731</v>
      </c>
      <c r="C196" s="27">
        <v>46100.0</v>
      </c>
      <c r="D196" s="27">
        <v>46100.0</v>
      </c>
      <c r="E196" s="26" t="s">
        <v>1121</v>
      </c>
      <c r="F196" s="26" t="s">
        <v>1200</v>
      </c>
    </row>
    <row r="197">
      <c r="A197" s="26" t="s">
        <v>1238</v>
      </c>
      <c r="B197" s="26" t="s">
        <v>731</v>
      </c>
      <c r="C197" s="27">
        <v>46100.0</v>
      </c>
      <c r="D197" s="27">
        <v>46100.0</v>
      </c>
      <c r="E197" s="26" t="s">
        <v>1121</v>
      </c>
      <c r="F197" s="26" t="s">
        <v>1200</v>
      </c>
    </row>
    <row r="198">
      <c r="A198" s="26" t="s">
        <v>1238</v>
      </c>
      <c r="B198" s="26" t="s">
        <v>731</v>
      </c>
      <c r="C198" s="27">
        <v>46100.0</v>
      </c>
      <c r="D198" s="27">
        <v>46100.0</v>
      </c>
      <c r="E198" s="26" t="s">
        <v>1121</v>
      </c>
      <c r="F198" s="26" t="s">
        <v>1200</v>
      </c>
    </row>
    <row r="199">
      <c r="A199" s="26" t="s">
        <v>1238</v>
      </c>
      <c r="B199" s="26" t="s">
        <v>731</v>
      </c>
      <c r="C199" s="27">
        <v>46100.0</v>
      </c>
      <c r="D199" s="27">
        <v>46100.0</v>
      </c>
      <c r="E199" s="26" t="s">
        <v>1121</v>
      </c>
      <c r="F199" s="26" t="s">
        <v>1200</v>
      </c>
    </row>
    <row r="200">
      <c r="A200" s="26" t="s">
        <v>1238</v>
      </c>
      <c r="B200" s="26" t="s">
        <v>731</v>
      </c>
      <c r="C200" s="27">
        <v>46100.0</v>
      </c>
      <c r="D200" s="27">
        <v>46100.0</v>
      </c>
      <c r="E200" s="26" t="s">
        <v>1121</v>
      </c>
      <c r="F200" s="26" t="s">
        <v>1200</v>
      </c>
    </row>
    <row r="201">
      <c r="A201" s="26" t="s">
        <v>1238</v>
      </c>
      <c r="B201" s="26" t="s">
        <v>731</v>
      </c>
      <c r="C201" s="27">
        <v>46100.0</v>
      </c>
      <c r="D201" s="27">
        <v>46100.0</v>
      </c>
      <c r="E201" s="26" t="s">
        <v>1121</v>
      </c>
      <c r="F201" s="26" t="s">
        <v>1200</v>
      </c>
    </row>
    <row r="202">
      <c r="A202" s="26" t="s">
        <v>1238</v>
      </c>
      <c r="B202" s="26" t="s">
        <v>731</v>
      </c>
      <c r="C202" s="27">
        <v>46100.0</v>
      </c>
      <c r="D202" s="27">
        <v>46100.0</v>
      </c>
      <c r="E202" s="26" t="s">
        <v>1121</v>
      </c>
      <c r="F202" s="26" t="s">
        <v>1200</v>
      </c>
    </row>
    <row r="203">
      <c r="A203" s="26" t="s">
        <v>1238</v>
      </c>
      <c r="B203" s="26" t="s">
        <v>731</v>
      </c>
      <c r="C203" s="27">
        <v>46100.0</v>
      </c>
      <c r="D203" s="27">
        <v>46100.0</v>
      </c>
      <c r="E203" s="26" t="s">
        <v>1121</v>
      </c>
      <c r="F203" s="26" t="s">
        <v>1200</v>
      </c>
    </row>
    <row r="204">
      <c r="A204" s="26" t="s">
        <v>1238</v>
      </c>
      <c r="B204" s="26" t="s">
        <v>731</v>
      </c>
      <c r="C204" s="27">
        <v>46100.0</v>
      </c>
      <c r="D204" s="27">
        <v>46100.0</v>
      </c>
      <c r="E204" s="26" t="s">
        <v>1121</v>
      </c>
      <c r="F204" s="26" t="s">
        <v>1200</v>
      </c>
    </row>
    <row r="205">
      <c r="A205" s="26" t="s">
        <v>1239</v>
      </c>
      <c r="B205" s="26" t="s">
        <v>693</v>
      </c>
      <c r="C205" s="27">
        <v>46098.0</v>
      </c>
      <c r="D205" s="27">
        <v>46098.0</v>
      </c>
      <c r="E205" s="26" t="s">
        <v>1121</v>
      </c>
      <c r="F205" s="26" t="s">
        <v>1200</v>
      </c>
    </row>
    <row r="206">
      <c r="A206" s="26" t="s">
        <v>1240</v>
      </c>
      <c r="B206" s="26" t="s">
        <v>432</v>
      </c>
      <c r="C206" s="27">
        <v>46098.0</v>
      </c>
      <c r="D206" s="27">
        <v>46098.0</v>
      </c>
      <c r="E206" s="26" t="s">
        <v>1121</v>
      </c>
      <c r="F206" s="26" t="s">
        <v>1200</v>
      </c>
    </row>
    <row r="207">
      <c r="A207" s="26" t="s">
        <v>1241</v>
      </c>
      <c r="B207" s="26" t="s">
        <v>483</v>
      </c>
      <c r="C207" s="27">
        <v>46097.0</v>
      </c>
      <c r="D207" s="27">
        <v>46097.0</v>
      </c>
      <c r="E207" s="26" t="s">
        <v>1121</v>
      </c>
      <c r="F207" s="26" t="s">
        <v>1200</v>
      </c>
    </row>
    <row r="208">
      <c r="A208" s="26" t="s">
        <v>1242</v>
      </c>
      <c r="B208" s="26" t="s">
        <v>461</v>
      </c>
      <c r="C208" s="27">
        <v>46097.0</v>
      </c>
      <c r="D208" s="27">
        <v>46097.0</v>
      </c>
      <c r="E208" s="26" t="s">
        <v>1121</v>
      </c>
      <c r="F208" s="26" t="s">
        <v>1200</v>
      </c>
    </row>
    <row r="209">
      <c r="A209" s="26" t="s">
        <v>1243</v>
      </c>
      <c r="B209" s="26" t="s">
        <v>478</v>
      </c>
      <c r="C209" s="27">
        <v>46097.0</v>
      </c>
      <c r="D209" s="27">
        <v>46097.0</v>
      </c>
      <c r="E209" s="26" t="s">
        <v>1121</v>
      </c>
      <c r="F209" s="26" t="s">
        <v>1200</v>
      </c>
    </row>
    <row r="210">
      <c r="A210" s="26" t="s">
        <v>1244</v>
      </c>
      <c r="B210" s="26" t="s">
        <v>444</v>
      </c>
      <c r="C210" s="27">
        <v>46095.0</v>
      </c>
      <c r="D210" s="27">
        <v>46095.0</v>
      </c>
      <c r="E210" s="26" t="s">
        <v>1121</v>
      </c>
      <c r="F210" s="26" t="s">
        <v>1200</v>
      </c>
    </row>
    <row r="211">
      <c r="A211" s="26" t="s">
        <v>1244</v>
      </c>
      <c r="B211" s="26" t="s">
        <v>444</v>
      </c>
      <c r="C211" s="27">
        <v>46095.0</v>
      </c>
      <c r="D211" s="27">
        <v>46095.0</v>
      </c>
      <c r="E211" s="26" t="s">
        <v>1121</v>
      </c>
      <c r="F211" s="26" t="s">
        <v>1200</v>
      </c>
    </row>
    <row r="212">
      <c r="A212" s="26" t="s">
        <v>1245</v>
      </c>
      <c r="B212" s="26" t="s">
        <v>546</v>
      </c>
      <c r="C212" s="27">
        <v>46095.0</v>
      </c>
      <c r="D212" s="27">
        <v>46095.0</v>
      </c>
      <c r="E212" s="26" t="s">
        <v>1121</v>
      </c>
      <c r="F212" s="26" t="s">
        <v>1200</v>
      </c>
    </row>
    <row r="213">
      <c r="A213" s="26" t="s">
        <v>1245</v>
      </c>
      <c r="B213" s="26" t="s">
        <v>546</v>
      </c>
      <c r="C213" s="27">
        <v>46095.0</v>
      </c>
      <c r="D213" s="27">
        <v>46095.0</v>
      </c>
      <c r="E213" s="26" t="s">
        <v>1121</v>
      </c>
      <c r="F213" s="26" t="s">
        <v>1200</v>
      </c>
    </row>
    <row r="214">
      <c r="A214" s="26" t="s">
        <v>1245</v>
      </c>
      <c r="B214" s="26" t="s">
        <v>546</v>
      </c>
      <c r="C214" s="27">
        <v>46095.0</v>
      </c>
      <c r="D214" s="27">
        <v>46095.0</v>
      </c>
      <c r="E214" s="26" t="s">
        <v>1121</v>
      </c>
      <c r="F214" s="26" t="s">
        <v>1200</v>
      </c>
    </row>
    <row r="215">
      <c r="A215" s="26" t="s">
        <v>1246</v>
      </c>
      <c r="B215" s="26" t="s">
        <v>467</v>
      </c>
      <c r="C215" s="27">
        <v>46095.0</v>
      </c>
      <c r="D215" s="27">
        <v>46095.0</v>
      </c>
      <c r="E215" s="26" t="s">
        <v>1121</v>
      </c>
      <c r="F215" s="26" t="s">
        <v>1200</v>
      </c>
    </row>
    <row r="216">
      <c r="A216" s="26" t="s">
        <v>1246</v>
      </c>
      <c r="B216" s="26" t="s">
        <v>467</v>
      </c>
      <c r="C216" s="27">
        <v>46095.0</v>
      </c>
      <c r="D216" s="27">
        <v>46095.0</v>
      </c>
      <c r="E216" s="26" t="s">
        <v>1121</v>
      </c>
      <c r="F216" s="26" t="s">
        <v>1200</v>
      </c>
    </row>
    <row r="217">
      <c r="A217" s="26" t="s">
        <v>1247</v>
      </c>
      <c r="B217" s="26" t="s">
        <v>717</v>
      </c>
      <c r="C217" s="27">
        <v>46094.0</v>
      </c>
      <c r="D217" s="27">
        <v>46094.0</v>
      </c>
      <c r="E217" s="26" t="s">
        <v>1121</v>
      </c>
      <c r="F217" s="26" t="s">
        <v>1200</v>
      </c>
    </row>
    <row r="218">
      <c r="A218" s="26" t="s">
        <v>1248</v>
      </c>
      <c r="B218" s="26" t="s">
        <v>432</v>
      </c>
      <c r="C218" s="27">
        <v>46094.0</v>
      </c>
      <c r="D218" s="27">
        <v>46094.0</v>
      </c>
      <c r="E218" s="26" t="s">
        <v>1121</v>
      </c>
      <c r="F218" s="26" t="s">
        <v>1200</v>
      </c>
    </row>
    <row r="219">
      <c r="A219" s="26" t="s">
        <v>1249</v>
      </c>
      <c r="B219" s="26" t="s">
        <v>383</v>
      </c>
      <c r="C219" s="27">
        <v>46092.0</v>
      </c>
      <c r="D219" s="27">
        <v>46092.0</v>
      </c>
      <c r="E219" s="26" t="s">
        <v>1121</v>
      </c>
      <c r="F219" s="26" t="s">
        <v>1200</v>
      </c>
    </row>
    <row r="220">
      <c r="A220" s="26" t="s">
        <v>1250</v>
      </c>
      <c r="B220" s="26" t="s">
        <v>444</v>
      </c>
      <c r="C220" s="27">
        <v>46092.0</v>
      </c>
      <c r="D220" s="27">
        <v>46092.0</v>
      </c>
      <c r="E220" s="26" t="s">
        <v>1121</v>
      </c>
      <c r="F220" s="26" t="s">
        <v>1200</v>
      </c>
    </row>
    <row r="221">
      <c r="A221" s="26" t="s">
        <v>1251</v>
      </c>
      <c r="B221" s="26" t="s">
        <v>467</v>
      </c>
      <c r="C221" s="27">
        <v>46091.0</v>
      </c>
      <c r="D221" s="27">
        <v>46091.0</v>
      </c>
      <c r="E221" s="26" t="s">
        <v>1121</v>
      </c>
      <c r="F221" s="26" t="s">
        <v>1200</v>
      </c>
    </row>
    <row r="222">
      <c r="A222" s="26" t="s">
        <v>1251</v>
      </c>
      <c r="B222" s="26" t="s">
        <v>467</v>
      </c>
      <c r="C222" s="27">
        <v>46091.0</v>
      </c>
      <c r="D222" s="27">
        <v>46091.0</v>
      </c>
      <c r="E222" s="26" t="s">
        <v>1121</v>
      </c>
      <c r="F222" s="26" t="s">
        <v>1200</v>
      </c>
    </row>
    <row r="223">
      <c r="A223" s="26" t="s">
        <v>1252</v>
      </c>
      <c r="B223" s="26" t="s">
        <v>516</v>
      </c>
      <c r="C223" s="27">
        <v>46091.0</v>
      </c>
      <c r="D223" s="27">
        <v>46091.0</v>
      </c>
      <c r="E223" s="26" t="s">
        <v>1121</v>
      </c>
      <c r="F223" s="26" t="s">
        <v>1200</v>
      </c>
    </row>
    <row r="224">
      <c r="A224" s="26" t="s">
        <v>1252</v>
      </c>
      <c r="B224" s="26" t="s">
        <v>516</v>
      </c>
      <c r="C224" s="27">
        <v>46091.0</v>
      </c>
      <c r="D224" s="27">
        <v>46091.0</v>
      </c>
      <c r="E224" s="26" t="s">
        <v>1121</v>
      </c>
      <c r="F224" s="26" t="s">
        <v>1200</v>
      </c>
    </row>
    <row r="225">
      <c r="A225" s="26" t="s">
        <v>1253</v>
      </c>
      <c r="B225" s="26" t="s">
        <v>634</v>
      </c>
      <c r="C225" s="27">
        <v>46090.0</v>
      </c>
      <c r="D225" s="27">
        <v>46090.0</v>
      </c>
      <c r="E225" s="26" t="s">
        <v>1121</v>
      </c>
      <c r="F225" s="26" t="s">
        <v>1200</v>
      </c>
    </row>
    <row r="226">
      <c r="A226" s="26" t="s">
        <v>1254</v>
      </c>
      <c r="B226" s="26" t="s">
        <v>444</v>
      </c>
      <c r="C226" s="27">
        <v>46090.0</v>
      </c>
      <c r="D226" s="27">
        <v>46090.0</v>
      </c>
      <c r="E226" s="26" t="s">
        <v>1121</v>
      </c>
      <c r="F226" s="26" t="s">
        <v>1200</v>
      </c>
    </row>
    <row r="227">
      <c r="A227" s="26" t="s">
        <v>1254</v>
      </c>
      <c r="B227" s="26" t="s">
        <v>444</v>
      </c>
      <c r="C227" s="27">
        <v>46090.0</v>
      </c>
      <c r="D227" s="27">
        <v>46090.0</v>
      </c>
      <c r="E227" s="26" t="s">
        <v>1121</v>
      </c>
      <c r="F227" s="26" t="s">
        <v>1200</v>
      </c>
    </row>
    <row r="228">
      <c r="A228" s="26" t="s">
        <v>1255</v>
      </c>
      <c r="B228" s="26" t="s">
        <v>458</v>
      </c>
      <c r="C228" s="27">
        <v>46090.0</v>
      </c>
      <c r="D228" s="27">
        <v>46090.0</v>
      </c>
      <c r="E228" s="26" t="s">
        <v>1121</v>
      </c>
      <c r="F228" s="26" t="s">
        <v>1200</v>
      </c>
    </row>
    <row r="229">
      <c r="A229" s="26" t="s">
        <v>1256</v>
      </c>
      <c r="B229" s="26" t="s">
        <v>483</v>
      </c>
      <c r="C229" s="27">
        <v>46088.0</v>
      </c>
      <c r="D229" s="27">
        <v>46088.0</v>
      </c>
      <c r="E229" s="26" t="s">
        <v>1121</v>
      </c>
      <c r="F229" s="26" t="s">
        <v>1200</v>
      </c>
    </row>
    <row r="230">
      <c r="A230" s="26" t="s">
        <v>1257</v>
      </c>
      <c r="B230" s="26" t="s">
        <v>1258</v>
      </c>
      <c r="C230" s="27">
        <v>46088.0</v>
      </c>
      <c r="D230" s="27">
        <v>46088.0</v>
      </c>
      <c r="E230" s="26" t="s">
        <v>1121</v>
      </c>
      <c r="F230" s="26" t="s">
        <v>1200</v>
      </c>
    </row>
    <row r="231">
      <c r="A231" s="26" t="s">
        <v>1257</v>
      </c>
      <c r="B231" s="26" t="s">
        <v>1258</v>
      </c>
      <c r="C231" s="27">
        <v>46088.0</v>
      </c>
      <c r="D231" s="27">
        <v>46088.0</v>
      </c>
      <c r="E231" s="26" t="s">
        <v>1121</v>
      </c>
      <c r="F231" s="26" t="s">
        <v>1200</v>
      </c>
    </row>
    <row r="232">
      <c r="A232" s="26" t="s">
        <v>1257</v>
      </c>
      <c r="B232" s="26" t="s">
        <v>1258</v>
      </c>
      <c r="C232" s="27">
        <v>46088.0</v>
      </c>
      <c r="D232" s="27">
        <v>46088.0</v>
      </c>
      <c r="E232" s="26" t="s">
        <v>1121</v>
      </c>
      <c r="F232" s="26" t="s">
        <v>1200</v>
      </c>
    </row>
    <row r="233">
      <c r="A233" s="26" t="s">
        <v>1257</v>
      </c>
      <c r="B233" s="26" t="s">
        <v>1258</v>
      </c>
      <c r="C233" s="27">
        <v>46088.0</v>
      </c>
      <c r="D233" s="27">
        <v>46088.0</v>
      </c>
      <c r="E233" s="26" t="s">
        <v>1121</v>
      </c>
      <c r="F233" s="26" t="s">
        <v>1200</v>
      </c>
    </row>
    <row r="234">
      <c r="A234" s="26" t="s">
        <v>1259</v>
      </c>
      <c r="B234" s="26" t="s">
        <v>546</v>
      </c>
      <c r="C234" s="27">
        <v>46088.0</v>
      </c>
      <c r="D234" s="27">
        <v>46088.0</v>
      </c>
      <c r="E234" s="26" t="s">
        <v>1121</v>
      </c>
      <c r="F234" s="26" t="s">
        <v>1200</v>
      </c>
    </row>
    <row r="235">
      <c r="A235" s="26" t="s">
        <v>1259</v>
      </c>
      <c r="B235" s="26" t="s">
        <v>546</v>
      </c>
      <c r="C235" s="27">
        <v>46088.0</v>
      </c>
      <c r="D235" s="27">
        <v>46088.0</v>
      </c>
      <c r="E235" s="26" t="s">
        <v>1121</v>
      </c>
      <c r="F235" s="26" t="s">
        <v>1200</v>
      </c>
    </row>
    <row r="236">
      <c r="A236" s="26" t="s">
        <v>1259</v>
      </c>
      <c r="B236" s="26" t="s">
        <v>546</v>
      </c>
      <c r="C236" s="27">
        <v>46088.0</v>
      </c>
      <c r="D236" s="27">
        <v>46088.0</v>
      </c>
      <c r="E236" s="26" t="s">
        <v>1121</v>
      </c>
      <c r="F236" s="26" t="s">
        <v>1200</v>
      </c>
    </row>
    <row r="237">
      <c r="A237" s="26" t="s">
        <v>1259</v>
      </c>
      <c r="B237" s="26" t="s">
        <v>546</v>
      </c>
      <c r="C237" s="27">
        <v>46088.0</v>
      </c>
      <c r="D237" s="27">
        <v>46088.0</v>
      </c>
      <c r="E237" s="26" t="s">
        <v>1121</v>
      </c>
      <c r="F237" s="26" t="s">
        <v>1200</v>
      </c>
    </row>
    <row r="238">
      <c r="A238" s="26" t="s">
        <v>1260</v>
      </c>
      <c r="B238" s="26" t="s">
        <v>720</v>
      </c>
      <c r="C238" s="27">
        <v>46088.0</v>
      </c>
      <c r="D238" s="27">
        <v>46088.0</v>
      </c>
      <c r="E238" s="26" t="s">
        <v>1121</v>
      </c>
      <c r="F238" s="26" t="s">
        <v>1200</v>
      </c>
    </row>
    <row r="239">
      <c r="A239" s="26" t="s">
        <v>1261</v>
      </c>
      <c r="B239" s="26" t="s">
        <v>444</v>
      </c>
      <c r="C239" s="27">
        <v>46088.0</v>
      </c>
      <c r="D239" s="27">
        <v>46088.0</v>
      </c>
      <c r="E239" s="26" t="s">
        <v>1121</v>
      </c>
      <c r="F239" s="26" t="s">
        <v>1200</v>
      </c>
    </row>
    <row r="240">
      <c r="A240" s="26" t="s">
        <v>1262</v>
      </c>
      <c r="B240" s="26" t="s">
        <v>522</v>
      </c>
      <c r="C240" s="27">
        <v>46088.0</v>
      </c>
      <c r="D240" s="27">
        <v>46088.0</v>
      </c>
      <c r="E240" s="26" t="s">
        <v>1121</v>
      </c>
      <c r="F240" s="26" t="s">
        <v>1200</v>
      </c>
    </row>
    <row r="241">
      <c r="A241" s="26" t="s">
        <v>1263</v>
      </c>
      <c r="B241" s="26" t="s">
        <v>717</v>
      </c>
      <c r="C241" s="27">
        <v>46087.0</v>
      </c>
      <c r="D241" s="27">
        <v>46087.0</v>
      </c>
      <c r="E241" s="26" t="s">
        <v>1121</v>
      </c>
      <c r="F241" s="26" t="s">
        <v>1200</v>
      </c>
    </row>
    <row r="242">
      <c r="A242" s="26" t="s">
        <v>1264</v>
      </c>
      <c r="B242" s="26" t="s">
        <v>595</v>
      </c>
      <c r="C242" s="27">
        <v>46087.0</v>
      </c>
      <c r="D242" s="27">
        <v>46087.0</v>
      </c>
      <c r="E242" s="26" t="s">
        <v>1121</v>
      </c>
      <c r="F242" s="26" t="s">
        <v>1200</v>
      </c>
    </row>
    <row r="243">
      <c r="A243" s="26" t="s">
        <v>1264</v>
      </c>
      <c r="B243" s="26" t="s">
        <v>595</v>
      </c>
      <c r="C243" s="27">
        <v>46087.0</v>
      </c>
      <c r="D243" s="27">
        <v>46087.0</v>
      </c>
      <c r="E243" s="26" t="s">
        <v>1121</v>
      </c>
      <c r="F243" s="26" t="s">
        <v>1200</v>
      </c>
    </row>
    <row r="244">
      <c r="A244" s="26" t="s">
        <v>1264</v>
      </c>
      <c r="B244" s="26" t="s">
        <v>595</v>
      </c>
      <c r="C244" s="27">
        <v>46087.0</v>
      </c>
      <c r="D244" s="27">
        <v>46087.0</v>
      </c>
      <c r="E244" s="26" t="s">
        <v>1121</v>
      </c>
      <c r="F244" s="26" t="s">
        <v>1200</v>
      </c>
    </row>
    <row r="245">
      <c r="A245" s="26" t="s">
        <v>1264</v>
      </c>
      <c r="B245" s="26" t="s">
        <v>595</v>
      </c>
      <c r="C245" s="27">
        <v>46087.0</v>
      </c>
      <c r="D245" s="27">
        <v>46087.0</v>
      </c>
      <c r="E245" s="26" t="s">
        <v>1121</v>
      </c>
      <c r="F245" s="26" t="s">
        <v>1200</v>
      </c>
    </row>
    <row r="246">
      <c r="A246" s="26" t="s">
        <v>1264</v>
      </c>
      <c r="B246" s="26" t="s">
        <v>595</v>
      </c>
      <c r="C246" s="27">
        <v>46087.0</v>
      </c>
      <c r="D246" s="27">
        <v>46087.0</v>
      </c>
      <c r="E246" s="26" t="s">
        <v>1121</v>
      </c>
      <c r="F246" s="26" t="s">
        <v>1200</v>
      </c>
    </row>
    <row r="247">
      <c r="A247" s="26" t="s">
        <v>1264</v>
      </c>
      <c r="B247" s="26" t="s">
        <v>595</v>
      </c>
      <c r="C247" s="27">
        <v>46087.0</v>
      </c>
      <c r="D247" s="27">
        <v>46087.0</v>
      </c>
      <c r="E247" s="26" t="s">
        <v>1121</v>
      </c>
      <c r="F247" s="26" t="s">
        <v>1200</v>
      </c>
    </row>
    <row r="248">
      <c r="A248" s="26" t="s">
        <v>1264</v>
      </c>
      <c r="B248" s="26" t="s">
        <v>595</v>
      </c>
      <c r="C248" s="27">
        <v>46087.0</v>
      </c>
      <c r="D248" s="27">
        <v>46087.0</v>
      </c>
      <c r="E248" s="26" t="s">
        <v>1121</v>
      </c>
      <c r="F248" s="26" t="s">
        <v>1200</v>
      </c>
    </row>
    <row r="249">
      <c r="A249" s="26" t="s">
        <v>1265</v>
      </c>
      <c r="B249" s="26" t="s">
        <v>720</v>
      </c>
      <c r="C249" s="27">
        <v>46087.0</v>
      </c>
      <c r="D249" s="27">
        <v>46087.0</v>
      </c>
      <c r="E249" s="26" t="s">
        <v>1121</v>
      </c>
      <c r="F249" s="26" t="s">
        <v>1200</v>
      </c>
    </row>
    <row r="250">
      <c r="A250" s="26" t="s">
        <v>1266</v>
      </c>
      <c r="B250" s="26" t="s">
        <v>726</v>
      </c>
      <c r="C250" s="27">
        <v>46086.0</v>
      </c>
      <c r="D250" s="27">
        <v>46086.0</v>
      </c>
      <c r="E250" s="26" t="s">
        <v>1121</v>
      </c>
      <c r="F250" s="26" t="s">
        <v>1200</v>
      </c>
    </row>
    <row r="251">
      <c r="A251" s="26" t="s">
        <v>1266</v>
      </c>
      <c r="B251" s="26" t="s">
        <v>726</v>
      </c>
      <c r="C251" s="27">
        <v>46086.0</v>
      </c>
      <c r="D251" s="27">
        <v>46086.0</v>
      </c>
      <c r="E251" s="26" t="s">
        <v>1121</v>
      </c>
      <c r="F251" s="26" t="s">
        <v>1200</v>
      </c>
    </row>
    <row r="252">
      <c r="A252" s="26" t="s">
        <v>1266</v>
      </c>
      <c r="B252" s="26" t="s">
        <v>726</v>
      </c>
      <c r="C252" s="27">
        <v>46086.0</v>
      </c>
      <c r="D252" s="27">
        <v>46086.0</v>
      </c>
      <c r="E252" s="26" t="s">
        <v>1121</v>
      </c>
      <c r="F252" s="26" t="s">
        <v>1200</v>
      </c>
    </row>
    <row r="253">
      <c r="A253" s="26" t="s">
        <v>1267</v>
      </c>
      <c r="B253" s="26" t="s">
        <v>745</v>
      </c>
      <c r="C253" s="27">
        <v>46089.0</v>
      </c>
      <c r="D253" s="27">
        <v>46089.0</v>
      </c>
      <c r="E253" s="26" t="s">
        <v>1121</v>
      </c>
      <c r="F253" s="26" t="s">
        <v>1200</v>
      </c>
    </row>
    <row r="254">
      <c r="A254" s="26" t="s">
        <v>1267</v>
      </c>
      <c r="B254" s="26" t="s">
        <v>745</v>
      </c>
      <c r="C254" s="27">
        <v>46089.0</v>
      </c>
      <c r="D254" s="27">
        <v>46089.0</v>
      </c>
      <c r="E254" s="26" t="s">
        <v>1121</v>
      </c>
      <c r="F254" s="26" t="s">
        <v>1200</v>
      </c>
    </row>
    <row r="255">
      <c r="A255" s="26" t="s">
        <v>1267</v>
      </c>
      <c r="B255" s="26" t="s">
        <v>745</v>
      </c>
      <c r="C255" s="27">
        <v>46089.0</v>
      </c>
      <c r="D255" s="27">
        <v>46089.0</v>
      </c>
      <c r="E255" s="26" t="s">
        <v>1121</v>
      </c>
      <c r="F255" s="26" t="s">
        <v>1200</v>
      </c>
    </row>
    <row r="256">
      <c r="A256" s="26" t="s">
        <v>1267</v>
      </c>
      <c r="B256" s="26" t="s">
        <v>745</v>
      </c>
      <c r="C256" s="27">
        <v>46089.0</v>
      </c>
      <c r="D256" s="27">
        <v>46089.0</v>
      </c>
      <c r="E256" s="26" t="s">
        <v>1121</v>
      </c>
      <c r="F256" s="26" t="s">
        <v>1200</v>
      </c>
    </row>
    <row r="257">
      <c r="A257" s="26" t="s">
        <v>1267</v>
      </c>
      <c r="B257" s="26" t="s">
        <v>745</v>
      </c>
      <c r="C257" s="27">
        <v>46089.0</v>
      </c>
      <c r="D257" s="27">
        <v>46089.0</v>
      </c>
      <c r="E257" s="26" t="s">
        <v>1121</v>
      </c>
      <c r="F257" s="26" t="s">
        <v>1200</v>
      </c>
    </row>
    <row r="258">
      <c r="A258" s="26" t="s">
        <v>1267</v>
      </c>
      <c r="B258" s="26" t="s">
        <v>745</v>
      </c>
      <c r="C258" s="27">
        <v>46089.0</v>
      </c>
      <c r="D258" s="27">
        <v>46089.0</v>
      </c>
      <c r="E258" s="26" t="s">
        <v>1121</v>
      </c>
      <c r="F258" s="26" t="s">
        <v>1200</v>
      </c>
    </row>
    <row r="259">
      <c r="A259" s="26" t="s">
        <v>1267</v>
      </c>
      <c r="B259" s="26" t="s">
        <v>745</v>
      </c>
      <c r="C259" s="27">
        <v>46089.0</v>
      </c>
      <c r="D259" s="27">
        <v>46089.0</v>
      </c>
      <c r="E259" s="26" t="s">
        <v>1121</v>
      </c>
      <c r="F259" s="26" t="s">
        <v>1200</v>
      </c>
    </row>
    <row r="260">
      <c r="A260" s="26" t="s">
        <v>1267</v>
      </c>
      <c r="B260" s="26" t="s">
        <v>745</v>
      </c>
      <c r="C260" s="27">
        <v>46089.0</v>
      </c>
      <c r="D260" s="27">
        <v>46089.0</v>
      </c>
      <c r="E260" s="26" t="s">
        <v>1121</v>
      </c>
      <c r="F260" s="26" t="s">
        <v>1200</v>
      </c>
    </row>
    <row r="261">
      <c r="A261" s="26" t="s">
        <v>1267</v>
      </c>
      <c r="B261" s="26" t="s">
        <v>745</v>
      </c>
      <c r="C261" s="27">
        <v>46089.0</v>
      </c>
      <c r="D261" s="27">
        <v>46089.0</v>
      </c>
      <c r="E261" s="26" t="s">
        <v>1121</v>
      </c>
      <c r="F261" s="26" t="s">
        <v>1200</v>
      </c>
    </row>
    <row r="262">
      <c r="A262" s="26" t="s">
        <v>1267</v>
      </c>
      <c r="B262" s="26" t="s">
        <v>745</v>
      </c>
      <c r="C262" s="27">
        <v>46089.0</v>
      </c>
      <c r="D262" s="27">
        <v>46089.0</v>
      </c>
      <c r="E262" s="26" t="s">
        <v>1121</v>
      </c>
      <c r="F262" s="26" t="s">
        <v>1200</v>
      </c>
    </row>
    <row r="263">
      <c r="A263" s="26" t="s">
        <v>1267</v>
      </c>
      <c r="B263" s="26" t="s">
        <v>745</v>
      </c>
      <c r="C263" s="27">
        <v>46089.0</v>
      </c>
      <c r="D263" s="27">
        <v>46089.0</v>
      </c>
      <c r="E263" s="26" t="s">
        <v>1121</v>
      </c>
      <c r="F263" s="26" t="s">
        <v>1200</v>
      </c>
    </row>
    <row r="264">
      <c r="A264" s="26" t="s">
        <v>1268</v>
      </c>
      <c r="B264" s="26" t="s">
        <v>444</v>
      </c>
      <c r="C264" s="27">
        <v>46086.0</v>
      </c>
      <c r="D264" s="27">
        <v>46086.0</v>
      </c>
      <c r="E264" s="26" t="s">
        <v>1121</v>
      </c>
      <c r="F264" s="26" t="s">
        <v>1200</v>
      </c>
    </row>
    <row r="265">
      <c r="A265" s="26" t="s">
        <v>1269</v>
      </c>
      <c r="B265" s="26" t="s">
        <v>720</v>
      </c>
      <c r="C265" s="27">
        <v>46085.0</v>
      </c>
      <c r="D265" s="27">
        <v>46085.0</v>
      </c>
      <c r="E265" s="26" t="s">
        <v>1121</v>
      </c>
      <c r="F265" s="26" t="s">
        <v>1200</v>
      </c>
    </row>
    <row r="266">
      <c r="A266" s="26" t="s">
        <v>1270</v>
      </c>
      <c r="B266" s="26" t="s">
        <v>634</v>
      </c>
      <c r="C266" s="27">
        <v>46084.0</v>
      </c>
      <c r="D266" s="27">
        <v>46084.0</v>
      </c>
      <c r="E266" s="26" t="s">
        <v>1121</v>
      </c>
      <c r="F266" s="26" t="s">
        <v>1200</v>
      </c>
    </row>
    <row r="267">
      <c r="A267" s="26" t="s">
        <v>1270</v>
      </c>
      <c r="B267" s="26" t="s">
        <v>634</v>
      </c>
      <c r="C267" s="27">
        <v>46084.0</v>
      </c>
      <c r="D267" s="27">
        <v>46084.0</v>
      </c>
      <c r="E267" s="26" t="s">
        <v>1121</v>
      </c>
      <c r="F267" s="26" t="s">
        <v>1200</v>
      </c>
    </row>
    <row r="268">
      <c r="A268" s="26" t="s">
        <v>1270</v>
      </c>
      <c r="B268" s="26" t="s">
        <v>634</v>
      </c>
      <c r="C268" s="27">
        <v>46084.0</v>
      </c>
      <c r="D268" s="27">
        <v>46084.0</v>
      </c>
      <c r="E268" s="26" t="s">
        <v>1121</v>
      </c>
      <c r="F268" s="26" t="s">
        <v>1200</v>
      </c>
    </row>
    <row r="269">
      <c r="A269" s="26" t="s">
        <v>1271</v>
      </c>
      <c r="B269" s="26" t="s">
        <v>435</v>
      </c>
      <c r="C269" s="27">
        <v>46084.0</v>
      </c>
      <c r="D269" s="27">
        <v>46084.0</v>
      </c>
      <c r="E269" s="26" t="s">
        <v>1121</v>
      </c>
      <c r="F269" s="26" t="s">
        <v>1200</v>
      </c>
    </row>
    <row r="270">
      <c r="A270" s="26" t="s">
        <v>1272</v>
      </c>
      <c r="B270" s="26" t="s">
        <v>432</v>
      </c>
      <c r="C270" s="27">
        <v>46084.0</v>
      </c>
      <c r="D270" s="27">
        <v>46084.0</v>
      </c>
      <c r="E270" s="26" t="s">
        <v>1121</v>
      </c>
      <c r="F270" s="26" t="s">
        <v>1200</v>
      </c>
    </row>
    <row r="271">
      <c r="A271" s="26" t="s">
        <v>1273</v>
      </c>
      <c r="B271" s="26" t="s">
        <v>717</v>
      </c>
      <c r="C271" s="27">
        <v>46083.0</v>
      </c>
      <c r="D271" s="27">
        <v>46083.0</v>
      </c>
      <c r="E271" s="26" t="s">
        <v>1121</v>
      </c>
      <c r="F271" s="26" t="s">
        <v>1200</v>
      </c>
    </row>
    <row r="272">
      <c r="A272" s="26" t="s">
        <v>1274</v>
      </c>
      <c r="B272" s="26" t="s">
        <v>699</v>
      </c>
      <c r="C272" s="27">
        <v>46083.0</v>
      </c>
      <c r="D272" s="27">
        <v>46083.0</v>
      </c>
      <c r="E272" s="26" t="s">
        <v>1121</v>
      </c>
      <c r="F272" s="26" t="s">
        <v>1200</v>
      </c>
    </row>
    <row r="273">
      <c r="A273" s="26" t="s">
        <v>1275</v>
      </c>
      <c r="B273" s="26" t="s">
        <v>455</v>
      </c>
      <c r="C273" s="27">
        <v>46083.0</v>
      </c>
      <c r="D273" s="27">
        <v>46083.0</v>
      </c>
      <c r="E273" s="26" t="s">
        <v>1121</v>
      </c>
      <c r="F273" s="26" t="s">
        <v>1200</v>
      </c>
    </row>
    <row r="274">
      <c r="A274" s="26" t="s">
        <v>1276</v>
      </c>
      <c r="B274" s="26" t="s">
        <v>651</v>
      </c>
      <c r="C274" s="27">
        <v>46081.0</v>
      </c>
      <c r="D274" s="27">
        <v>46081.0</v>
      </c>
      <c r="E274" s="26" t="s">
        <v>1121</v>
      </c>
      <c r="F274" s="26" t="s">
        <v>1200</v>
      </c>
    </row>
    <row r="275">
      <c r="A275" s="26" t="s">
        <v>1276</v>
      </c>
      <c r="B275" s="26" t="s">
        <v>651</v>
      </c>
      <c r="C275" s="27">
        <v>46081.0</v>
      </c>
      <c r="D275" s="27">
        <v>46081.0</v>
      </c>
      <c r="E275" s="26" t="s">
        <v>1121</v>
      </c>
      <c r="F275" s="26" t="s">
        <v>1200</v>
      </c>
    </row>
    <row r="276">
      <c r="A276" s="26" t="s">
        <v>1276</v>
      </c>
      <c r="B276" s="26" t="s">
        <v>651</v>
      </c>
      <c r="C276" s="27">
        <v>46081.0</v>
      </c>
      <c r="D276" s="27">
        <v>46081.0</v>
      </c>
      <c r="E276" s="26" t="s">
        <v>1121</v>
      </c>
      <c r="F276" s="26" t="s">
        <v>1200</v>
      </c>
    </row>
    <row r="277">
      <c r="A277" s="26" t="s">
        <v>1277</v>
      </c>
      <c r="B277" s="26" t="s">
        <v>467</v>
      </c>
      <c r="C277" s="27">
        <v>46081.0</v>
      </c>
      <c r="D277" s="27">
        <v>46081.0</v>
      </c>
      <c r="E277" s="26" t="s">
        <v>1121</v>
      </c>
      <c r="F277" s="26" t="s">
        <v>1200</v>
      </c>
    </row>
    <row r="278">
      <c r="A278" s="26" t="s">
        <v>1278</v>
      </c>
      <c r="B278" s="26" t="s">
        <v>528</v>
      </c>
      <c r="C278" s="27">
        <v>46081.0</v>
      </c>
      <c r="D278" s="27">
        <v>46081.0</v>
      </c>
      <c r="E278" s="26" t="s">
        <v>1121</v>
      </c>
      <c r="F278" s="26" t="s">
        <v>1200</v>
      </c>
    </row>
    <row r="279">
      <c r="A279" s="26" t="s">
        <v>1279</v>
      </c>
      <c r="B279" s="26" t="s">
        <v>546</v>
      </c>
      <c r="C279" s="27">
        <v>46080.0</v>
      </c>
      <c r="D279" s="27">
        <v>46080.0</v>
      </c>
      <c r="E279" s="26" t="s">
        <v>1121</v>
      </c>
      <c r="F279" s="26" t="s">
        <v>1200</v>
      </c>
    </row>
    <row r="280">
      <c r="A280" s="26" t="s">
        <v>1280</v>
      </c>
      <c r="B280" s="26" t="s">
        <v>439</v>
      </c>
      <c r="C280" s="27">
        <v>46080.0</v>
      </c>
      <c r="D280" s="27">
        <v>46080.0</v>
      </c>
      <c r="E280" s="26" t="s">
        <v>1121</v>
      </c>
      <c r="F280" s="26" t="s">
        <v>1200</v>
      </c>
    </row>
    <row r="281">
      <c r="A281" s="26" t="s">
        <v>1281</v>
      </c>
      <c r="B281" s="26" t="s">
        <v>444</v>
      </c>
      <c r="C281" s="27">
        <v>46080.0</v>
      </c>
      <c r="D281" s="27">
        <v>46080.0</v>
      </c>
      <c r="E281" s="26" t="s">
        <v>1121</v>
      </c>
      <c r="F281" s="26" t="s">
        <v>1200</v>
      </c>
    </row>
    <row r="282">
      <c r="A282" s="26" t="s">
        <v>1281</v>
      </c>
      <c r="B282" s="26" t="s">
        <v>444</v>
      </c>
      <c r="C282" s="27">
        <v>46080.0</v>
      </c>
      <c r="D282" s="27">
        <v>46080.0</v>
      </c>
      <c r="E282" s="26" t="s">
        <v>1121</v>
      </c>
      <c r="F282" s="26" t="s">
        <v>1200</v>
      </c>
    </row>
    <row r="283">
      <c r="A283" s="26" t="s">
        <v>1282</v>
      </c>
      <c r="B283" s="26" t="s">
        <v>516</v>
      </c>
      <c r="C283" s="27">
        <v>46080.0</v>
      </c>
      <c r="D283" s="27">
        <v>46080.0</v>
      </c>
      <c r="E283" s="26" t="s">
        <v>1121</v>
      </c>
      <c r="F283" s="26" t="s">
        <v>1200</v>
      </c>
    </row>
    <row r="284">
      <c r="A284" s="26" t="s">
        <v>1283</v>
      </c>
      <c r="B284" s="26" t="s">
        <v>668</v>
      </c>
      <c r="C284" s="27">
        <v>46080.0</v>
      </c>
      <c r="D284" s="27">
        <v>46080.0</v>
      </c>
      <c r="E284" s="26" t="s">
        <v>1121</v>
      </c>
      <c r="F284" s="26" t="s">
        <v>1200</v>
      </c>
    </row>
    <row r="285">
      <c r="A285" s="26" t="s">
        <v>1284</v>
      </c>
      <c r="B285" s="26" t="s">
        <v>458</v>
      </c>
      <c r="C285" s="27">
        <v>46079.0</v>
      </c>
      <c r="D285" s="27">
        <v>46079.0</v>
      </c>
      <c r="E285" s="26" t="s">
        <v>1121</v>
      </c>
      <c r="F285" s="26" t="s">
        <v>1200</v>
      </c>
    </row>
    <row r="286">
      <c r="A286" s="26" t="s">
        <v>1285</v>
      </c>
      <c r="B286" s="26" t="s">
        <v>731</v>
      </c>
      <c r="C286" s="27">
        <v>46079.0</v>
      </c>
      <c r="D286" s="27">
        <v>46079.0</v>
      </c>
      <c r="E286" s="26" t="s">
        <v>1121</v>
      </c>
      <c r="F286" s="26" t="s">
        <v>1200</v>
      </c>
    </row>
    <row r="287">
      <c r="A287" s="26" t="s">
        <v>1285</v>
      </c>
      <c r="B287" s="26" t="s">
        <v>731</v>
      </c>
      <c r="C287" s="27">
        <v>46079.0</v>
      </c>
      <c r="D287" s="27">
        <v>46079.0</v>
      </c>
      <c r="E287" s="26" t="s">
        <v>1121</v>
      </c>
      <c r="F287" s="26" t="s">
        <v>1200</v>
      </c>
    </row>
    <row r="288">
      <c r="A288" s="26" t="s">
        <v>1285</v>
      </c>
      <c r="B288" s="26" t="s">
        <v>731</v>
      </c>
      <c r="C288" s="27">
        <v>46079.0</v>
      </c>
      <c r="D288" s="27">
        <v>46079.0</v>
      </c>
      <c r="E288" s="26" t="s">
        <v>1121</v>
      </c>
      <c r="F288" s="26" t="s">
        <v>1200</v>
      </c>
    </row>
    <row r="289">
      <c r="A289" s="26" t="s">
        <v>1285</v>
      </c>
      <c r="B289" s="26" t="s">
        <v>731</v>
      </c>
      <c r="C289" s="27">
        <v>46079.0</v>
      </c>
      <c r="D289" s="27">
        <v>46079.0</v>
      </c>
      <c r="E289" s="26" t="s">
        <v>1121</v>
      </c>
      <c r="F289" s="26" t="s">
        <v>1200</v>
      </c>
    </row>
    <row r="290">
      <c r="A290" s="26" t="s">
        <v>1285</v>
      </c>
      <c r="B290" s="26" t="s">
        <v>731</v>
      </c>
      <c r="C290" s="27">
        <v>46079.0</v>
      </c>
      <c r="D290" s="27">
        <v>46079.0</v>
      </c>
      <c r="E290" s="26" t="s">
        <v>1121</v>
      </c>
      <c r="F290" s="26" t="s">
        <v>1200</v>
      </c>
    </row>
    <row r="291">
      <c r="A291" s="26" t="s">
        <v>1285</v>
      </c>
      <c r="B291" s="26" t="s">
        <v>731</v>
      </c>
      <c r="C291" s="27">
        <v>46079.0</v>
      </c>
      <c r="D291" s="27">
        <v>46079.0</v>
      </c>
      <c r="E291" s="26" t="s">
        <v>1121</v>
      </c>
      <c r="F291" s="26" t="s">
        <v>1200</v>
      </c>
    </row>
    <row r="292">
      <c r="A292" s="26" t="s">
        <v>1285</v>
      </c>
      <c r="B292" s="26" t="s">
        <v>731</v>
      </c>
      <c r="C292" s="27">
        <v>46079.0</v>
      </c>
      <c r="D292" s="27">
        <v>46079.0</v>
      </c>
      <c r="E292" s="26" t="s">
        <v>1121</v>
      </c>
      <c r="F292" s="26" t="s">
        <v>1200</v>
      </c>
    </row>
    <row r="293">
      <c r="A293" s="26" t="s">
        <v>1285</v>
      </c>
      <c r="B293" s="26" t="s">
        <v>731</v>
      </c>
      <c r="C293" s="27">
        <v>46079.0</v>
      </c>
      <c r="D293" s="27">
        <v>46079.0</v>
      </c>
      <c r="E293" s="26" t="s">
        <v>1121</v>
      </c>
      <c r="F293" s="26" t="s">
        <v>1200</v>
      </c>
    </row>
    <row r="294">
      <c r="A294" s="26" t="s">
        <v>1286</v>
      </c>
      <c r="B294" s="26" t="s">
        <v>717</v>
      </c>
      <c r="C294" s="27">
        <v>46078.0</v>
      </c>
      <c r="D294" s="27">
        <v>46078.0</v>
      </c>
      <c r="E294" s="26" t="s">
        <v>1121</v>
      </c>
      <c r="F294" s="26" t="s">
        <v>1200</v>
      </c>
    </row>
    <row r="295">
      <c r="A295" s="26" t="s">
        <v>1286</v>
      </c>
      <c r="B295" s="26" t="s">
        <v>717</v>
      </c>
      <c r="C295" s="27">
        <v>46078.0</v>
      </c>
      <c r="D295" s="27">
        <v>46078.0</v>
      </c>
      <c r="E295" s="26" t="s">
        <v>1121</v>
      </c>
      <c r="F295" s="26" t="s">
        <v>1200</v>
      </c>
    </row>
    <row r="296">
      <c r="A296" s="26" t="s">
        <v>1287</v>
      </c>
      <c r="B296" s="26" t="s">
        <v>546</v>
      </c>
      <c r="C296" s="27">
        <v>46077.0</v>
      </c>
      <c r="D296" s="27">
        <v>46077.0</v>
      </c>
      <c r="E296" s="26" t="s">
        <v>1121</v>
      </c>
      <c r="F296" s="26" t="s">
        <v>1200</v>
      </c>
    </row>
    <row r="297">
      <c r="A297" s="26" t="s">
        <v>1288</v>
      </c>
      <c r="B297" s="26" t="s">
        <v>472</v>
      </c>
      <c r="C297" s="27">
        <v>46077.0</v>
      </c>
      <c r="D297" s="27">
        <v>46077.0</v>
      </c>
      <c r="E297" s="26" t="s">
        <v>1121</v>
      </c>
      <c r="F297" s="26" t="s">
        <v>1200</v>
      </c>
    </row>
    <row r="298">
      <c r="A298" s="26" t="s">
        <v>1288</v>
      </c>
      <c r="B298" s="26" t="s">
        <v>472</v>
      </c>
      <c r="C298" s="27">
        <v>46077.0</v>
      </c>
      <c r="D298" s="27">
        <v>46077.0</v>
      </c>
      <c r="E298" s="26" t="s">
        <v>1121</v>
      </c>
      <c r="F298" s="26" t="s">
        <v>1200</v>
      </c>
    </row>
    <row r="299">
      <c r="A299" s="26" t="s">
        <v>1289</v>
      </c>
      <c r="B299" s="26" t="s">
        <v>432</v>
      </c>
      <c r="C299" s="27">
        <v>46077.0</v>
      </c>
      <c r="D299" s="27">
        <v>46077.0</v>
      </c>
      <c r="E299" s="26" t="s">
        <v>1121</v>
      </c>
      <c r="F299" s="26" t="s">
        <v>1200</v>
      </c>
    </row>
    <row r="300">
      <c r="A300" s="26" t="s">
        <v>1290</v>
      </c>
      <c r="B300" s="26" t="s">
        <v>428</v>
      </c>
      <c r="C300" s="27">
        <v>46077.0</v>
      </c>
      <c r="D300" s="27">
        <v>46077.0</v>
      </c>
      <c r="E300" s="26" t="s">
        <v>1121</v>
      </c>
      <c r="F300" s="26" t="s">
        <v>1200</v>
      </c>
    </row>
    <row r="301">
      <c r="A301" s="26" t="s">
        <v>1291</v>
      </c>
      <c r="B301" s="26" t="s">
        <v>574</v>
      </c>
      <c r="C301" s="27">
        <v>46076.0</v>
      </c>
      <c r="D301" s="27">
        <v>46076.0</v>
      </c>
      <c r="E301" s="26" t="s">
        <v>1121</v>
      </c>
      <c r="F301" s="26" t="s">
        <v>1200</v>
      </c>
    </row>
    <row r="302">
      <c r="A302" s="26" t="s">
        <v>1292</v>
      </c>
      <c r="B302" s="26" t="s">
        <v>546</v>
      </c>
      <c r="C302" s="27">
        <v>46076.0</v>
      </c>
      <c r="D302" s="27">
        <v>46076.0</v>
      </c>
      <c r="E302" s="26" t="s">
        <v>1121</v>
      </c>
      <c r="F302" s="26" t="s">
        <v>1200</v>
      </c>
    </row>
    <row r="303">
      <c r="A303" s="26" t="s">
        <v>1293</v>
      </c>
      <c r="B303" s="26" t="s">
        <v>483</v>
      </c>
      <c r="C303" s="27">
        <v>46076.0</v>
      </c>
      <c r="D303" s="27">
        <v>46076.0</v>
      </c>
      <c r="E303" s="26" t="s">
        <v>1121</v>
      </c>
      <c r="F303" s="26" t="s">
        <v>1200</v>
      </c>
    </row>
    <row r="304">
      <c r="A304" s="26" t="s">
        <v>1293</v>
      </c>
      <c r="B304" s="26" t="s">
        <v>483</v>
      </c>
      <c r="C304" s="27">
        <v>46076.0</v>
      </c>
      <c r="D304" s="27">
        <v>46076.0</v>
      </c>
      <c r="E304" s="26" t="s">
        <v>1121</v>
      </c>
      <c r="F304" s="26" t="s">
        <v>1200</v>
      </c>
    </row>
    <row r="305">
      <c r="A305" s="26" t="s">
        <v>1294</v>
      </c>
      <c r="B305" s="26" t="s">
        <v>542</v>
      </c>
      <c r="C305" s="27">
        <v>46076.0</v>
      </c>
      <c r="D305" s="27">
        <v>46076.0</v>
      </c>
      <c r="E305" s="26" t="s">
        <v>1121</v>
      </c>
      <c r="F305" s="26" t="s">
        <v>1200</v>
      </c>
    </row>
    <row r="306">
      <c r="A306" s="26" t="s">
        <v>1295</v>
      </c>
      <c r="B306" s="26" t="s">
        <v>467</v>
      </c>
      <c r="C306" s="27">
        <v>46076.0</v>
      </c>
      <c r="D306" s="27">
        <v>46076.0</v>
      </c>
      <c r="E306" s="26" t="s">
        <v>1121</v>
      </c>
      <c r="F306" s="26" t="s">
        <v>1200</v>
      </c>
    </row>
    <row r="307">
      <c r="A307" s="26" t="s">
        <v>1296</v>
      </c>
      <c r="B307" s="26" t="s">
        <v>497</v>
      </c>
      <c r="C307" s="27">
        <v>46076.0</v>
      </c>
      <c r="D307" s="27">
        <v>46076.0</v>
      </c>
      <c r="E307" s="26" t="s">
        <v>1121</v>
      </c>
      <c r="F307" s="26" t="s">
        <v>1200</v>
      </c>
    </row>
    <row r="308">
      <c r="A308" s="26" t="s">
        <v>1296</v>
      </c>
      <c r="B308" s="26" t="s">
        <v>497</v>
      </c>
      <c r="C308" s="27">
        <v>46076.0</v>
      </c>
      <c r="D308" s="27">
        <v>46076.0</v>
      </c>
      <c r="E308" s="26" t="s">
        <v>1121</v>
      </c>
      <c r="F308" s="26" t="s">
        <v>1200</v>
      </c>
    </row>
    <row r="309">
      <c r="A309" s="26" t="s">
        <v>1297</v>
      </c>
      <c r="B309" s="26" t="s">
        <v>546</v>
      </c>
      <c r="C309" s="27">
        <v>46073.0</v>
      </c>
      <c r="D309" s="27">
        <v>46073.0</v>
      </c>
      <c r="E309" s="26" t="s">
        <v>1121</v>
      </c>
      <c r="F309" s="26" t="s">
        <v>1200</v>
      </c>
    </row>
    <row r="310">
      <c r="A310" s="26" t="s">
        <v>1297</v>
      </c>
      <c r="B310" s="26" t="s">
        <v>546</v>
      </c>
      <c r="C310" s="27">
        <v>46073.0</v>
      </c>
      <c r="D310" s="27">
        <v>46073.0</v>
      </c>
      <c r="E310" s="26" t="s">
        <v>1121</v>
      </c>
      <c r="F310" s="26" t="s">
        <v>1200</v>
      </c>
    </row>
    <row r="311">
      <c r="A311" s="26" t="s">
        <v>1297</v>
      </c>
      <c r="B311" s="26" t="s">
        <v>546</v>
      </c>
      <c r="C311" s="27">
        <v>46073.0</v>
      </c>
      <c r="D311" s="27">
        <v>46073.0</v>
      </c>
      <c r="E311" s="26" t="s">
        <v>1121</v>
      </c>
      <c r="F311" s="26" t="s">
        <v>1200</v>
      </c>
    </row>
    <row r="312">
      <c r="A312" s="26" t="s">
        <v>1298</v>
      </c>
      <c r="B312" s="26" t="s">
        <v>546</v>
      </c>
      <c r="C312" s="27">
        <v>46066.0</v>
      </c>
      <c r="D312" s="27">
        <v>46066.0</v>
      </c>
      <c r="E312" s="26" t="s">
        <v>1121</v>
      </c>
      <c r="F312" s="26" t="s">
        <v>1200</v>
      </c>
    </row>
    <row r="313">
      <c r="A313" s="26" t="s">
        <v>1298</v>
      </c>
      <c r="B313" s="26" t="s">
        <v>546</v>
      </c>
      <c r="C313" s="27">
        <v>46066.0</v>
      </c>
      <c r="D313" s="27">
        <v>46066.0</v>
      </c>
      <c r="E313" s="26" t="s">
        <v>1121</v>
      </c>
      <c r="F313" s="26" t="s">
        <v>1200</v>
      </c>
    </row>
    <row r="314">
      <c r="A314" s="26" t="s">
        <v>1299</v>
      </c>
      <c r="B314" s="26" t="s">
        <v>1300</v>
      </c>
      <c r="C314" s="27">
        <v>46065.0</v>
      </c>
      <c r="D314" s="27">
        <v>46065.0</v>
      </c>
      <c r="E314" s="26" t="s">
        <v>1121</v>
      </c>
      <c r="F314" s="26" t="s">
        <v>1200</v>
      </c>
    </row>
    <row r="315">
      <c r="A315" s="26" t="s">
        <v>1299</v>
      </c>
      <c r="B315" s="26" t="s">
        <v>1300</v>
      </c>
      <c r="C315" s="27">
        <v>46065.0</v>
      </c>
      <c r="D315" s="27">
        <v>46065.0</v>
      </c>
      <c r="E315" s="26" t="s">
        <v>1121</v>
      </c>
      <c r="F315" s="26" t="s">
        <v>1200</v>
      </c>
    </row>
    <row r="316">
      <c r="A316" s="26" t="s">
        <v>1299</v>
      </c>
      <c r="B316" s="26" t="s">
        <v>1300</v>
      </c>
      <c r="C316" s="27">
        <v>46065.0</v>
      </c>
      <c r="D316" s="27">
        <v>46065.0</v>
      </c>
      <c r="E316" s="26" t="s">
        <v>1121</v>
      </c>
      <c r="F316" s="26" t="s">
        <v>1200</v>
      </c>
    </row>
    <row r="317">
      <c r="A317" s="26" t="s">
        <v>1299</v>
      </c>
      <c r="B317" s="26" t="s">
        <v>1300</v>
      </c>
      <c r="C317" s="27">
        <v>46065.0</v>
      </c>
      <c r="D317" s="27">
        <v>46065.0</v>
      </c>
      <c r="E317" s="26" t="s">
        <v>1121</v>
      </c>
      <c r="F317" s="26" t="s">
        <v>1200</v>
      </c>
    </row>
    <row r="318">
      <c r="A318" s="26" t="s">
        <v>1299</v>
      </c>
      <c r="B318" s="26" t="s">
        <v>1300</v>
      </c>
      <c r="C318" s="27">
        <v>46065.0</v>
      </c>
      <c r="D318" s="27">
        <v>46065.0</v>
      </c>
      <c r="E318" s="26" t="s">
        <v>1121</v>
      </c>
      <c r="F318" s="26" t="s">
        <v>1200</v>
      </c>
    </row>
    <row r="319">
      <c r="A319" s="26" t="s">
        <v>1299</v>
      </c>
      <c r="B319" s="26" t="s">
        <v>1300</v>
      </c>
      <c r="C319" s="27">
        <v>46065.0</v>
      </c>
      <c r="D319" s="27">
        <v>46065.0</v>
      </c>
      <c r="E319" s="26" t="s">
        <v>1121</v>
      </c>
      <c r="F319" s="26" t="s">
        <v>1200</v>
      </c>
    </row>
    <row r="320">
      <c r="A320" s="26" t="s">
        <v>1301</v>
      </c>
      <c r="B320" s="26" t="s">
        <v>1302</v>
      </c>
      <c r="C320" s="27">
        <v>46065.0</v>
      </c>
      <c r="D320" s="27">
        <v>46065.0</v>
      </c>
      <c r="E320" s="26" t="s">
        <v>1121</v>
      </c>
      <c r="F320" s="26" t="s">
        <v>1200</v>
      </c>
    </row>
    <row r="321">
      <c r="A321" s="26" t="s">
        <v>1301</v>
      </c>
      <c r="B321" s="26" t="s">
        <v>1302</v>
      </c>
      <c r="C321" s="27">
        <v>46065.0</v>
      </c>
      <c r="D321" s="27">
        <v>46065.0</v>
      </c>
      <c r="E321" s="26" t="s">
        <v>1121</v>
      </c>
      <c r="F321" s="26" t="s">
        <v>1200</v>
      </c>
    </row>
    <row r="322">
      <c r="A322" s="26" t="s">
        <v>1301</v>
      </c>
      <c r="B322" s="26" t="s">
        <v>1302</v>
      </c>
      <c r="C322" s="27">
        <v>46065.0</v>
      </c>
      <c r="D322" s="27">
        <v>46065.0</v>
      </c>
      <c r="E322" s="26" t="s">
        <v>1121</v>
      </c>
      <c r="F322" s="26" t="s">
        <v>1200</v>
      </c>
    </row>
    <row r="323">
      <c r="A323" s="26" t="s">
        <v>1301</v>
      </c>
      <c r="B323" s="26" t="s">
        <v>1302</v>
      </c>
      <c r="C323" s="27">
        <v>46065.0</v>
      </c>
      <c r="D323" s="27">
        <v>46065.0</v>
      </c>
      <c r="E323" s="26" t="s">
        <v>1121</v>
      </c>
      <c r="F323" s="26" t="s">
        <v>1200</v>
      </c>
    </row>
    <row r="324">
      <c r="A324" s="26" t="s">
        <v>1301</v>
      </c>
      <c r="B324" s="26" t="s">
        <v>1302</v>
      </c>
      <c r="C324" s="27">
        <v>46065.0</v>
      </c>
      <c r="D324" s="27">
        <v>46065.0</v>
      </c>
      <c r="E324" s="26" t="s">
        <v>1121</v>
      </c>
      <c r="F324" s="26" t="s">
        <v>1200</v>
      </c>
    </row>
    <row r="325">
      <c r="A325" s="26" t="s">
        <v>1301</v>
      </c>
      <c r="B325" s="26" t="s">
        <v>1302</v>
      </c>
      <c r="C325" s="27">
        <v>46065.0</v>
      </c>
      <c r="D325" s="27">
        <v>46065.0</v>
      </c>
      <c r="E325" s="26" t="s">
        <v>1121</v>
      </c>
      <c r="F325" s="26" t="s">
        <v>1200</v>
      </c>
    </row>
    <row r="326">
      <c r="A326" s="26" t="s">
        <v>1301</v>
      </c>
      <c r="B326" s="26" t="s">
        <v>1302</v>
      </c>
      <c r="C326" s="27">
        <v>46065.0</v>
      </c>
      <c r="D326" s="27">
        <v>46065.0</v>
      </c>
      <c r="E326" s="26" t="s">
        <v>1121</v>
      </c>
      <c r="F326" s="26" t="s">
        <v>1200</v>
      </c>
    </row>
    <row r="327">
      <c r="A327" s="26" t="s">
        <v>1303</v>
      </c>
      <c r="B327" s="26" t="s">
        <v>1304</v>
      </c>
      <c r="C327" s="27">
        <v>46065.0</v>
      </c>
      <c r="D327" s="27">
        <v>46065.0</v>
      </c>
      <c r="E327" s="26" t="s">
        <v>1121</v>
      </c>
      <c r="F327" s="26" t="s">
        <v>1200</v>
      </c>
    </row>
    <row r="328">
      <c r="A328" s="26" t="s">
        <v>1305</v>
      </c>
      <c r="B328" s="26" t="s">
        <v>1306</v>
      </c>
      <c r="C328" s="27">
        <v>46065.0</v>
      </c>
      <c r="D328" s="27">
        <v>46065.0</v>
      </c>
      <c r="E328" s="26" t="s">
        <v>1121</v>
      </c>
      <c r="F328" s="26" t="s">
        <v>1200</v>
      </c>
    </row>
    <row r="329">
      <c r="A329" s="26" t="s">
        <v>1307</v>
      </c>
      <c r="B329" s="26" t="s">
        <v>1308</v>
      </c>
      <c r="C329" s="27">
        <v>46064.0</v>
      </c>
      <c r="D329" s="27">
        <v>46064.0</v>
      </c>
      <c r="E329" s="26" t="s">
        <v>1121</v>
      </c>
      <c r="F329" s="26" t="s">
        <v>1200</v>
      </c>
    </row>
    <row r="330">
      <c r="A330" s="26" t="s">
        <v>1309</v>
      </c>
      <c r="B330" s="26" t="s">
        <v>1308</v>
      </c>
      <c r="C330" s="27">
        <v>46065.0</v>
      </c>
      <c r="D330" s="27">
        <v>46065.0</v>
      </c>
      <c r="E330" s="26" t="s">
        <v>1121</v>
      </c>
      <c r="F330" s="26" t="s">
        <v>1200</v>
      </c>
    </row>
    <row r="331">
      <c r="A331" s="26" t="s">
        <v>1309</v>
      </c>
      <c r="B331" s="26" t="s">
        <v>1308</v>
      </c>
      <c r="C331" s="27">
        <v>46065.0</v>
      </c>
      <c r="D331" s="27">
        <v>46065.0</v>
      </c>
      <c r="E331" s="26" t="s">
        <v>1121</v>
      </c>
      <c r="F331" s="26" t="s">
        <v>1200</v>
      </c>
    </row>
    <row r="332">
      <c r="A332" s="26" t="s">
        <v>1309</v>
      </c>
      <c r="B332" s="26" t="s">
        <v>1308</v>
      </c>
      <c r="C332" s="27">
        <v>46065.0</v>
      </c>
      <c r="D332" s="27">
        <v>46065.0</v>
      </c>
      <c r="E332" s="26" t="s">
        <v>1121</v>
      </c>
      <c r="F332" s="26" t="s">
        <v>1200</v>
      </c>
    </row>
    <row r="333">
      <c r="A333" s="26" t="s">
        <v>1310</v>
      </c>
      <c r="B333" s="26" t="s">
        <v>542</v>
      </c>
      <c r="C333" s="27">
        <v>46065.0</v>
      </c>
      <c r="D333" s="27">
        <v>46065.0</v>
      </c>
      <c r="E333" s="26" t="s">
        <v>1121</v>
      </c>
      <c r="F333" s="26" t="s">
        <v>1200</v>
      </c>
    </row>
    <row r="334">
      <c r="A334" s="26" t="s">
        <v>1310</v>
      </c>
      <c r="B334" s="26" t="s">
        <v>542</v>
      </c>
      <c r="C334" s="27">
        <v>46065.0</v>
      </c>
      <c r="D334" s="27">
        <v>46065.0</v>
      </c>
      <c r="E334" s="26" t="s">
        <v>1121</v>
      </c>
      <c r="F334" s="26" t="s">
        <v>1200</v>
      </c>
    </row>
    <row r="335">
      <c r="A335" s="26" t="s">
        <v>1311</v>
      </c>
      <c r="B335" s="26" t="s">
        <v>512</v>
      </c>
      <c r="C335" s="27">
        <v>46065.0</v>
      </c>
      <c r="D335" s="27">
        <v>46065.0</v>
      </c>
      <c r="E335" s="26" t="s">
        <v>1121</v>
      </c>
      <c r="F335" s="26" t="s">
        <v>1200</v>
      </c>
    </row>
    <row r="336">
      <c r="A336" s="26" t="s">
        <v>1312</v>
      </c>
      <c r="B336" s="26" t="s">
        <v>546</v>
      </c>
      <c r="C336" s="27">
        <v>46065.0</v>
      </c>
      <c r="D336" s="27">
        <v>46065.0</v>
      </c>
      <c r="E336" s="26" t="s">
        <v>1121</v>
      </c>
      <c r="F336" s="26" t="s">
        <v>1200</v>
      </c>
    </row>
    <row r="337">
      <c r="A337" s="26" t="s">
        <v>1312</v>
      </c>
      <c r="B337" s="26" t="s">
        <v>546</v>
      </c>
      <c r="C337" s="27">
        <v>46065.0</v>
      </c>
      <c r="D337" s="27">
        <v>46065.0</v>
      </c>
      <c r="E337" s="26" t="s">
        <v>1121</v>
      </c>
      <c r="F337" s="26" t="s">
        <v>1200</v>
      </c>
    </row>
    <row r="338">
      <c r="A338" s="26" t="s">
        <v>1313</v>
      </c>
      <c r="B338" s="26" t="s">
        <v>458</v>
      </c>
      <c r="C338" s="27">
        <v>46065.0</v>
      </c>
      <c r="D338" s="27">
        <v>46065.0</v>
      </c>
      <c r="E338" s="26" t="s">
        <v>1121</v>
      </c>
      <c r="F338" s="26" t="s">
        <v>1200</v>
      </c>
    </row>
    <row r="339">
      <c r="A339" s="26" t="s">
        <v>1314</v>
      </c>
      <c r="B339" s="26" t="s">
        <v>483</v>
      </c>
      <c r="C339" s="27">
        <v>46065.0</v>
      </c>
      <c r="D339" s="27">
        <v>46065.0</v>
      </c>
      <c r="E339" s="26" t="s">
        <v>1121</v>
      </c>
      <c r="F339" s="26" t="s">
        <v>1200</v>
      </c>
    </row>
    <row r="340">
      <c r="A340" s="26" t="s">
        <v>1314</v>
      </c>
      <c r="B340" s="26" t="s">
        <v>483</v>
      </c>
      <c r="C340" s="27">
        <v>46065.0</v>
      </c>
      <c r="D340" s="27">
        <v>46065.0</v>
      </c>
      <c r="E340" s="26" t="s">
        <v>1121</v>
      </c>
      <c r="F340" s="26" t="s">
        <v>1200</v>
      </c>
    </row>
    <row r="341">
      <c r="A341" s="26" t="s">
        <v>1315</v>
      </c>
      <c r="B341" s="26" t="s">
        <v>512</v>
      </c>
      <c r="C341" s="27">
        <v>46064.0</v>
      </c>
      <c r="D341" s="27">
        <v>46064.0</v>
      </c>
      <c r="E341" s="26" t="s">
        <v>1121</v>
      </c>
      <c r="F341" s="26" t="s">
        <v>1200</v>
      </c>
    </row>
    <row r="342">
      <c r="A342" s="26" t="s">
        <v>1316</v>
      </c>
      <c r="B342" s="26" t="s">
        <v>516</v>
      </c>
      <c r="C342" s="27">
        <v>46064.0</v>
      </c>
      <c r="D342" s="27">
        <v>46064.0</v>
      </c>
      <c r="E342" s="26" t="s">
        <v>1121</v>
      </c>
      <c r="F342" s="26" t="s">
        <v>1200</v>
      </c>
    </row>
    <row r="343">
      <c r="A343" s="26" t="s">
        <v>1316</v>
      </c>
      <c r="B343" s="26" t="s">
        <v>516</v>
      </c>
      <c r="C343" s="27">
        <v>46064.0</v>
      </c>
      <c r="D343" s="27">
        <v>46064.0</v>
      </c>
      <c r="E343" s="26" t="s">
        <v>1121</v>
      </c>
      <c r="F343" s="26" t="s">
        <v>1200</v>
      </c>
    </row>
    <row r="344">
      <c r="A344" s="26" t="s">
        <v>1316</v>
      </c>
      <c r="B344" s="26" t="s">
        <v>516</v>
      </c>
      <c r="C344" s="27">
        <v>46064.0</v>
      </c>
      <c r="D344" s="27">
        <v>46064.0</v>
      </c>
      <c r="E344" s="26" t="s">
        <v>1121</v>
      </c>
      <c r="F344" s="26" t="s">
        <v>1200</v>
      </c>
    </row>
    <row r="345">
      <c r="A345" s="26" t="s">
        <v>1316</v>
      </c>
      <c r="B345" s="26" t="s">
        <v>516</v>
      </c>
      <c r="C345" s="27">
        <v>46064.0</v>
      </c>
      <c r="D345" s="27">
        <v>46064.0</v>
      </c>
      <c r="E345" s="26" t="s">
        <v>1121</v>
      </c>
      <c r="F345" s="26" t="s">
        <v>1200</v>
      </c>
    </row>
    <row r="346">
      <c r="A346" s="26" t="s">
        <v>1317</v>
      </c>
      <c r="B346" s="26" t="s">
        <v>340</v>
      </c>
      <c r="C346" s="27">
        <v>46064.0</v>
      </c>
      <c r="D346" s="27">
        <v>46064.0</v>
      </c>
      <c r="E346" s="26" t="s">
        <v>1121</v>
      </c>
      <c r="F346" s="26" t="s">
        <v>1200</v>
      </c>
    </row>
    <row r="347">
      <c r="A347" s="26" t="s">
        <v>1317</v>
      </c>
      <c r="B347" s="26" t="s">
        <v>340</v>
      </c>
      <c r="C347" s="27">
        <v>46064.0</v>
      </c>
      <c r="D347" s="27">
        <v>46064.0</v>
      </c>
      <c r="E347" s="26" t="s">
        <v>1121</v>
      </c>
      <c r="F347" s="26" t="s">
        <v>1200</v>
      </c>
    </row>
    <row r="348">
      <c r="A348" s="26" t="s">
        <v>1317</v>
      </c>
      <c r="B348" s="26" t="s">
        <v>340</v>
      </c>
      <c r="C348" s="27">
        <v>46064.0</v>
      </c>
      <c r="D348" s="27">
        <v>46064.0</v>
      </c>
      <c r="E348" s="26" t="s">
        <v>1121</v>
      </c>
      <c r="F348" s="26" t="s">
        <v>1200</v>
      </c>
    </row>
    <row r="349">
      <c r="A349" s="26" t="s">
        <v>1317</v>
      </c>
      <c r="B349" s="26" t="s">
        <v>340</v>
      </c>
      <c r="C349" s="27">
        <v>46064.0</v>
      </c>
      <c r="D349" s="27">
        <v>46064.0</v>
      </c>
      <c r="E349" s="26" t="s">
        <v>1121</v>
      </c>
      <c r="F349" s="26" t="s">
        <v>1200</v>
      </c>
    </row>
    <row r="350">
      <c r="A350" s="26" t="s">
        <v>1318</v>
      </c>
      <c r="B350" s="26" t="s">
        <v>1319</v>
      </c>
      <c r="C350" s="27">
        <v>46065.0</v>
      </c>
      <c r="D350" s="27">
        <v>46065.0</v>
      </c>
      <c r="E350" s="26" t="s">
        <v>1121</v>
      </c>
      <c r="F350" s="26" t="s">
        <v>1200</v>
      </c>
    </row>
    <row r="351">
      <c r="A351" s="26" t="s">
        <v>1318</v>
      </c>
      <c r="B351" s="26" t="s">
        <v>1319</v>
      </c>
      <c r="C351" s="27">
        <v>46065.0</v>
      </c>
      <c r="D351" s="27">
        <v>46065.0</v>
      </c>
      <c r="E351" s="26" t="s">
        <v>1121</v>
      </c>
      <c r="F351" s="26" t="s">
        <v>1200</v>
      </c>
    </row>
    <row r="352">
      <c r="A352" s="26" t="s">
        <v>1320</v>
      </c>
      <c r="B352" s="26" t="s">
        <v>1258</v>
      </c>
      <c r="C352" s="27">
        <v>46063.0</v>
      </c>
      <c r="D352" s="27">
        <v>46063.0</v>
      </c>
      <c r="E352" s="26" t="s">
        <v>1121</v>
      </c>
      <c r="F352" s="26" t="s">
        <v>1200</v>
      </c>
    </row>
    <row r="353">
      <c r="A353" s="26" t="s">
        <v>1321</v>
      </c>
      <c r="B353" s="26" t="s">
        <v>739</v>
      </c>
      <c r="C353" s="27">
        <v>46063.0</v>
      </c>
      <c r="D353" s="27">
        <v>46063.0</v>
      </c>
      <c r="E353" s="26" t="s">
        <v>1121</v>
      </c>
      <c r="F353" s="26" t="s">
        <v>1200</v>
      </c>
    </row>
    <row r="354">
      <c r="A354" s="26" t="s">
        <v>1321</v>
      </c>
      <c r="B354" s="26" t="s">
        <v>739</v>
      </c>
      <c r="C354" s="27">
        <v>46063.0</v>
      </c>
      <c r="D354" s="27">
        <v>46063.0</v>
      </c>
      <c r="E354" s="26" t="s">
        <v>1121</v>
      </c>
      <c r="F354" s="26" t="s">
        <v>1200</v>
      </c>
    </row>
    <row r="355">
      <c r="A355" s="26" t="s">
        <v>1322</v>
      </c>
      <c r="B355" s="26" t="s">
        <v>634</v>
      </c>
      <c r="C355" s="27">
        <v>46063.0</v>
      </c>
      <c r="D355" s="27">
        <v>46063.0</v>
      </c>
      <c r="E355" s="26" t="s">
        <v>1121</v>
      </c>
      <c r="F355" s="26" t="s">
        <v>1200</v>
      </c>
    </row>
    <row r="356">
      <c r="A356" s="26" t="s">
        <v>1322</v>
      </c>
      <c r="B356" s="26" t="s">
        <v>634</v>
      </c>
      <c r="C356" s="27">
        <v>46063.0</v>
      </c>
      <c r="D356" s="27">
        <v>46063.0</v>
      </c>
      <c r="E356" s="26" t="s">
        <v>1121</v>
      </c>
      <c r="F356" s="26" t="s">
        <v>1200</v>
      </c>
    </row>
    <row r="357">
      <c r="A357" s="26" t="s">
        <v>1323</v>
      </c>
      <c r="B357" s="26" t="s">
        <v>467</v>
      </c>
      <c r="C357" s="27">
        <v>46063.0</v>
      </c>
      <c r="D357" s="27">
        <v>46063.0</v>
      </c>
      <c r="E357" s="26" t="s">
        <v>1121</v>
      </c>
      <c r="F357" s="26" t="s">
        <v>1200</v>
      </c>
    </row>
    <row r="358">
      <c r="A358" s="26" t="s">
        <v>1323</v>
      </c>
      <c r="B358" s="26" t="s">
        <v>467</v>
      </c>
      <c r="C358" s="27">
        <v>46063.0</v>
      </c>
      <c r="D358" s="27">
        <v>46063.0</v>
      </c>
      <c r="E358" s="26" t="s">
        <v>1121</v>
      </c>
      <c r="F358" s="26" t="s">
        <v>1200</v>
      </c>
    </row>
    <row r="359">
      <c r="A359" s="26" t="s">
        <v>1324</v>
      </c>
      <c r="B359" s="26" t="s">
        <v>461</v>
      </c>
      <c r="C359" s="27">
        <v>46063.0</v>
      </c>
      <c r="D359" s="27">
        <v>46063.0</v>
      </c>
      <c r="E359" s="26" t="s">
        <v>1121</v>
      </c>
      <c r="F359" s="26" t="s">
        <v>1200</v>
      </c>
    </row>
    <row r="360">
      <c r="A360" s="26" t="s">
        <v>1325</v>
      </c>
      <c r="B360" s="26" t="s">
        <v>505</v>
      </c>
      <c r="C360" s="27">
        <v>46063.0</v>
      </c>
      <c r="D360" s="27">
        <v>46063.0</v>
      </c>
      <c r="E360" s="26" t="s">
        <v>1121</v>
      </c>
      <c r="F360" s="26" t="s">
        <v>1200</v>
      </c>
    </row>
    <row r="361">
      <c r="A361" s="26" t="s">
        <v>1326</v>
      </c>
      <c r="B361" s="26" t="s">
        <v>546</v>
      </c>
      <c r="C361" s="27">
        <v>46063.0</v>
      </c>
      <c r="D361" s="27">
        <v>46063.0</v>
      </c>
      <c r="E361" s="26" t="s">
        <v>1121</v>
      </c>
      <c r="F361" s="26" t="s">
        <v>1200</v>
      </c>
    </row>
    <row r="362">
      <c r="A362" s="26" t="s">
        <v>1326</v>
      </c>
      <c r="B362" s="26" t="s">
        <v>546</v>
      </c>
      <c r="C362" s="27">
        <v>46063.0</v>
      </c>
      <c r="D362" s="27">
        <v>46063.0</v>
      </c>
      <c r="E362" s="26" t="s">
        <v>1121</v>
      </c>
      <c r="F362" s="26" t="s">
        <v>1200</v>
      </c>
    </row>
    <row r="363">
      <c r="A363" s="26" t="s">
        <v>1327</v>
      </c>
      <c r="B363" s="26" t="s">
        <v>432</v>
      </c>
      <c r="C363" s="27">
        <v>46063.0</v>
      </c>
      <c r="D363" s="27">
        <v>46063.0</v>
      </c>
      <c r="E363" s="26" t="s">
        <v>1121</v>
      </c>
      <c r="F363" s="26" t="s">
        <v>1200</v>
      </c>
    </row>
    <row r="364">
      <c r="A364" s="26" t="s">
        <v>1327</v>
      </c>
      <c r="B364" s="26" t="s">
        <v>432</v>
      </c>
      <c r="C364" s="27">
        <v>46063.0</v>
      </c>
      <c r="D364" s="27">
        <v>46063.0</v>
      </c>
      <c r="E364" s="26" t="s">
        <v>1121</v>
      </c>
      <c r="F364" s="26" t="s">
        <v>1200</v>
      </c>
    </row>
    <row r="365">
      <c r="A365" s="26" t="s">
        <v>1328</v>
      </c>
      <c r="B365" s="26" t="s">
        <v>1329</v>
      </c>
      <c r="C365" s="27">
        <v>46063.0</v>
      </c>
      <c r="D365" s="27">
        <v>46063.0</v>
      </c>
      <c r="E365" s="26" t="s">
        <v>1121</v>
      </c>
      <c r="F365" s="26" t="s">
        <v>1200</v>
      </c>
    </row>
    <row r="366">
      <c r="A366" s="26" t="s">
        <v>1330</v>
      </c>
      <c r="B366" s="26" t="s">
        <v>512</v>
      </c>
      <c r="C366" s="27">
        <v>46062.0</v>
      </c>
      <c r="D366" s="27">
        <v>46062.0</v>
      </c>
      <c r="E366" s="26" t="s">
        <v>1121</v>
      </c>
      <c r="F366" s="26" t="s">
        <v>1200</v>
      </c>
    </row>
    <row r="367">
      <c r="A367" s="26" t="s">
        <v>1330</v>
      </c>
      <c r="B367" s="26" t="s">
        <v>512</v>
      </c>
      <c r="C367" s="27">
        <v>46062.0</v>
      </c>
      <c r="D367" s="27">
        <v>46062.0</v>
      </c>
      <c r="E367" s="26" t="s">
        <v>1121</v>
      </c>
      <c r="F367" s="26" t="s">
        <v>1200</v>
      </c>
    </row>
    <row r="368">
      <c r="A368" s="26" t="s">
        <v>1330</v>
      </c>
      <c r="B368" s="26" t="s">
        <v>512</v>
      </c>
      <c r="C368" s="27">
        <v>46062.0</v>
      </c>
      <c r="D368" s="27">
        <v>46062.0</v>
      </c>
      <c r="E368" s="26" t="s">
        <v>1121</v>
      </c>
      <c r="F368" s="26" t="s">
        <v>1200</v>
      </c>
    </row>
    <row r="369">
      <c r="A369" s="26" t="s">
        <v>1330</v>
      </c>
      <c r="B369" s="26" t="s">
        <v>512</v>
      </c>
      <c r="C369" s="27">
        <v>46062.0</v>
      </c>
      <c r="D369" s="27">
        <v>46062.0</v>
      </c>
      <c r="E369" s="26" t="s">
        <v>1121</v>
      </c>
      <c r="F369" s="26" t="s">
        <v>1200</v>
      </c>
    </row>
    <row r="370">
      <c r="A370" s="26" t="s">
        <v>1330</v>
      </c>
      <c r="B370" s="26" t="s">
        <v>512</v>
      </c>
      <c r="C370" s="27">
        <v>46062.0</v>
      </c>
      <c r="D370" s="27">
        <v>46062.0</v>
      </c>
      <c r="E370" s="26" t="s">
        <v>1121</v>
      </c>
      <c r="F370" s="26" t="s">
        <v>1200</v>
      </c>
    </row>
    <row r="371">
      <c r="A371" s="26" t="s">
        <v>1331</v>
      </c>
      <c r="B371" s="26" t="s">
        <v>684</v>
      </c>
      <c r="C371" s="27">
        <v>46062.0</v>
      </c>
      <c r="D371" s="27">
        <v>46062.0</v>
      </c>
      <c r="E371" s="26" t="s">
        <v>1121</v>
      </c>
      <c r="F371" s="26" t="s">
        <v>1200</v>
      </c>
    </row>
    <row r="372">
      <c r="A372" s="26" t="s">
        <v>1332</v>
      </c>
      <c r="B372" s="26" t="s">
        <v>1333</v>
      </c>
      <c r="C372" s="27">
        <v>46062.0</v>
      </c>
      <c r="D372" s="27">
        <v>46062.0</v>
      </c>
      <c r="E372" s="26" t="s">
        <v>1121</v>
      </c>
      <c r="F372" s="26" t="s">
        <v>1200</v>
      </c>
    </row>
    <row r="373">
      <c r="A373" s="26" t="s">
        <v>1332</v>
      </c>
      <c r="B373" s="26" t="s">
        <v>1333</v>
      </c>
      <c r="C373" s="27">
        <v>46062.0</v>
      </c>
      <c r="D373" s="27">
        <v>46062.0</v>
      </c>
      <c r="E373" s="26" t="s">
        <v>1121</v>
      </c>
      <c r="F373" s="26" t="s">
        <v>1200</v>
      </c>
    </row>
    <row r="374">
      <c r="A374" s="26" t="s">
        <v>1334</v>
      </c>
      <c r="B374" s="26" t="s">
        <v>1335</v>
      </c>
      <c r="C374" s="27">
        <v>46062.0</v>
      </c>
      <c r="D374" s="27">
        <v>46062.0</v>
      </c>
      <c r="E374" s="26" t="s">
        <v>1121</v>
      </c>
      <c r="F374" s="26" t="s">
        <v>1200</v>
      </c>
    </row>
    <row r="375">
      <c r="A375" s="26" t="s">
        <v>1334</v>
      </c>
      <c r="B375" s="26" t="s">
        <v>1335</v>
      </c>
      <c r="C375" s="27">
        <v>46062.0</v>
      </c>
      <c r="D375" s="27">
        <v>46062.0</v>
      </c>
      <c r="E375" s="26" t="s">
        <v>1121</v>
      </c>
      <c r="F375" s="26" t="s">
        <v>1200</v>
      </c>
    </row>
    <row r="376">
      <c r="A376" s="26" t="s">
        <v>1334</v>
      </c>
      <c r="B376" s="26" t="s">
        <v>1335</v>
      </c>
      <c r="C376" s="27">
        <v>46062.0</v>
      </c>
      <c r="D376" s="27">
        <v>46062.0</v>
      </c>
      <c r="E376" s="26" t="s">
        <v>1121</v>
      </c>
      <c r="F376" s="26" t="s">
        <v>1200</v>
      </c>
    </row>
    <row r="377">
      <c r="A377" s="26" t="s">
        <v>1336</v>
      </c>
      <c r="B377" s="26" t="s">
        <v>717</v>
      </c>
      <c r="C377" s="27">
        <v>46062.0</v>
      </c>
      <c r="D377" s="27">
        <v>46062.0</v>
      </c>
      <c r="E377" s="26" t="s">
        <v>1121</v>
      </c>
      <c r="F377" s="26" t="s">
        <v>1200</v>
      </c>
    </row>
    <row r="378">
      <c r="A378" s="26" t="s">
        <v>1336</v>
      </c>
      <c r="B378" s="26" t="s">
        <v>717</v>
      </c>
      <c r="C378" s="27">
        <v>46062.0</v>
      </c>
      <c r="D378" s="27">
        <v>46062.0</v>
      </c>
      <c r="E378" s="26" t="s">
        <v>1121</v>
      </c>
      <c r="F378" s="26" t="s">
        <v>1200</v>
      </c>
    </row>
    <row r="379">
      <c r="A379" s="26" t="s">
        <v>1337</v>
      </c>
      <c r="B379" s="26" t="s">
        <v>776</v>
      </c>
      <c r="C379" s="27">
        <v>46062.0</v>
      </c>
      <c r="D379" s="27">
        <v>46062.0</v>
      </c>
      <c r="E379" s="26" t="s">
        <v>1121</v>
      </c>
      <c r="F379" s="26" t="s">
        <v>1200</v>
      </c>
    </row>
    <row r="380">
      <c r="A380" s="26" t="s">
        <v>1338</v>
      </c>
      <c r="B380" s="26" t="s">
        <v>599</v>
      </c>
      <c r="C380" s="27">
        <v>46062.0</v>
      </c>
      <c r="D380" s="27">
        <v>46062.0</v>
      </c>
      <c r="E380" s="26" t="s">
        <v>1121</v>
      </c>
      <c r="F380" s="26" t="s">
        <v>1200</v>
      </c>
    </row>
    <row r="381">
      <c r="A381" s="26" t="s">
        <v>1339</v>
      </c>
      <c r="B381" s="26" t="s">
        <v>522</v>
      </c>
      <c r="C381" s="27">
        <v>46062.0</v>
      </c>
      <c r="D381" s="27">
        <v>46062.0</v>
      </c>
      <c r="E381" s="26" t="s">
        <v>1121</v>
      </c>
      <c r="F381" s="26" t="s">
        <v>1200</v>
      </c>
    </row>
    <row r="382">
      <c r="A382" s="26" t="s">
        <v>1340</v>
      </c>
      <c r="B382" s="26" t="s">
        <v>546</v>
      </c>
      <c r="C382" s="27">
        <v>46060.0</v>
      </c>
      <c r="D382" s="27">
        <v>46060.0</v>
      </c>
      <c r="E382" s="26" t="s">
        <v>1121</v>
      </c>
      <c r="F382" s="26" t="s">
        <v>1200</v>
      </c>
    </row>
    <row r="383">
      <c r="A383" s="26" t="s">
        <v>1341</v>
      </c>
      <c r="B383" s="26" t="s">
        <v>668</v>
      </c>
      <c r="C383" s="27">
        <v>46060.0</v>
      </c>
      <c r="D383" s="27">
        <v>46060.0</v>
      </c>
      <c r="E383" s="26" t="s">
        <v>1121</v>
      </c>
      <c r="F383" s="26" t="s">
        <v>1200</v>
      </c>
    </row>
    <row r="384">
      <c r="A384" s="26" t="s">
        <v>1342</v>
      </c>
      <c r="B384" s="26" t="s">
        <v>428</v>
      </c>
      <c r="C384" s="27">
        <v>46060.0</v>
      </c>
      <c r="D384" s="27">
        <v>46060.0</v>
      </c>
      <c r="E384" s="26" t="s">
        <v>1121</v>
      </c>
      <c r="F384" s="26" t="s">
        <v>1200</v>
      </c>
    </row>
    <row r="385">
      <c r="A385" s="26" t="s">
        <v>1343</v>
      </c>
      <c r="B385" s="26" t="s">
        <v>467</v>
      </c>
      <c r="C385" s="27">
        <v>46060.0</v>
      </c>
      <c r="D385" s="27">
        <v>46060.0</v>
      </c>
      <c r="E385" s="26" t="s">
        <v>1121</v>
      </c>
      <c r="F385" s="26" t="s">
        <v>1200</v>
      </c>
    </row>
    <row r="386">
      <c r="A386" s="26" t="s">
        <v>1344</v>
      </c>
      <c r="B386" s="26" t="s">
        <v>483</v>
      </c>
      <c r="C386" s="27">
        <v>46059.0</v>
      </c>
      <c r="D386" s="27">
        <v>46059.0</v>
      </c>
      <c r="E386" s="26" t="s">
        <v>1121</v>
      </c>
      <c r="F386" s="26" t="s">
        <v>1200</v>
      </c>
    </row>
    <row r="387">
      <c r="A387" s="26" t="s">
        <v>1345</v>
      </c>
      <c r="B387" s="26" t="s">
        <v>512</v>
      </c>
      <c r="C387" s="27">
        <v>46059.0</v>
      </c>
      <c r="D387" s="27">
        <v>46059.0</v>
      </c>
      <c r="E387" s="26" t="s">
        <v>1121</v>
      </c>
      <c r="F387" s="26" t="s">
        <v>1200</v>
      </c>
    </row>
    <row r="388">
      <c r="A388" s="26" t="s">
        <v>1346</v>
      </c>
      <c r="B388" s="26" t="s">
        <v>542</v>
      </c>
      <c r="C388" s="27">
        <v>46059.0</v>
      </c>
      <c r="D388" s="27">
        <v>46059.0</v>
      </c>
      <c r="E388" s="26" t="s">
        <v>1121</v>
      </c>
      <c r="F388" s="26" t="s">
        <v>1200</v>
      </c>
    </row>
    <row r="389">
      <c r="A389" s="26" t="s">
        <v>1347</v>
      </c>
      <c r="B389" s="26" t="s">
        <v>546</v>
      </c>
      <c r="C389" s="27">
        <v>46059.0</v>
      </c>
      <c r="D389" s="27">
        <v>46059.0</v>
      </c>
      <c r="E389" s="26" t="s">
        <v>1121</v>
      </c>
      <c r="F389" s="26" t="s">
        <v>1200</v>
      </c>
    </row>
    <row r="390">
      <c r="A390" s="26" t="s">
        <v>1348</v>
      </c>
      <c r="B390" s="26" t="s">
        <v>432</v>
      </c>
      <c r="C390" s="27">
        <v>46059.0</v>
      </c>
      <c r="D390" s="27">
        <v>46059.0</v>
      </c>
      <c r="E390" s="26" t="s">
        <v>1121</v>
      </c>
      <c r="F390" s="26" t="s">
        <v>1200</v>
      </c>
    </row>
    <row r="391">
      <c r="A391" s="26" t="s">
        <v>1349</v>
      </c>
      <c r="B391" s="26" t="s">
        <v>435</v>
      </c>
      <c r="C391" s="27">
        <v>46059.0</v>
      </c>
      <c r="D391" s="27">
        <v>46059.0</v>
      </c>
      <c r="E391" s="26" t="s">
        <v>1121</v>
      </c>
      <c r="F391" s="26" t="s">
        <v>1200</v>
      </c>
    </row>
    <row r="392">
      <c r="A392" s="26" t="s">
        <v>1350</v>
      </c>
      <c r="B392" s="26" t="s">
        <v>1351</v>
      </c>
      <c r="C392" s="27">
        <v>46059.0</v>
      </c>
      <c r="D392" s="27">
        <v>46059.0</v>
      </c>
      <c r="E392" s="26" t="s">
        <v>1121</v>
      </c>
      <c r="F392" s="26" t="s">
        <v>1200</v>
      </c>
    </row>
    <row r="393">
      <c r="A393" s="26" t="s">
        <v>1352</v>
      </c>
      <c r="B393" s="26" t="s">
        <v>472</v>
      </c>
      <c r="C393" s="27">
        <v>46059.0</v>
      </c>
      <c r="D393" s="27">
        <v>46059.0</v>
      </c>
      <c r="E393" s="26" t="s">
        <v>1121</v>
      </c>
      <c r="F393" s="26" t="s">
        <v>1200</v>
      </c>
    </row>
    <row r="394">
      <c r="A394" s="26" t="s">
        <v>1353</v>
      </c>
      <c r="B394" s="26" t="s">
        <v>512</v>
      </c>
      <c r="C394" s="27">
        <v>46066.0</v>
      </c>
      <c r="D394" s="27">
        <v>46066.0</v>
      </c>
      <c r="E394" s="26" t="s">
        <v>1121</v>
      </c>
      <c r="F394" s="26" t="s">
        <v>1200</v>
      </c>
    </row>
    <row r="395">
      <c r="A395" s="26" t="s">
        <v>1353</v>
      </c>
      <c r="B395" s="26" t="s">
        <v>512</v>
      </c>
      <c r="C395" s="27">
        <v>46066.0</v>
      </c>
      <c r="D395" s="27">
        <v>46066.0</v>
      </c>
      <c r="E395" s="26" t="s">
        <v>1121</v>
      </c>
      <c r="F395" s="26" t="s">
        <v>1200</v>
      </c>
    </row>
    <row r="396">
      <c r="A396" s="26" t="s">
        <v>1354</v>
      </c>
      <c r="B396" s="26" t="s">
        <v>512</v>
      </c>
      <c r="C396" s="27">
        <v>46058.0</v>
      </c>
      <c r="D396" s="27">
        <v>46058.0</v>
      </c>
      <c r="E396" s="26" t="s">
        <v>1121</v>
      </c>
      <c r="F396" s="26" t="s">
        <v>1200</v>
      </c>
    </row>
    <row r="397">
      <c r="A397" s="26" t="s">
        <v>1354</v>
      </c>
      <c r="B397" s="26" t="s">
        <v>512</v>
      </c>
      <c r="C397" s="27">
        <v>46058.0</v>
      </c>
      <c r="D397" s="27">
        <v>46058.0</v>
      </c>
      <c r="E397" s="26" t="s">
        <v>1121</v>
      </c>
      <c r="F397" s="26" t="s">
        <v>1200</v>
      </c>
    </row>
    <row r="398">
      <c r="A398" s="26" t="s">
        <v>1354</v>
      </c>
      <c r="B398" s="26" t="s">
        <v>512</v>
      </c>
      <c r="C398" s="27">
        <v>46058.0</v>
      </c>
      <c r="D398" s="27">
        <v>46058.0</v>
      </c>
      <c r="E398" s="26" t="s">
        <v>1121</v>
      </c>
      <c r="F398" s="26" t="s">
        <v>1200</v>
      </c>
    </row>
    <row r="399">
      <c r="A399" s="26" t="s">
        <v>1355</v>
      </c>
      <c r="B399" s="26" t="s">
        <v>1333</v>
      </c>
      <c r="C399" s="27">
        <v>46058.0</v>
      </c>
      <c r="D399" s="27">
        <v>46058.0</v>
      </c>
      <c r="E399" s="26" t="s">
        <v>1121</v>
      </c>
      <c r="F399" s="26" t="s">
        <v>1200</v>
      </c>
    </row>
    <row r="400">
      <c r="A400" s="26" t="s">
        <v>1356</v>
      </c>
      <c r="B400" s="26" t="s">
        <v>776</v>
      </c>
      <c r="C400" s="27">
        <v>46058.0</v>
      </c>
      <c r="D400" s="27">
        <v>46058.0</v>
      </c>
      <c r="E400" s="26" t="s">
        <v>1121</v>
      </c>
      <c r="F400" s="26" t="s">
        <v>1200</v>
      </c>
    </row>
    <row r="401">
      <c r="A401" s="26" t="s">
        <v>1357</v>
      </c>
      <c r="B401" s="26" t="s">
        <v>383</v>
      </c>
      <c r="C401" s="27">
        <v>46058.0</v>
      </c>
      <c r="D401" s="27">
        <v>46058.0</v>
      </c>
      <c r="E401" s="26" t="s">
        <v>1121</v>
      </c>
      <c r="F401" s="26" t="s">
        <v>1200</v>
      </c>
    </row>
    <row r="402">
      <c r="A402" s="26" t="s">
        <v>1358</v>
      </c>
      <c r="B402" s="26" t="s">
        <v>379</v>
      </c>
      <c r="C402" s="27">
        <v>46058.0</v>
      </c>
      <c r="D402" s="27">
        <v>46058.0</v>
      </c>
      <c r="E402" s="26" t="s">
        <v>1121</v>
      </c>
      <c r="F402" s="26" t="s">
        <v>1200</v>
      </c>
    </row>
    <row r="403">
      <c r="A403" s="26" t="s">
        <v>1359</v>
      </c>
      <c r="B403" s="26" t="s">
        <v>739</v>
      </c>
      <c r="C403" s="27">
        <v>46058.0</v>
      </c>
      <c r="D403" s="27">
        <v>46058.0</v>
      </c>
      <c r="E403" s="26" t="s">
        <v>1121</v>
      </c>
      <c r="F403" s="26" t="s">
        <v>1200</v>
      </c>
    </row>
    <row r="404">
      <c r="A404" s="26" t="s">
        <v>1360</v>
      </c>
      <c r="B404" s="26" t="s">
        <v>542</v>
      </c>
      <c r="C404" s="27">
        <v>46058.0</v>
      </c>
      <c r="D404" s="27">
        <v>46058.0</v>
      </c>
      <c r="E404" s="26" t="s">
        <v>1121</v>
      </c>
      <c r="F404" s="26" t="s">
        <v>1200</v>
      </c>
    </row>
    <row r="405">
      <c r="A405" s="26" t="s">
        <v>1361</v>
      </c>
      <c r="B405" s="26" t="s">
        <v>1335</v>
      </c>
      <c r="C405" s="27">
        <v>46058.0</v>
      </c>
      <c r="D405" s="27">
        <v>46058.0</v>
      </c>
      <c r="E405" s="26" t="s">
        <v>1121</v>
      </c>
      <c r="F405" s="26" t="s">
        <v>1200</v>
      </c>
    </row>
    <row r="406">
      <c r="A406" s="26" t="s">
        <v>1361</v>
      </c>
      <c r="B406" s="26" t="s">
        <v>1335</v>
      </c>
      <c r="C406" s="27">
        <v>46058.0</v>
      </c>
      <c r="D406" s="27">
        <v>46058.0</v>
      </c>
      <c r="E406" s="26" t="s">
        <v>1121</v>
      </c>
      <c r="F406" s="26" t="s">
        <v>1200</v>
      </c>
    </row>
    <row r="407">
      <c r="A407" s="26" t="s">
        <v>1361</v>
      </c>
      <c r="B407" s="26" t="s">
        <v>1335</v>
      </c>
      <c r="C407" s="27">
        <v>46058.0</v>
      </c>
      <c r="D407" s="27">
        <v>46058.0</v>
      </c>
      <c r="E407" s="26" t="s">
        <v>1121</v>
      </c>
      <c r="F407" s="26" t="s">
        <v>1200</v>
      </c>
    </row>
    <row r="408">
      <c r="A408" s="26" t="s">
        <v>1361</v>
      </c>
      <c r="B408" s="26" t="s">
        <v>1335</v>
      </c>
      <c r="C408" s="27">
        <v>46058.0</v>
      </c>
      <c r="D408" s="27">
        <v>46058.0</v>
      </c>
      <c r="E408" s="26" t="s">
        <v>1121</v>
      </c>
      <c r="F408" s="26" t="s">
        <v>1200</v>
      </c>
    </row>
    <row r="409">
      <c r="A409" s="26" t="s">
        <v>1361</v>
      </c>
      <c r="B409" s="26" t="s">
        <v>1335</v>
      </c>
      <c r="C409" s="27">
        <v>46058.0</v>
      </c>
      <c r="D409" s="27">
        <v>46058.0</v>
      </c>
      <c r="E409" s="26" t="s">
        <v>1121</v>
      </c>
      <c r="F409" s="26" t="s">
        <v>1200</v>
      </c>
    </row>
    <row r="410">
      <c r="A410" s="26" t="s">
        <v>1362</v>
      </c>
      <c r="B410" s="26" t="s">
        <v>1363</v>
      </c>
      <c r="C410" s="27">
        <v>46058.0</v>
      </c>
      <c r="D410" s="27">
        <v>46058.0</v>
      </c>
      <c r="E410" s="26" t="s">
        <v>1121</v>
      </c>
      <c r="F410" s="26" t="s">
        <v>1200</v>
      </c>
    </row>
    <row r="411">
      <c r="A411" s="26" t="s">
        <v>1364</v>
      </c>
      <c r="B411" s="26" t="s">
        <v>1365</v>
      </c>
      <c r="C411" s="27">
        <v>46058.0</v>
      </c>
      <c r="D411" s="27">
        <v>46058.0</v>
      </c>
      <c r="E411" s="26" t="s">
        <v>1121</v>
      </c>
      <c r="F411" s="26" t="s">
        <v>1200</v>
      </c>
    </row>
    <row r="412">
      <c r="A412" s="26" t="s">
        <v>1364</v>
      </c>
      <c r="B412" s="26" t="s">
        <v>1365</v>
      </c>
      <c r="C412" s="27">
        <v>46058.0</v>
      </c>
      <c r="D412" s="27">
        <v>46058.0</v>
      </c>
      <c r="E412" s="26" t="s">
        <v>1121</v>
      </c>
      <c r="F412" s="26" t="s">
        <v>1200</v>
      </c>
    </row>
    <row r="413">
      <c r="A413" s="26" t="s">
        <v>1364</v>
      </c>
      <c r="B413" s="26" t="s">
        <v>1365</v>
      </c>
      <c r="C413" s="27">
        <v>46058.0</v>
      </c>
      <c r="D413" s="27">
        <v>46058.0</v>
      </c>
      <c r="E413" s="26" t="s">
        <v>1121</v>
      </c>
      <c r="F413" s="26" t="s">
        <v>1200</v>
      </c>
    </row>
    <row r="414">
      <c r="A414" s="26" t="s">
        <v>1364</v>
      </c>
      <c r="B414" s="26" t="s">
        <v>1365</v>
      </c>
      <c r="C414" s="27">
        <v>46058.0</v>
      </c>
      <c r="D414" s="27">
        <v>46058.0</v>
      </c>
      <c r="E414" s="26" t="s">
        <v>1121</v>
      </c>
      <c r="F414" s="26" t="s">
        <v>1200</v>
      </c>
    </row>
    <row r="415">
      <c r="A415" s="26" t="s">
        <v>1364</v>
      </c>
      <c r="B415" s="26" t="s">
        <v>1365</v>
      </c>
      <c r="C415" s="27">
        <v>46058.0</v>
      </c>
      <c r="D415" s="27">
        <v>46058.0</v>
      </c>
      <c r="E415" s="26" t="s">
        <v>1121</v>
      </c>
      <c r="F415" s="26" t="s">
        <v>1200</v>
      </c>
    </row>
    <row r="416">
      <c r="A416" s="26" t="s">
        <v>1364</v>
      </c>
      <c r="B416" s="26" t="s">
        <v>1365</v>
      </c>
      <c r="C416" s="27">
        <v>46058.0</v>
      </c>
      <c r="D416" s="27">
        <v>46058.0</v>
      </c>
      <c r="E416" s="26" t="s">
        <v>1121</v>
      </c>
      <c r="F416" s="26" t="s">
        <v>1200</v>
      </c>
    </row>
    <row r="417">
      <c r="A417" s="26" t="s">
        <v>1364</v>
      </c>
      <c r="B417" s="26" t="s">
        <v>1365</v>
      </c>
      <c r="C417" s="27">
        <v>46058.0</v>
      </c>
      <c r="D417" s="27">
        <v>46058.0</v>
      </c>
      <c r="E417" s="26" t="s">
        <v>1121</v>
      </c>
      <c r="F417" s="26" t="s">
        <v>1200</v>
      </c>
    </row>
    <row r="418">
      <c r="A418" s="26" t="s">
        <v>1366</v>
      </c>
      <c r="B418" s="26" t="s">
        <v>717</v>
      </c>
      <c r="C418" s="27">
        <v>46058.0</v>
      </c>
      <c r="D418" s="27">
        <v>46058.0</v>
      </c>
      <c r="E418" s="26" t="s">
        <v>1121</v>
      </c>
      <c r="F418" s="26" t="s">
        <v>1200</v>
      </c>
    </row>
    <row r="419">
      <c r="A419" s="26" t="s">
        <v>1367</v>
      </c>
      <c r="B419" s="26" t="s">
        <v>745</v>
      </c>
      <c r="C419" s="27">
        <v>46062.0</v>
      </c>
      <c r="D419" s="27">
        <v>46062.0</v>
      </c>
      <c r="E419" s="26" t="s">
        <v>1121</v>
      </c>
      <c r="F419" s="26" t="s">
        <v>1200</v>
      </c>
    </row>
    <row r="420">
      <c r="A420" s="26" t="s">
        <v>1367</v>
      </c>
      <c r="B420" s="26" t="s">
        <v>745</v>
      </c>
      <c r="C420" s="27">
        <v>46062.0</v>
      </c>
      <c r="D420" s="27">
        <v>46062.0</v>
      </c>
      <c r="E420" s="26" t="s">
        <v>1121</v>
      </c>
      <c r="F420" s="26" t="s">
        <v>1200</v>
      </c>
    </row>
    <row r="421">
      <c r="A421" s="26" t="s">
        <v>1367</v>
      </c>
      <c r="B421" s="26" t="s">
        <v>745</v>
      </c>
      <c r="C421" s="27">
        <v>46062.0</v>
      </c>
      <c r="D421" s="27">
        <v>46062.0</v>
      </c>
      <c r="E421" s="26" t="s">
        <v>1121</v>
      </c>
      <c r="F421" s="26" t="s">
        <v>1200</v>
      </c>
    </row>
    <row r="422">
      <c r="A422" s="26" t="s">
        <v>1367</v>
      </c>
      <c r="B422" s="26" t="s">
        <v>745</v>
      </c>
      <c r="C422" s="27">
        <v>46062.0</v>
      </c>
      <c r="D422" s="27">
        <v>46062.0</v>
      </c>
      <c r="E422" s="26" t="s">
        <v>1121</v>
      </c>
      <c r="F422" s="26" t="s">
        <v>1200</v>
      </c>
    </row>
    <row r="423">
      <c r="A423" s="26" t="s">
        <v>1367</v>
      </c>
      <c r="B423" s="26" t="s">
        <v>745</v>
      </c>
      <c r="C423" s="27">
        <v>46062.0</v>
      </c>
      <c r="D423" s="27">
        <v>46062.0</v>
      </c>
      <c r="E423" s="26" t="s">
        <v>1121</v>
      </c>
      <c r="F423" s="26" t="s">
        <v>1200</v>
      </c>
    </row>
    <row r="424">
      <c r="A424" s="26" t="s">
        <v>1367</v>
      </c>
      <c r="B424" s="26" t="s">
        <v>745</v>
      </c>
      <c r="C424" s="27">
        <v>46062.0</v>
      </c>
      <c r="D424" s="27">
        <v>46062.0</v>
      </c>
      <c r="E424" s="26" t="s">
        <v>1121</v>
      </c>
      <c r="F424" s="26" t="s">
        <v>1200</v>
      </c>
    </row>
    <row r="425">
      <c r="A425" s="26" t="s">
        <v>1367</v>
      </c>
      <c r="B425" s="26" t="s">
        <v>745</v>
      </c>
      <c r="C425" s="27">
        <v>46062.0</v>
      </c>
      <c r="D425" s="27">
        <v>46062.0</v>
      </c>
      <c r="E425" s="26" t="s">
        <v>1121</v>
      </c>
      <c r="F425" s="26" t="s">
        <v>1200</v>
      </c>
    </row>
    <row r="426">
      <c r="A426" s="26" t="s">
        <v>1367</v>
      </c>
      <c r="B426" s="26" t="s">
        <v>745</v>
      </c>
      <c r="C426" s="27">
        <v>46062.0</v>
      </c>
      <c r="D426" s="27">
        <v>46062.0</v>
      </c>
      <c r="E426" s="26" t="s">
        <v>1121</v>
      </c>
      <c r="F426" s="26" t="s">
        <v>1200</v>
      </c>
    </row>
    <row r="427">
      <c r="A427" s="26" t="s">
        <v>1367</v>
      </c>
      <c r="B427" s="26" t="s">
        <v>745</v>
      </c>
      <c r="C427" s="27">
        <v>46062.0</v>
      </c>
      <c r="D427" s="27">
        <v>46062.0</v>
      </c>
      <c r="E427" s="26" t="s">
        <v>1121</v>
      </c>
      <c r="F427" s="26" t="s">
        <v>1200</v>
      </c>
    </row>
    <row r="428">
      <c r="A428" s="26" t="s">
        <v>1367</v>
      </c>
      <c r="B428" s="26" t="s">
        <v>745</v>
      </c>
      <c r="C428" s="27">
        <v>46062.0</v>
      </c>
      <c r="D428" s="27">
        <v>46062.0</v>
      </c>
      <c r="E428" s="26" t="s">
        <v>1121</v>
      </c>
      <c r="F428" s="26" t="s">
        <v>1200</v>
      </c>
    </row>
    <row r="429">
      <c r="A429" s="26" t="s">
        <v>1367</v>
      </c>
      <c r="B429" s="26" t="s">
        <v>745</v>
      </c>
      <c r="C429" s="27">
        <v>46062.0</v>
      </c>
      <c r="D429" s="27">
        <v>46062.0</v>
      </c>
      <c r="E429" s="26" t="s">
        <v>1121</v>
      </c>
      <c r="F429" s="26" t="s">
        <v>1200</v>
      </c>
    </row>
    <row r="430">
      <c r="A430" s="26" t="s">
        <v>1367</v>
      </c>
      <c r="B430" s="26" t="s">
        <v>745</v>
      </c>
      <c r="C430" s="27">
        <v>46062.0</v>
      </c>
      <c r="D430" s="27">
        <v>46062.0</v>
      </c>
      <c r="E430" s="26" t="s">
        <v>1121</v>
      </c>
      <c r="F430" s="26" t="s">
        <v>1200</v>
      </c>
    </row>
    <row r="431">
      <c r="A431" s="26" t="s">
        <v>1367</v>
      </c>
      <c r="B431" s="26" t="s">
        <v>745</v>
      </c>
      <c r="C431" s="27">
        <v>46062.0</v>
      </c>
      <c r="D431" s="27">
        <v>46062.0</v>
      </c>
      <c r="E431" s="26" t="s">
        <v>1121</v>
      </c>
      <c r="F431" s="26" t="s">
        <v>1200</v>
      </c>
    </row>
    <row r="432">
      <c r="A432" s="26" t="s">
        <v>1367</v>
      </c>
      <c r="B432" s="26" t="s">
        <v>745</v>
      </c>
      <c r="C432" s="27">
        <v>46062.0</v>
      </c>
      <c r="D432" s="27">
        <v>46062.0</v>
      </c>
      <c r="E432" s="26" t="s">
        <v>1121</v>
      </c>
      <c r="F432" s="26" t="s">
        <v>1200</v>
      </c>
    </row>
    <row r="433">
      <c r="A433" s="26" t="s">
        <v>1367</v>
      </c>
      <c r="B433" s="26" t="s">
        <v>745</v>
      </c>
      <c r="C433" s="27">
        <v>46062.0</v>
      </c>
      <c r="D433" s="27">
        <v>46062.0</v>
      </c>
      <c r="E433" s="26" t="s">
        <v>1121</v>
      </c>
      <c r="F433" s="26" t="s">
        <v>1200</v>
      </c>
    </row>
    <row r="434">
      <c r="A434" s="26" t="s">
        <v>1367</v>
      </c>
      <c r="B434" s="26" t="s">
        <v>745</v>
      </c>
      <c r="C434" s="27">
        <v>46062.0</v>
      </c>
      <c r="D434" s="27">
        <v>46062.0</v>
      </c>
      <c r="E434" s="26" t="s">
        <v>1121</v>
      </c>
      <c r="F434" s="26" t="s">
        <v>1200</v>
      </c>
    </row>
    <row r="435">
      <c r="A435" s="26" t="s">
        <v>1367</v>
      </c>
      <c r="B435" s="26" t="s">
        <v>745</v>
      </c>
      <c r="C435" s="27">
        <v>46062.0</v>
      </c>
      <c r="D435" s="27">
        <v>46062.0</v>
      </c>
      <c r="E435" s="26" t="s">
        <v>1121</v>
      </c>
      <c r="F435" s="26" t="s">
        <v>1200</v>
      </c>
    </row>
    <row r="436">
      <c r="A436" s="26" t="s">
        <v>1368</v>
      </c>
      <c r="B436" s="26" t="s">
        <v>512</v>
      </c>
      <c r="C436" s="27">
        <v>46057.0</v>
      </c>
      <c r="D436" s="27">
        <v>46057.0</v>
      </c>
      <c r="E436" s="26" t="s">
        <v>1121</v>
      </c>
      <c r="F436" s="26" t="s">
        <v>1200</v>
      </c>
    </row>
    <row r="437">
      <c r="A437" s="26" t="s">
        <v>1368</v>
      </c>
      <c r="B437" s="26" t="s">
        <v>512</v>
      </c>
      <c r="C437" s="27">
        <v>46057.0</v>
      </c>
      <c r="D437" s="27">
        <v>46057.0</v>
      </c>
      <c r="E437" s="26" t="s">
        <v>1121</v>
      </c>
      <c r="F437" s="26" t="s">
        <v>1200</v>
      </c>
    </row>
    <row r="438">
      <c r="A438" s="26" t="s">
        <v>1369</v>
      </c>
      <c r="B438" s="26" t="s">
        <v>1333</v>
      </c>
      <c r="C438" s="27">
        <v>46057.0</v>
      </c>
      <c r="D438" s="27">
        <v>46057.0</v>
      </c>
      <c r="E438" s="26" t="s">
        <v>1121</v>
      </c>
      <c r="F438" s="26" t="s">
        <v>1200</v>
      </c>
    </row>
    <row r="439">
      <c r="A439" s="26" t="s">
        <v>1370</v>
      </c>
      <c r="B439" s="26" t="s">
        <v>595</v>
      </c>
      <c r="C439" s="27">
        <v>46057.0</v>
      </c>
      <c r="D439" s="27">
        <v>46057.0</v>
      </c>
      <c r="E439" s="26" t="s">
        <v>1121</v>
      </c>
      <c r="F439" s="26" t="s">
        <v>1200</v>
      </c>
    </row>
    <row r="440">
      <c r="A440" s="26" t="s">
        <v>1371</v>
      </c>
      <c r="B440" s="26" t="s">
        <v>444</v>
      </c>
      <c r="C440" s="27">
        <v>46057.0</v>
      </c>
      <c r="D440" s="27">
        <v>46057.0</v>
      </c>
      <c r="E440" s="26" t="s">
        <v>1121</v>
      </c>
      <c r="F440" s="26" t="s">
        <v>1200</v>
      </c>
    </row>
    <row r="441">
      <c r="A441" s="26" t="s">
        <v>1371</v>
      </c>
      <c r="B441" s="26" t="s">
        <v>444</v>
      </c>
      <c r="C441" s="27">
        <v>46057.0</v>
      </c>
      <c r="D441" s="27">
        <v>46057.0</v>
      </c>
      <c r="E441" s="26" t="s">
        <v>1121</v>
      </c>
      <c r="F441" s="26" t="s">
        <v>1200</v>
      </c>
    </row>
    <row r="442">
      <c r="A442" s="26" t="s">
        <v>1372</v>
      </c>
      <c r="B442" s="26" t="s">
        <v>591</v>
      </c>
      <c r="C442" s="27">
        <v>46057.0</v>
      </c>
      <c r="D442" s="27">
        <v>46057.0</v>
      </c>
      <c r="E442" s="26" t="s">
        <v>1121</v>
      </c>
      <c r="F442" s="26" t="s">
        <v>1200</v>
      </c>
    </row>
    <row r="443">
      <c r="A443" s="26" t="s">
        <v>1373</v>
      </c>
      <c r="B443" s="26" t="s">
        <v>448</v>
      </c>
      <c r="C443" s="27">
        <v>46057.0</v>
      </c>
      <c r="D443" s="27">
        <v>46057.0</v>
      </c>
      <c r="E443" s="26" t="s">
        <v>1121</v>
      </c>
      <c r="F443" s="26" t="s">
        <v>1200</v>
      </c>
    </row>
    <row r="444">
      <c r="A444" s="26" t="s">
        <v>1373</v>
      </c>
      <c r="B444" s="26" t="s">
        <v>448</v>
      </c>
      <c r="C444" s="27">
        <v>46057.0</v>
      </c>
      <c r="D444" s="27">
        <v>46057.0</v>
      </c>
      <c r="E444" s="26" t="s">
        <v>1121</v>
      </c>
      <c r="F444" s="26" t="s">
        <v>1200</v>
      </c>
    </row>
    <row r="445">
      <c r="A445" s="26" t="s">
        <v>1374</v>
      </c>
      <c r="B445" s="26" t="s">
        <v>662</v>
      </c>
      <c r="C445" s="27">
        <v>46057.0</v>
      </c>
      <c r="D445" s="27">
        <v>46057.0</v>
      </c>
      <c r="E445" s="26" t="s">
        <v>1121</v>
      </c>
      <c r="F445" s="26" t="s">
        <v>1200</v>
      </c>
    </row>
    <row r="446">
      <c r="A446" s="26" t="s">
        <v>1374</v>
      </c>
      <c r="B446" s="26" t="s">
        <v>662</v>
      </c>
      <c r="C446" s="27">
        <v>46057.0</v>
      </c>
      <c r="D446" s="27">
        <v>46057.0</v>
      </c>
      <c r="E446" s="26" t="s">
        <v>1121</v>
      </c>
      <c r="F446" s="26" t="s">
        <v>1200</v>
      </c>
    </row>
    <row r="447">
      <c r="A447" s="26" t="s">
        <v>1375</v>
      </c>
      <c r="B447" s="26" t="s">
        <v>720</v>
      </c>
      <c r="C447" s="27">
        <v>46056.0</v>
      </c>
      <c r="D447" s="27">
        <v>46056.0</v>
      </c>
      <c r="E447" s="26" t="s">
        <v>1121</v>
      </c>
      <c r="F447" s="26" t="s">
        <v>1200</v>
      </c>
    </row>
    <row r="448">
      <c r="A448" s="26" t="s">
        <v>1375</v>
      </c>
      <c r="B448" s="26" t="s">
        <v>720</v>
      </c>
      <c r="C448" s="27">
        <v>46056.0</v>
      </c>
      <c r="D448" s="27">
        <v>46056.0</v>
      </c>
      <c r="E448" s="26" t="s">
        <v>1121</v>
      </c>
      <c r="F448" s="26" t="s">
        <v>1200</v>
      </c>
    </row>
    <row r="449">
      <c r="A449" s="26" t="s">
        <v>1376</v>
      </c>
      <c r="B449" s="26" t="s">
        <v>717</v>
      </c>
      <c r="C449" s="27">
        <v>46056.0</v>
      </c>
      <c r="D449" s="27">
        <v>46056.0</v>
      </c>
      <c r="E449" s="26" t="s">
        <v>1121</v>
      </c>
      <c r="F449" s="26" t="s">
        <v>1200</v>
      </c>
    </row>
    <row r="450">
      <c r="A450" s="26" t="s">
        <v>1376</v>
      </c>
      <c r="B450" s="26" t="s">
        <v>717</v>
      </c>
      <c r="C450" s="27">
        <v>46056.0</v>
      </c>
      <c r="D450" s="27">
        <v>46056.0</v>
      </c>
      <c r="E450" s="26" t="s">
        <v>1121</v>
      </c>
      <c r="F450" s="26" t="s">
        <v>1200</v>
      </c>
    </row>
    <row r="451">
      <c r="A451" s="26" t="s">
        <v>1377</v>
      </c>
      <c r="B451" s="26" t="s">
        <v>435</v>
      </c>
      <c r="C451" s="27">
        <v>46056.0</v>
      </c>
      <c r="D451" s="27">
        <v>46056.0</v>
      </c>
      <c r="E451" s="26" t="s">
        <v>1121</v>
      </c>
      <c r="F451" s="26" t="s">
        <v>1200</v>
      </c>
    </row>
    <row r="452">
      <c r="A452" s="26" t="s">
        <v>1378</v>
      </c>
      <c r="B452" s="26" t="s">
        <v>432</v>
      </c>
      <c r="C452" s="27">
        <v>46056.0</v>
      </c>
      <c r="D452" s="27">
        <v>46056.0</v>
      </c>
      <c r="E452" s="26" t="s">
        <v>1121</v>
      </c>
      <c r="F452" s="26" t="s">
        <v>1200</v>
      </c>
    </row>
    <row r="453">
      <c r="A453" s="26" t="s">
        <v>1379</v>
      </c>
      <c r="B453" s="26" t="s">
        <v>760</v>
      </c>
      <c r="C453" s="27">
        <v>46055.0</v>
      </c>
      <c r="D453" s="27">
        <v>46055.0</v>
      </c>
      <c r="E453" s="26" t="s">
        <v>1121</v>
      </c>
      <c r="F453" s="26" t="s">
        <v>1200</v>
      </c>
    </row>
    <row r="454">
      <c r="A454" s="26" t="s">
        <v>1379</v>
      </c>
      <c r="B454" s="26" t="s">
        <v>760</v>
      </c>
      <c r="C454" s="27">
        <v>46055.0</v>
      </c>
      <c r="D454" s="27">
        <v>46055.0</v>
      </c>
      <c r="E454" s="26" t="s">
        <v>1121</v>
      </c>
      <c r="F454" s="26" t="s">
        <v>1200</v>
      </c>
    </row>
    <row r="455">
      <c r="A455" s="26" t="s">
        <v>1379</v>
      </c>
      <c r="B455" s="26" t="s">
        <v>760</v>
      </c>
      <c r="C455" s="27">
        <v>46055.0</v>
      </c>
      <c r="D455" s="27">
        <v>46055.0</v>
      </c>
      <c r="E455" s="26" t="s">
        <v>1121</v>
      </c>
      <c r="F455" s="26" t="s">
        <v>1200</v>
      </c>
    </row>
    <row r="456">
      <c r="A456" s="26" t="s">
        <v>1379</v>
      </c>
      <c r="B456" s="26" t="s">
        <v>760</v>
      </c>
      <c r="C456" s="27">
        <v>46055.0</v>
      </c>
      <c r="D456" s="27">
        <v>46055.0</v>
      </c>
      <c r="E456" s="26" t="s">
        <v>1121</v>
      </c>
      <c r="F456" s="26" t="s">
        <v>1200</v>
      </c>
    </row>
    <row r="457">
      <c r="A457" s="26" t="s">
        <v>1380</v>
      </c>
      <c r="B457" s="26" t="s">
        <v>693</v>
      </c>
      <c r="C457" s="27">
        <v>46055.0</v>
      </c>
      <c r="D457" s="27">
        <v>46055.0</v>
      </c>
      <c r="E457" s="26" t="s">
        <v>1121</v>
      </c>
      <c r="F457" s="26" t="s">
        <v>1200</v>
      </c>
    </row>
    <row r="458">
      <c r="A458" s="26" t="s">
        <v>1381</v>
      </c>
      <c r="B458" s="26" t="s">
        <v>512</v>
      </c>
      <c r="C458" s="27">
        <v>46055.0</v>
      </c>
      <c r="D458" s="27">
        <v>46055.0</v>
      </c>
      <c r="E458" s="26" t="s">
        <v>1121</v>
      </c>
      <c r="F458" s="26" t="s">
        <v>1200</v>
      </c>
    </row>
    <row r="459">
      <c r="A459" s="26" t="s">
        <v>1382</v>
      </c>
      <c r="B459" s="26" t="s">
        <v>1383</v>
      </c>
      <c r="C459" s="27">
        <v>46055.0</v>
      </c>
      <c r="D459" s="27">
        <v>46055.0</v>
      </c>
      <c r="E459" s="26" t="s">
        <v>1121</v>
      </c>
      <c r="F459" s="26" t="s">
        <v>1200</v>
      </c>
    </row>
    <row r="460">
      <c r="A460" s="26" t="s">
        <v>1384</v>
      </c>
      <c r="B460" s="26" t="s">
        <v>458</v>
      </c>
      <c r="C460" s="27">
        <v>46055.0</v>
      </c>
      <c r="D460" s="27">
        <v>46055.0</v>
      </c>
      <c r="E460" s="26" t="s">
        <v>1121</v>
      </c>
      <c r="F460" s="26" t="s">
        <v>1200</v>
      </c>
    </row>
    <row r="461">
      <c r="A461" s="26" t="s">
        <v>1385</v>
      </c>
      <c r="B461" s="26" t="s">
        <v>1226</v>
      </c>
      <c r="C461" s="27">
        <v>46060.0</v>
      </c>
      <c r="D461" s="27">
        <v>46060.0</v>
      </c>
      <c r="E461" s="26" t="s">
        <v>1121</v>
      </c>
      <c r="F461" s="26" t="s">
        <v>1200</v>
      </c>
    </row>
    <row r="462">
      <c r="A462" s="26" t="s">
        <v>1385</v>
      </c>
      <c r="B462" s="26" t="s">
        <v>1226</v>
      </c>
      <c r="C462" s="27">
        <v>46060.0</v>
      </c>
      <c r="D462" s="27">
        <v>46060.0</v>
      </c>
      <c r="E462" s="26" t="s">
        <v>1121</v>
      </c>
      <c r="F462" s="26" t="s">
        <v>1200</v>
      </c>
    </row>
    <row r="463">
      <c r="A463" s="26" t="s">
        <v>1385</v>
      </c>
      <c r="B463" s="26" t="s">
        <v>1226</v>
      </c>
      <c r="C463" s="27">
        <v>46060.0</v>
      </c>
      <c r="D463" s="27">
        <v>46060.0</v>
      </c>
      <c r="E463" s="26" t="s">
        <v>1121</v>
      </c>
      <c r="F463" s="26" t="s">
        <v>1200</v>
      </c>
    </row>
    <row r="464">
      <c r="A464" s="26" t="s">
        <v>1385</v>
      </c>
      <c r="B464" s="26" t="s">
        <v>1226</v>
      </c>
      <c r="C464" s="27">
        <v>46060.0</v>
      </c>
      <c r="D464" s="27">
        <v>46060.0</v>
      </c>
      <c r="E464" s="26" t="s">
        <v>1121</v>
      </c>
      <c r="F464" s="26" t="s">
        <v>1200</v>
      </c>
    </row>
    <row r="465">
      <c r="A465" s="26" t="s">
        <v>1385</v>
      </c>
      <c r="B465" s="26" t="s">
        <v>1226</v>
      </c>
      <c r="C465" s="27">
        <v>46060.0</v>
      </c>
      <c r="D465" s="27">
        <v>46060.0</v>
      </c>
      <c r="E465" s="26" t="s">
        <v>1121</v>
      </c>
      <c r="F465" s="26" t="s">
        <v>1200</v>
      </c>
    </row>
    <row r="466">
      <c r="A466" s="26" t="s">
        <v>1385</v>
      </c>
      <c r="B466" s="26" t="s">
        <v>1226</v>
      </c>
      <c r="C466" s="27">
        <v>46060.0</v>
      </c>
      <c r="D466" s="27">
        <v>46060.0</v>
      </c>
      <c r="E466" s="26" t="s">
        <v>1121</v>
      </c>
      <c r="F466" s="26" t="s">
        <v>1200</v>
      </c>
    </row>
    <row r="467">
      <c r="A467" s="26" t="s">
        <v>1386</v>
      </c>
      <c r="B467" s="26" t="s">
        <v>731</v>
      </c>
      <c r="C467" s="27">
        <v>46060.0</v>
      </c>
      <c r="D467" s="27">
        <v>46060.0</v>
      </c>
      <c r="E467" s="26" t="s">
        <v>1121</v>
      </c>
      <c r="F467" s="26" t="s">
        <v>1200</v>
      </c>
    </row>
    <row r="468">
      <c r="A468" s="26" t="s">
        <v>1386</v>
      </c>
      <c r="B468" s="26" t="s">
        <v>731</v>
      </c>
      <c r="C468" s="27">
        <v>46060.0</v>
      </c>
      <c r="D468" s="27">
        <v>46060.0</v>
      </c>
      <c r="E468" s="26" t="s">
        <v>1121</v>
      </c>
      <c r="F468" s="26" t="s">
        <v>1200</v>
      </c>
    </row>
    <row r="469">
      <c r="A469" s="26" t="s">
        <v>1386</v>
      </c>
      <c r="B469" s="26" t="s">
        <v>731</v>
      </c>
      <c r="C469" s="27">
        <v>46060.0</v>
      </c>
      <c r="D469" s="27">
        <v>46060.0</v>
      </c>
      <c r="E469" s="26" t="s">
        <v>1121</v>
      </c>
      <c r="F469" s="26" t="s">
        <v>1200</v>
      </c>
    </row>
    <row r="470">
      <c r="A470" s="26" t="s">
        <v>1386</v>
      </c>
      <c r="B470" s="26" t="s">
        <v>731</v>
      </c>
      <c r="C470" s="27">
        <v>46060.0</v>
      </c>
      <c r="D470" s="27">
        <v>46060.0</v>
      </c>
      <c r="E470" s="26" t="s">
        <v>1121</v>
      </c>
      <c r="F470" s="26" t="s">
        <v>1200</v>
      </c>
    </row>
    <row r="471">
      <c r="A471" s="26" t="s">
        <v>1387</v>
      </c>
      <c r="B471" s="26" t="s">
        <v>731</v>
      </c>
      <c r="C471" s="27">
        <v>46056.0</v>
      </c>
      <c r="D471" s="27">
        <v>46056.0</v>
      </c>
      <c r="E471" s="26" t="s">
        <v>1121</v>
      </c>
      <c r="F471" s="26" t="s">
        <v>1200</v>
      </c>
    </row>
    <row r="472">
      <c r="A472" s="26" t="s">
        <v>1387</v>
      </c>
      <c r="B472" s="26" t="s">
        <v>731</v>
      </c>
      <c r="C472" s="27">
        <v>46056.0</v>
      </c>
      <c r="D472" s="27">
        <v>46056.0</v>
      </c>
      <c r="E472" s="26" t="s">
        <v>1121</v>
      </c>
      <c r="F472" s="26" t="s">
        <v>1200</v>
      </c>
    </row>
    <row r="473">
      <c r="A473" s="26" t="s">
        <v>1388</v>
      </c>
      <c r="B473" s="26" t="s">
        <v>1319</v>
      </c>
      <c r="C473" s="27">
        <v>46059.0</v>
      </c>
      <c r="D473" s="27">
        <v>46059.0</v>
      </c>
      <c r="E473" s="26" t="s">
        <v>1121</v>
      </c>
      <c r="F473" s="26" t="s">
        <v>1200</v>
      </c>
    </row>
    <row r="474">
      <c r="A474" s="26" t="s">
        <v>1388</v>
      </c>
      <c r="B474" s="26" t="s">
        <v>1319</v>
      </c>
      <c r="C474" s="27">
        <v>46059.0</v>
      </c>
      <c r="D474" s="27">
        <v>46059.0</v>
      </c>
      <c r="E474" s="26" t="s">
        <v>1121</v>
      </c>
      <c r="F474" s="26" t="s">
        <v>1200</v>
      </c>
    </row>
    <row r="475">
      <c r="A475" s="26" t="s">
        <v>1388</v>
      </c>
      <c r="B475" s="26" t="s">
        <v>1319</v>
      </c>
      <c r="C475" s="27">
        <v>46059.0</v>
      </c>
      <c r="D475" s="27">
        <v>46059.0</v>
      </c>
      <c r="E475" s="26" t="s">
        <v>1121</v>
      </c>
      <c r="F475" s="26" t="s">
        <v>1200</v>
      </c>
    </row>
    <row r="476">
      <c r="A476" s="26" t="s">
        <v>1388</v>
      </c>
      <c r="B476" s="26" t="s">
        <v>1319</v>
      </c>
      <c r="C476" s="27">
        <v>46059.0</v>
      </c>
      <c r="D476" s="27">
        <v>46059.0</v>
      </c>
      <c r="E476" s="26" t="s">
        <v>1121</v>
      </c>
      <c r="F476" s="26" t="s">
        <v>1200</v>
      </c>
    </row>
    <row r="477">
      <c r="A477" s="26" t="s">
        <v>1389</v>
      </c>
      <c r="B477" s="26" t="s">
        <v>651</v>
      </c>
      <c r="C477" s="27">
        <v>46053.0</v>
      </c>
      <c r="D477" s="27">
        <v>46053.0</v>
      </c>
      <c r="E477" s="26" t="s">
        <v>1121</v>
      </c>
      <c r="F477" s="26" t="s">
        <v>1200</v>
      </c>
    </row>
    <row r="478">
      <c r="A478" s="26" t="s">
        <v>1390</v>
      </c>
      <c r="B478" s="26" t="s">
        <v>546</v>
      </c>
      <c r="C478" s="27">
        <v>46053.0</v>
      </c>
      <c r="D478" s="27">
        <v>46053.0</v>
      </c>
      <c r="E478" s="26" t="s">
        <v>1121</v>
      </c>
      <c r="F478" s="26" t="s">
        <v>1200</v>
      </c>
    </row>
    <row r="479">
      <c r="A479" s="26" t="s">
        <v>1390</v>
      </c>
      <c r="B479" s="26" t="s">
        <v>546</v>
      </c>
      <c r="C479" s="27">
        <v>46053.0</v>
      </c>
      <c r="D479" s="27">
        <v>46053.0</v>
      </c>
      <c r="E479" s="26" t="s">
        <v>1121</v>
      </c>
      <c r="F479" s="26" t="s">
        <v>1200</v>
      </c>
    </row>
    <row r="480">
      <c r="A480" s="26" t="s">
        <v>1390</v>
      </c>
      <c r="B480" s="26" t="s">
        <v>546</v>
      </c>
      <c r="C480" s="27">
        <v>46053.0</v>
      </c>
      <c r="D480" s="27">
        <v>46053.0</v>
      </c>
      <c r="E480" s="26" t="s">
        <v>1121</v>
      </c>
      <c r="F480" s="26" t="s">
        <v>1200</v>
      </c>
    </row>
    <row r="481">
      <c r="A481" s="26" t="s">
        <v>1391</v>
      </c>
      <c r="B481" s="26" t="s">
        <v>472</v>
      </c>
      <c r="C481" s="27">
        <v>46052.0</v>
      </c>
      <c r="D481" s="27">
        <v>46052.0</v>
      </c>
      <c r="E481" s="26" t="s">
        <v>1121</v>
      </c>
      <c r="F481" s="26" t="s">
        <v>1200</v>
      </c>
    </row>
    <row r="482">
      <c r="A482" s="26" t="s">
        <v>1391</v>
      </c>
      <c r="B482" s="26" t="s">
        <v>472</v>
      </c>
      <c r="C482" s="27">
        <v>46052.0</v>
      </c>
      <c r="D482" s="27">
        <v>46052.0</v>
      </c>
      <c r="E482" s="26" t="s">
        <v>1121</v>
      </c>
      <c r="F482" s="26" t="s">
        <v>1200</v>
      </c>
    </row>
    <row r="483">
      <c r="A483" s="26" t="s">
        <v>1392</v>
      </c>
      <c r="B483" s="26" t="s">
        <v>444</v>
      </c>
      <c r="C483" s="27">
        <v>46052.0</v>
      </c>
      <c r="D483" s="27">
        <v>46052.0</v>
      </c>
      <c r="E483" s="26" t="s">
        <v>1121</v>
      </c>
      <c r="F483" s="26" t="s">
        <v>1200</v>
      </c>
    </row>
    <row r="484">
      <c r="A484" s="26" t="s">
        <v>1392</v>
      </c>
      <c r="B484" s="26" t="s">
        <v>444</v>
      </c>
      <c r="C484" s="27">
        <v>46052.0</v>
      </c>
      <c r="D484" s="27">
        <v>46052.0</v>
      </c>
      <c r="E484" s="26" t="s">
        <v>1121</v>
      </c>
      <c r="F484" s="26" t="s">
        <v>1200</v>
      </c>
    </row>
    <row r="485">
      <c r="A485" s="26" t="s">
        <v>1393</v>
      </c>
      <c r="B485" s="26" t="s">
        <v>1333</v>
      </c>
      <c r="C485" s="27">
        <v>46052.0</v>
      </c>
      <c r="D485" s="27">
        <v>46052.0</v>
      </c>
      <c r="E485" s="26" t="s">
        <v>1121</v>
      </c>
      <c r="F485" s="26" t="s">
        <v>1200</v>
      </c>
    </row>
    <row r="486">
      <c r="A486" s="26" t="s">
        <v>1393</v>
      </c>
      <c r="B486" s="26" t="s">
        <v>1333</v>
      </c>
      <c r="C486" s="27">
        <v>46052.0</v>
      </c>
      <c r="D486" s="27">
        <v>46052.0</v>
      </c>
      <c r="E486" s="26" t="s">
        <v>1121</v>
      </c>
      <c r="F486" s="26" t="s">
        <v>1200</v>
      </c>
    </row>
    <row r="487">
      <c r="A487" s="26" t="s">
        <v>1393</v>
      </c>
      <c r="B487" s="26" t="s">
        <v>1333</v>
      </c>
      <c r="C487" s="27">
        <v>46052.0</v>
      </c>
      <c r="D487" s="27">
        <v>46052.0</v>
      </c>
      <c r="E487" s="26" t="s">
        <v>1121</v>
      </c>
      <c r="F487" s="26" t="s">
        <v>1200</v>
      </c>
    </row>
    <row r="488">
      <c r="A488" s="26" t="s">
        <v>1393</v>
      </c>
      <c r="B488" s="26" t="s">
        <v>1333</v>
      </c>
      <c r="C488" s="27">
        <v>46052.0</v>
      </c>
      <c r="D488" s="27">
        <v>46052.0</v>
      </c>
      <c r="E488" s="26" t="s">
        <v>1121</v>
      </c>
      <c r="F488" s="26" t="s">
        <v>1200</v>
      </c>
    </row>
    <row r="489">
      <c r="A489" s="26" t="s">
        <v>1393</v>
      </c>
      <c r="B489" s="26" t="s">
        <v>1333</v>
      </c>
      <c r="C489" s="27">
        <v>46052.0</v>
      </c>
      <c r="D489" s="27">
        <v>46052.0</v>
      </c>
      <c r="E489" s="26" t="s">
        <v>1121</v>
      </c>
      <c r="F489" s="26" t="s">
        <v>1200</v>
      </c>
    </row>
    <row r="490">
      <c r="A490" s="26" t="s">
        <v>1393</v>
      </c>
      <c r="B490" s="26" t="s">
        <v>1333</v>
      </c>
      <c r="C490" s="27">
        <v>46052.0</v>
      </c>
      <c r="D490" s="27">
        <v>46052.0</v>
      </c>
      <c r="E490" s="26" t="s">
        <v>1121</v>
      </c>
      <c r="F490" s="26" t="s">
        <v>1200</v>
      </c>
    </row>
    <row r="491">
      <c r="A491" s="26" t="s">
        <v>1394</v>
      </c>
      <c r="B491" s="26" t="s">
        <v>467</v>
      </c>
      <c r="C491" s="27">
        <v>46051.0</v>
      </c>
      <c r="D491" s="27">
        <v>46051.0</v>
      </c>
      <c r="E491" s="26" t="s">
        <v>1121</v>
      </c>
      <c r="F491" s="26" t="s">
        <v>1200</v>
      </c>
    </row>
    <row r="492">
      <c r="A492" s="26" t="s">
        <v>1395</v>
      </c>
      <c r="B492" s="26" t="s">
        <v>546</v>
      </c>
      <c r="C492" s="27">
        <v>46051.0</v>
      </c>
      <c r="D492" s="27">
        <v>46051.0</v>
      </c>
      <c r="E492" s="26" t="s">
        <v>1121</v>
      </c>
      <c r="F492" s="26" t="s">
        <v>1200</v>
      </c>
    </row>
    <row r="493">
      <c r="A493" s="26" t="s">
        <v>1395</v>
      </c>
      <c r="B493" s="26" t="s">
        <v>546</v>
      </c>
      <c r="C493" s="27">
        <v>46051.0</v>
      </c>
      <c r="D493" s="27">
        <v>46051.0</v>
      </c>
      <c r="E493" s="26" t="s">
        <v>1121</v>
      </c>
      <c r="F493" s="26" t="s">
        <v>1200</v>
      </c>
    </row>
    <row r="494">
      <c r="A494" s="26" t="s">
        <v>1396</v>
      </c>
      <c r="B494" s="26" t="s">
        <v>546</v>
      </c>
      <c r="C494" s="27">
        <v>46049.0</v>
      </c>
      <c r="D494" s="27">
        <v>46049.0</v>
      </c>
      <c r="E494" s="26" t="s">
        <v>1121</v>
      </c>
      <c r="F494" s="26" t="s">
        <v>1200</v>
      </c>
    </row>
    <row r="495">
      <c r="A495" s="26" t="s">
        <v>1396</v>
      </c>
      <c r="B495" s="26" t="s">
        <v>546</v>
      </c>
      <c r="C495" s="27">
        <v>46049.0</v>
      </c>
      <c r="D495" s="27">
        <v>46049.0</v>
      </c>
      <c r="E495" s="26" t="s">
        <v>1121</v>
      </c>
      <c r="F495" s="26" t="s">
        <v>1200</v>
      </c>
    </row>
    <row r="496">
      <c r="A496" s="26" t="s">
        <v>1397</v>
      </c>
      <c r="B496" s="26" t="s">
        <v>717</v>
      </c>
      <c r="C496" s="27">
        <v>46049.0</v>
      </c>
      <c r="D496" s="27">
        <v>46049.0</v>
      </c>
      <c r="E496" s="26" t="s">
        <v>1121</v>
      </c>
      <c r="F496" s="26" t="s">
        <v>1200</v>
      </c>
    </row>
    <row r="497">
      <c r="A497" s="26" t="s">
        <v>1398</v>
      </c>
      <c r="B497" s="26" t="s">
        <v>432</v>
      </c>
      <c r="C497" s="27">
        <v>46049.0</v>
      </c>
      <c r="D497" s="27">
        <v>46049.0</v>
      </c>
      <c r="E497" s="26" t="s">
        <v>1121</v>
      </c>
      <c r="F497" s="26" t="s">
        <v>1200</v>
      </c>
    </row>
    <row r="498">
      <c r="A498" s="26" t="s">
        <v>1399</v>
      </c>
      <c r="B498" s="26" t="s">
        <v>483</v>
      </c>
      <c r="C498" s="27">
        <v>46048.0</v>
      </c>
      <c r="D498" s="27">
        <v>46048.0</v>
      </c>
      <c r="E498" s="26" t="s">
        <v>1121</v>
      </c>
      <c r="F498" s="26" t="s">
        <v>1200</v>
      </c>
    </row>
    <row r="499">
      <c r="A499" s="26" t="s">
        <v>1400</v>
      </c>
      <c r="B499" s="26" t="s">
        <v>467</v>
      </c>
      <c r="C499" s="27">
        <v>46048.0</v>
      </c>
      <c r="D499" s="27">
        <v>46048.0</v>
      </c>
      <c r="E499" s="26" t="s">
        <v>1121</v>
      </c>
      <c r="F499" s="26" t="s">
        <v>1200</v>
      </c>
    </row>
    <row r="500">
      <c r="A500" s="26" t="s">
        <v>1401</v>
      </c>
      <c r="B500" s="26" t="s">
        <v>1258</v>
      </c>
      <c r="C500" s="27">
        <v>46046.0</v>
      </c>
      <c r="D500" s="27">
        <v>46046.0</v>
      </c>
      <c r="E500" s="26" t="s">
        <v>1121</v>
      </c>
      <c r="F500" s="26" t="s">
        <v>1200</v>
      </c>
    </row>
    <row r="501">
      <c r="A501" s="26" t="s">
        <v>1401</v>
      </c>
      <c r="B501" s="26" t="s">
        <v>1258</v>
      </c>
      <c r="C501" s="27">
        <v>46046.0</v>
      </c>
      <c r="D501" s="27">
        <v>46046.0</v>
      </c>
      <c r="E501" s="26" t="s">
        <v>1121</v>
      </c>
      <c r="F501" s="26" t="s">
        <v>1200</v>
      </c>
    </row>
    <row r="502">
      <c r="A502" s="26" t="s">
        <v>1401</v>
      </c>
      <c r="B502" s="26" t="s">
        <v>1258</v>
      </c>
      <c r="C502" s="27">
        <v>46046.0</v>
      </c>
      <c r="D502" s="27">
        <v>46046.0</v>
      </c>
      <c r="E502" s="26" t="s">
        <v>1121</v>
      </c>
      <c r="F502" s="26" t="s">
        <v>1200</v>
      </c>
    </row>
    <row r="503">
      <c r="A503" s="26" t="s">
        <v>1401</v>
      </c>
      <c r="B503" s="26" t="s">
        <v>1258</v>
      </c>
      <c r="C503" s="27">
        <v>46046.0</v>
      </c>
      <c r="D503" s="27">
        <v>46046.0</v>
      </c>
      <c r="E503" s="26" t="s">
        <v>1121</v>
      </c>
      <c r="F503" s="26" t="s">
        <v>1200</v>
      </c>
    </row>
    <row r="504">
      <c r="A504" s="26" t="s">
        <v>1402</v>
      </c>
      <c r="B504" s="26" t="s">
        <v>505</v>
      </c>
      <c r="C504" s="27">
        <v>46046.0</v>
      </c>
      <c r="D504" s="27">
        <v>46046.0</v>
      </c>
      <c r="E504" s="26" t="s">
        <v>1121</v>
      </c>
      <c r="F504" s="26" t="s">
        <v>1200</v>
      </c>
    </row>
    <row r="505">
      <c r="A505" s="26" t="s">
        <v>1403</v>
      </c>
      <c r="B505" s="26" t="s">
        <v>546</v>
      </c>
      <c r="C505" s="27">
        <v>46045.0</v>
      </c>
      <c r="D505" s="27">
        <v>46045.0</v>
      </c>
      <c r="E505" s="26" t="s">
        <v>1121</v>
      </c>
      <c r="F505" s="26" t="s">
        <v>1200</v>
      </c>
    </row>
    <row r="506">
      <c r="A506" s="26" t="s">
        <v>1404</v>
      </c>
      <c r="B506" s="26" t="s">
        <v>483</v>
      </c>
      <c r="C506" s="27">
        <v>46044.0</v>
      </c>
      <c r="D506" s="27">
        <v>46044.0</v>
      </c>
      <c r="E506" s="26" t="s">
        <v>1121</v>
      </c>
      <c r="F506" s="26" t="s">
        <v>1200</v>
      </c>
    </row>
    <row r="507">
      <c r="A507" s="26" t="s">
        <v>1405</v>
      </c>
      <c r="B507" s="26" t="s">
        <v>1319</v>
      </c>
      <c r="C507" s="27">
        <v>46044.0</v>
      </c>
      <c r="D507" s="27">
        <v>46044.0</v>
      </c>
      <c r="E507" s="26" t="s">
        <v>1121</v>
      </c>
      <c r="F507" s="26" t="s">
        <v>1200</v>
      </c>
    </row>
    <row r="508">
      <c r="A508" s="26" t="s">
        <v>1405</v>
      </c>
      <c r="B508" s="26" t="s">
        <v>1319</v>
      </c>
      <c r="C508" s="27">
        <v>46044.0</v>
      </c>
      <c r="D508" s="27">
        <v>46044.0</v>
      </c>
      <c r="E508" s="26" t="s">
        <v>1121</v>
      </c>
      <c r="F508" s="26" t="s">
        <v>1200</v>
      </c>
    </row>
    <row r="509">
      <c r="A509" s="26" t="s">
        <v>1405</v>
      </c>
      <c r="B509" s="26" t="s">
        <v>1319</v>
      </c>
      <c r="C509" s="27">
        <v>46044.0</v>
      </c>
      <c r="D509" s="27">
        <v>46044.0</v>
      </c>
      <c r="E509" s="26" t="s">
        <v>1121</v>
      </c>
      <c r="F509" s="26" t="s">
        <v>1200</v>
      </c>
    </row>
    <row r="510">
      <c r="A510" s="26" t="s">
        <v>1405</v>
      </c>
      <c r="B510" s="26" t="s">
        <v>1319</v>
      </c>
      <c r="C510" s="27">
        <v>46044.0</v>
      </c>
      <c r="D510" s="27">
        <v>46044.0</v>
      </c>
      <c r="E510" s="26" t="s">
        <v>1121</v>
      </c>
      <c r="F510" s="26" t="s">
        <v>1200</v>
      </c>
    </row>
    <row r="511">
      <c r="A511" s="26" t="s">
        <v>1406</v>
      </c>
      <c r="B511" s="26" t="s">
        <v>439</v>
      </c>
      <c r="C511" s="27">
        <v>46044.0</v>
      </c>
      <c r="D511" s="27">
        <v>46044.0</v>
      </c>
      <c r="E511" s="26" t="s">
        <v>1121</v>
      </c>
      <c r="F511" s="26" t="s">
        <v>1200</v>
      </c>
    </row>
    <row r="512">
      <c r="A512" s="26" t="s">
        <v>1407</v>
      </c>
      <c r="B512" s="26" t="s">
        <v>522</v>
      </c>
      <c r="C512" s="27">
        <v>46044.0</v>
      </c>
      <c r="D512" s="27">
        <v>46044.0</v>
      </c>
      <c r="E512" s="26" t="s">
        <v>1121</v>
      </c>
      <c r="F512" s="26" t="s">
        <v>1200</v>
      </c>
    </row>
    <row r="513">
      <c r="A513" s="26" t="s">
        <v>1407</v>
      </c>
      <c r="B513" s="26" t="s">
        <v>522</v>
      </c>
      <c r="C513" s="27">
        <v>46044.0</v>
      </c>
      <c r="D513" s="27">
        <v>46044.0</v>
      </c>
      <c r="E513" s="26" t="s">
        <v>1121</v>
      </c>
      <c r="F513" s="26" t="s">
        <v>1200</v>
      </c>
    </row>
    <row r="514">
      <c r="A514" s="26" t="s">
        <v>1407</v>
      </c>
      <c r="B514" s="26" t="s">
        <v>522</v>
      </c>
      <c r="C514" s="27">
        <v>46044.0</v>
      </c>
      <c r="D514" s="27">
        <v>46044.0</v>
      </c>
      <c r="E514" s="26" t="s">
        <v>1121</v>
      </c>
      <c r="F514" s="26" t="s">
        <v>1200</v>
      </c>
    </row>
    <row r="515">
      <c r="A515" s="26" t="s">
        <v>1407</v>
      </c>
      <c r="B515" s="26" t="s">
        <v>522</v>
      </c>
      <c r="C515" s="27">
        <v>46044.0</v>
      </c>
      <c r="D515" s="27">
        <v>46044.0</v>
      </c>
      <c r="E515" s="26" t="s">
        <v>1121</v>
      </c>
      <c r="F515" s="26" t="s">
        <v>1200</v>
      </c>
    </row>
    <row r="516">
      <c r="A516" s="26" t="s">
        <v>1408</v>
      </c>
      <c r="B516" s="26" t="s">
        <v>1319</v>
      </c>
      <c r="C516" s="27">
        <v>46042.0</v>
      </c>
      <c r="D516" s="27">
        <v>46042.0</v>
      </c>
      <c r="E516" s="26" t="s">
        <v>1121</v>
      </c>
      <c r="F516" s="26" t="s">
        <v>1200</v>
      </c>
    </row>
    <row r="517">
      <c r="A517" s="26" t="s">
        <v>1409</v>
      </c>
      <c r="B517" s="26" t="s">
        <v>505</v>
      </c>
      <c r="C517" s="27">
        <v>46042.0</v>
      </c>
      <c r="D517" s="27">
        <v>46042.0</v>
      </c>
      <c r="E517" s="26" t="s">
        <v>1121</v>
      </c>
      <c r="F517" s="26" t="s">
        <v>1200</v>
      </c>
    </row>
    <row r="518">
      <c r="A518" s="26" t="s">
        <v>1410</v>
      </c>
      <c r="B518" s="26" t="s">
        <v>483</v>
      </c>
      <c r="C518" s="27">
        <v>46042.0</v>
      </c>
      <c r="D518" s="27">
        <v>46042.0</v>
      </c>
      <c r="E518" s="26" t="s">
        <v>1121</v>
      </c>
      <c r="F518" s="26" t="s">
        <v>1200</v>
      </c>
    </row>
    <row r="519">
      <c r="A519" s="26" t="s">
        <v>1411</v>
      </c>
      <c r="B519" s="26" t="s">
        <v>542</v>
      </c>
      <c r="C519" s="27">
        <v>46042.0</v>
      </c>
      <c r="D519" s="27">
        <v>46042.0</v>
      </c>
      <c r="E519" s="26" t="s">
        <v>1121</v>
      </c>
      <c r="F519" s="26" t="s">
        <v>1200</v>
      </c>
    </row>
    <row r="520">
      <c r="A520" s="26" t="s">
        <v>1412</v>
      </c>
      <c r="B520" s="26" t="s">
        <v>546</v>
      </c>
      <c r="C520" s="27">
        <v>46042.0</v>
      </c>
      <c r="D520" s="27">
        <v>46042.0</v>
      </c>
      <c r="E520" s="26" t="s">
        <v>1121</v>
      </c>
      <c r="F520" s="26" t="s">
        <v>1200</v>
      </c>
    </row>
    <row r="521">
      <c r="A521" s="26" t="s">
        <v>1412</v>
      </c>
      <c r="B521" s="26" t="s">
        <v>546</v>
      </c>
      <c r="C521" s="27">
        <v>46042.0</v>
      </c>
      <c r="D521" s="27">
        <v>46042.0</v>
      </c>
      <c r="E521" s="26" t="s">
        <v>1121</v>
      </c>
      <c r="F521" s="26" t="s">
        <v>1200</v>
      </c>
    </row>
    <row r="522">
      <c r="A522" s="26" t="s">
        <v>1413</v>
      </c>
      <c r="B522" s="26" t="s">
        <v>444</v>
      </c>
      <c r="C522" s="27">
        <v>46042.0</v>
      </c>
      <c r="D522" s="27">
        <v>46042.0</v>
      </c>
      <c r="E522" s="26" t="s">
        <v>1121</v>
      </c>
      <c r="F522" s="26" t="s">
        <v>1200</v>
      </c>
    </row>
    <row r="523">
      <c r="A523" s="26" t="s">
        <v>1413</v>
      </c>
      <c r="B523" s="26" t="s">
        <v>444</v>
      </c>
      <c r="C523" s="27">
        <v>46042.0</v>
      </c>
      <c r="D523" s="27">
        <v>46042.0</v>
      </c>
      <c r="E523" s="26" t="s">
        <v>1121</v>
      </c>
      <c r="F523" s="26" t="s">
        <v>1200</v>
      </c>
    </row>
    <row r="524">
      <c r="A524" s="26" t="s">
        <v>1414</v>
      </c>
      <c r="B524" s="26" t="s">
        <v>432</v>
      </c>
      <c r="C524" s="27">
        <v>46042.0</v>
      </c>
      <c r="D524" s="27">
        <v>46042.0</v>
      </c>
      <c r="E524" s="26" t="s">
        <v>1121</v>
      </c>
      <c r="F524" s="26" t="s">
        <v>1200</v>
      </c>
    </row>
    <row r="525">
      <c r="A525" s="26" t="s">
        <v>1415</v>
      </c>
      <c r="B525" s="26" t="s">
        <v>493</v>
      </c>
      <c r="C525" s="27">
        <v>46044.0</v>
      </c>
      <c r="D525" s="27">
        <v>46044.0</v>
      </c>
      <c r="E525" s="26" t="s">
        <v>1121</v>
      </c>
      <c r="F525" s="26" t="s">
        <v>1200</v>
      </c>
    </row>
    <row r="526">
      <c r="A526" s="26" t="s">
        <v>1416</v>
      </c>
      <c r="B526" s="26" t="s">
        <v>704</v>
      </c>
      <c r="C526" s="27">
        <v>46041.0</v>
      </c>
      <c r="D526" s="27">
        <v>46041.0</v>
      </c>
      <c r="E526" s="26" t="s">
        <v>1121</v>
      </c>
      <c r="F526" s="26" t="s">
        <v>1200</v>
      </c>
    </row>
    <row r="527">
      <c r="A527" s="26" t="s">
        <v>1416</v>
      </c>
      <c r="B527" s="26" t="s">
        <v>704</v>
      </c>
      <c r="C527" s="27">
        <v>46041.0</v>
      </c>
      <c r="D527" s="27">
        <v>46041.0</v>
      </c>
      <c r="E527" s="26" t="s">
        <v>1121</v>
      </c>
      <c r="F527" s="26" t="s">
        <v>1200</v>
      </c>
    </row>
    <row r="528">
      <c r="A528" s="26" t="s">
        <v>1416</v>
      </c>
      <c r="B528" s="26" t="s">
        <v>704</v>
      </c>
      <c r="C528" s="27">
        <v>46041.0</v>
      </c>
      <c r="D528" s="27">
        <v>46041.0</v>
      </c>
      <c r="E528" s="26" t="s">
        <v>1121</v>
      </c>
      <c r="F528" s="26" t="s">
        <v>1200</v>
      </c>
    </row>
    <row r="529">
      <c r="A529" s="26" t="s">
        <v>1417</v>
      </c>
      <c r="B529" s="26" t="s">
        <v>717</v>
      </c>
      <c r="C529" s="27">
        <v>46041.0</v>
      </c>
      <c r="D529" s="27">
        <v>46041.0</v>
      </c>
      <c r="E529" s="26" t="s">
        <v>1121</v>
      </c>
      <c r="F529" s="26" t="s">
        <v>1200</v>
      </c>
    </row>
    <row r="530">
      <c r="A530" s="26" t="s">
        <v>1417</v>
      </c>
      <c r="B530" s="26" t="s">
        <v>717</v>
      </c>
      <c r="C530" s="27">
        <v>46041.0</v>
      </c>
      <c r="D530" s="27">
        <v>46041.0</v>
      </c>
      <c r="E530" s="26" t="s">
        <v>1121</v>
      </c>
      <c r="F530" s="26" t="s">
        <v>1200</v>
      </c>
    </row>
    <row r="531">
      <c r="A531" s="26" t="s">
        <v>1417</v>
      </c>
      <c r="B531" s="26" t="s">
        <v>717</v>
      </c>
      <c r="C531" s="27">
        <v>46041.0</v>
      </c>
      <c r="D531" s="27">
        <v>46041.0</v>
      </c>
      <c r="E531" s="26" t="s">
        <v>1121</v>
      </c>
      <c r="F531" s="26" t="s">
        <v>1200</v>
      </c>
    </row>
    <row r="532">
      <c r="A532" s="26" t="s">
        <v>1418</v>
      </c>
      <c r="B532" s="26" t="s">
        <v>458</v>
      </c>
      <c r="C532" s="27">
        <v>46041.0</v>
      </c>
      <c r="D532" s="27">
        <v>46041.0</v>
      </c>
      <c r="E532" s="26" t="s">
        <v>1121</v>
      </c>
      <c r="F532" s="26" t="s">
        <v>1200</v>
      </c>
    </row>
    <row r="533">
      <c r="A533" s="26" t="s">
        <v>1419</v>
      </c>
      <c r="B533" s="26" t="s">
        <v>444</v>
      </c>
      <c r="C533" s="27">
        <v>46039.0</v>
      </c>
      <c r="D533" s="27">
        <v>46039.0</v>
      </c>
      <c r="E533" s="26" t="s">
        <v>1121</v>
      </c>
      <c r="F533" s="26" t="s">
        <v>1200</v>
      </c>
    </row>
    <row r="534">
      <c r="A534" s="26" t="s">
        <v>1419</v>
      </c>
      <c r="B534" s="26" t="s">
        <v>444</v>
      </c>
      <c r="C534" s="27">
        <v>46039.0</v>
      </c>
      <c r="D534" s="27">
        <v>46039.0</v>
      </c>
      <c r="E534" s="26" t="s">
        <v>1121</v>
      </c>
      <c r="F534" s="26" t="s">
        <v>1200</v>
      </c>
    </row>
    <row r="535">
      <c r="A535" s="26" t="s">
        <v>1420</v>
      </c>
      <c r="B535" s="26" t="s">
        <v>467</v>
      </c>
      <c r="C535" s="27">
        <v>46039.0</v>
      </c>
      <c r="D535" s="27">
        <v>46039.0</v>
      </c>
      <c r="E535" s="26" t="s">
        <v>1121</v>
      </c>
      <c r="F535" s="26" t="s">
        <v>1200</v>
      </c>
    </row>
    <row r="536">
      <c r="A536" s="26" t="s">
        <v>1421</v>
      </c>
      <c r="B536" s="26" t="s">
        <v>731</v>
      </c>
      <c r="C536" s="27">
        <v>46039.0</v>
      </c>
      <c r="D536" s="27">
        <v>46039.0</v>
      </c>
      <c r="E536" s="26" t="s">
        <v>1121</v>
      </c>
      <c r="F536" s="26" t="s">
        <v>1200</v>
      </c>
    </row>
    <row r="537">
      <c r="A537" s="26" t="s">
        <v>1421</v>
      </c>
      <c r="B537" s="26" t="s">
        <v>731</v>
      </c>
      <c r="C537" s="27">
        <v>46039.0</v>
      </c>
      <c r="D537" s="27">
        <v>46039.0</v>
      </c>
      <c r="E537" s="26" t="s">
        <v>1121</v>
      </c>
      <c r="F537" s="26" t="s">
        <v>1200</v>
      </c>
    </row>
    <row r="538">
      <c r="A538" s="26" t="s">
        <v>1421</v>
      </c>
      <c r="B538" s="26" t="s">
        <v>731</v>
      </c>
      <c r="C538" s="27">
        <v>46039.0</v>
      </c>
      <c r="D538" s="27">
        <v>46039.0</v>
      </c>
      <c r="E538" s="26" t="s">
        <v>1121</v>
      </c>
      <c r="F538" s="26" t="s">
        <v>1200</v>
      </c>
    </row>
    <row r="539">
      <c r="A539" s="26" t="s">
        <v>1421</v>
      </c>
      <c r="B539" s="26" t="s">
        <v>731</v>
      </c>
      <c r="C539" s="27">
        <v>46039.0</v>
      </c>
      <c r="D539" s="27">
        <v>46039.0</v>
      </c>
      <c r="E539" s="26" t="s">
        <v>1121</v>
      </c>
      <c r="F539" s="26" t="s">
        <v>1200</v>
      </c>
    </row>
    <row r="540">
      <c r="A540" s="26" t="s">
        <v>1421</v>
      </c>
      <c r="B540" s="26" t="s">
        <v>731</v>
      </c>
      <c r="C540" s="27">
        <v>46039.0</v>
      </c>
      <c r="D540" s="27">
        <v>46039.0</v>
      </c>
      <c r="E540" s="26" t="s">
        <v>1121</v>
      </c>
      <c r="F540" s="26" t="s">
        <v>1200</v>
      </c>
    </row>
    <row r="541">
      <c r="A541" s="26" t="s">
        <v>1421</v>
      </c>
      <c r="B541" s="26" t="s">
        <v>731</v>
      </c>
      <c r="C541" s="27">
        <v>46039.0</v>
      </c>
      <c r="D541" s="27">
        <v>46039.0</v>
      </c>
      <c r="E541" s="26" t="s">
        <v>1121</v>
      </c>
      <c r="F541" s="26" t="s">
        <v>1200</v>
      </c>
    </row>
    <row r="542">
      <c r="A542" s="26" t="s">
        <v>1422</v>
      </c>
      <c r="B542" s="26" t="s">
        <v>745</v>
      </c>
      <c r="C542" s="27">
        <v>46042.0</v>
      </c>
      <c r="D542" s="27">
        <v>46042.0</v>
      </c>
      <c r="E542" s="26" t="s">
        <v>1121</v>
      </c>
      <c r="F542" s="26" t="s">
        <v>1200</v>
      </c>
    </row>
    <row r="543">
      <c r="A543" s="26" t="s">
        <v>1422</v>
      </c>
      <c r="B543" s="26" t="s">
        <v>745</v>
      </c>
      <c r="C543" s="27">
        <v>46042.0</v>
      </c>
      <c r="D543" s="27">
        <v>46042.0</v>
      </c>
      <c r="E543" s="26" t="s">
        <v>1121</v>
      </c>
      <c r="F543" s="26" t="s">
        <v>1200</v>
      </c>
    </row>
    <row r="544">
      <c r="A544" s="26" t="s">
        <v>1422</v>
      </c>
      <c r="B544" s="26" t="s">
        <v>745</v>
      </c>
      <c r="C544" s="27">
        <v>46042.0</v>
      </c>
      <c r="D544" s="27">
        <v>46042.0</v>
      </c>
      <c r="E544" s="26" t="s">
        <v>1121</v>
      </c>
      <c r="F544" s="26" t="s">
        <v>1200</v>
      </c>
    </row>
    <row r="545">
      <c r="A545" s="26" t="s">
        <v>1422</v>
      </c>
      <c r="B545" s="26" t="s">
        <v>745</v>
      </c>
      <c r="C545" s="27">
        <v>46042.0</v>
      </c>
      <c r="D545" s="27">
        <v>46042.0</v>
      </c>
      <c r="E545" s="26" t="s">
        <v>1121</v>
      </c>
      <c r="F545" s="26" t="s">
        <v>1200</v>
      </c>
    </row>
    <row r="546">
      <c r="A546" s="26" t="s">
        <v>1422</v>
      </c>
      <c r="B546" s="26" t="s">
        <v>745</v>
      </c>
      <c r="C546" s="27">
        <v>46042.0</v>
      </c>
      <c r="D546" s="27">
        <v>46042.0</v>
      </c>
      <c r="E546" s="26" t="s">
        <v>1121</v>
      </c>
      <c r="F546" s="26" t="s">
        <v>1200</v>
      </c>
    </row>
    <row r="547">
      <c r="A547" s="26" t="s">
        <v>1422</v>
      </c>
      <c r="B547" s="26" t="s">
        <v>745</v>
      </c>
      <c r="C547" s="27">
        <v>46042.0</v>
      </c>
      <c r="D547" s="27">
        <v>46042.0</v>
      </c>
      <c r="E547" s="26" t="s">
        <v>1121</v>
      </c>
      <c r="F547" s="26" t="s">
        <v>1200</v>
      </c>
    </row>
    <row r="548">
      <c r="A548" s="26" t="s">
        <v>1422</v>
      </c>
      <c r="B548" s="26" t="s">
        <v>745</v>
      </c>
      <c r="C548" s="27">
        <v>46042.0</v>
      </c>
      <c r="D548" s="27">
        <v>46042.0</v>
      </c>
      <c r="E548" s="26" t="s">
        <v>1121</v>
      </c>
      <c r="F548" s="26" t="s">
        <v>1200</v>
      </c>
    </row>
    <row r="549">
      <c r="A549" s="26" t="s">
        <v>1423</v>
      </c>
      <c r="B549" s="26" t="s">
        <v>1333</v>
      </c>
      <c r="C549" s="27">
        <v>46038.0</v>
      </c>
      <c r="D549" s="27">
        <v>46038.0</v>
      </c>
      <c r="E549" s="26" t="s">
        <v>1121</v>
      </c>
      <c r="F549" s="26" t="s">
        <v>1200</v>
      </c>
    </row>
    <row r="550">
      <c r="A550" s="26" t="s">
        <v>1423</v>
      </c>
      <c r="B550" s="26" t="s">
        <v>1333</v>
      </c>
      <c r="C550" s="27">
        <v>46038.0</v>
      </c>
      <c r="D550" s="27">
        <v>46038.0</v>
      </c>
      <c r="E550" s="26" t="s">
        <v>1121</v>
      </c>
      <c r="F550" s="26" t="s">
        <v>1200</v>
      </c>
    </row>
    <row r="551">
      <c r="A551" s="26" t="s">
        <v>1423</v>
      </c>
      <c r="B551" s="26" t="s">
        <v>1333</v>
      </c>
      <c r="C551" s="27">
        <v>46038.0</v>
      </c>
      <c r="D551" s="27">
        <v>46038.0</v>
      </c>
      <c r="E551" s="26" t="s">
        <v>1121</v>
      </c>
      <c r="F551" s="26" t="s">
        <v>1200</v>
      </c>
    </row>
    <row r="552">
      <c r="A552" s="26" t="s">
        <v>1423</v>
      </c>
      <c r="B552" s="26" t="s">
        <v>1333</v>
      </c>
      <c r="C552" s="27">
        <v>46038.0</v>
      </c>
      <c r="D552" s="27">
        <v>46038.0</v>
      </c>
      <c r="E552" s="26" t="s">
        <v>1121</v>
      </c>
      <c r="F552" s="26" t="s">
        <v>1200</v>
      </c>
    </row>
    <row r="553">
      <c r="A553" s="26" t="s">
        <v>1423</v>
      </c>
      <c r="B553" s="26" t="s">
        <v>1333</v>
      </c>
      <c r="C553" s="27">
        <v>46038.0</v>
      </c>
      <c r="D553" s="27">
        <v>46038.0</v>
      </c>
      <c r="E553" s="26" t="s">
        <v>1121</v>
      </c>
      <c r="F553" s="26" t="s">
        <v>1200</v>
      </c>
    </row>
    <row r="554">
      <c r="A554" s="26" t="s">
        <v>1423</v>
      </c>
      <c r="B554" s="26" t="s">
        <v>1333</v>
      </c>
      <c r="C554" s="27">
        <v>46038.0</v>
      </c>
      <c r="D554" s="27">
        <v>46038.0</v>
      </c>
      <c r="E554" s="26" t="s">
        <v>1121</v>
      </c>
      <c r="F554" s="26" t="s">
        <v>1200</v>
      </c>
    </row>
    <row r="555">
      <c r="A555" s="26" t="s">
        <v>1424</v>
      </c>
      <c r="B555" s="26" t="s">
        <v>546</v>
      </c>
      <c r="C555" s="27">
        <v>46038.0</v>
      </c>
      <c r="D555" s="27">
        <v>46038.0</v>
      </c>
      <c r="E555" s="26" t="s">
        <v>1121</v>
      </c>
      <c r="F555" s="26" t="s">
        <v>1200</v>
      </c>
    </row>
    <row r="556">
      <c r="A556" s="26" t="s">
        <v>1424</v>
      </c>
      <c r="B556" s="26" t="s">
        <v>546</v>
      </c>
      <c r="C556" s="27">
        <v>46038.0</v>
      </c>
      <c r="D556" s="27">
        <v>46038.0</v>
      </c>
      <c r="E556" s="26" t="s">
        <v>1121</v>
      </c>
      <c r="F556" s="26" t="s">
        <v>1200</v>
      </c>
    </row>
    <row r="557">
      <c r="A557" s="26" t="s">
        <v>1425</v>
      </c>
      <c r="B557" s="26" t="s">
        <v>604</v>
      </c>
      <c r="C557" s="27">
        <v>46038.0</v>
      </c>
      <c r="D557" s="27">
        <v>46038.0</v>
      </c>
      <c r="E557" s="26" t="s">
        <v>1121</v>
      </c>
      <c r="F557" s="26" t="s">
        <v>1200</v>
      </c>
    </row>
    <row r="558">
      <c r="A558" s="26" t="s">
        <v>1426</v>
      </c>
      <c r="B558" s="26" t="s">
        <v>428</v>
      </c>
      <c r="C558" s="27">
        <v>46038.0</v>
      </c>
      <c r="D558" s="27">
        <v>46038.0</v>
      </c>
      <c r="E558" s="26" t="s">
        <v>1121</v>
      </c>
      <c r="F558" s="26" t="s">
        <v>1200</v>
      </c>
    </row>
    <row r="559">
      <c r="A559" s="26" t="s">
        <v>1427</v>
      </c>
      <c r="B559" s="26" t="s">
        <v>739</v>
      </c>
      <c r="C559" s="27">
        <v>46038.0</v>
      </c>
      <c r="D559" s="27">
        <v>46038.0</v>
      </c>
      <c r="E559" s="26" t="s">
        <v>1121</v>
      </c>
      <c r="F559" s="26" t="s">
        <v>1200</v>
      </c>
    </row>
    <row r="560">
      <c r="A560" s="26" t="s">
        <v>1428</v>
      </c>
      <c r="B560" s="26" t="s">
        <v>483</v>
      </c>
      <c r="C560" s="27">
        <v>46037.0</v>
      </c>
      <c r="D560" s="27">
        <v>46037.0</v>
      </c>
      <c r="E560" s="26" t="s">
        <v>1121</v>
      </c>
      <c r="F560" s="26" t="s">
        <v>1200</v>
      </c>
    </row>
    <row r="561">
      <c r="A561" s="26" t="s">
        <v>1429</v>
      </c>
      <c r="B561" s="26" t="s">
        <v>634</v>
      </c>
      <c r="C561" s="27">
        <v>46037.0</v>
      </c>
      <c r="D561" s="27">
        <v>46037.0</v>
      </c>
      <c r="E561" s="26" t="s">
        <v>1121</v>
      </c>
      <c r="F561" s="26" t="s">
        <v>1200</v>
      </c>
    </row>
    <row r="562">
      <c r="A562" s="26" t="s">
        <v>1429</v>
      </c>
      <c r="B562" s="26" t="s">
        <v>634</v>
      </c>
      <c r="C562" s="27">
        <v>46037.0</v>
      </c>
      <c r="D562" s="27">
        <v>46037.0</v>
      </c>
      <c r="E562" s="26" t="s">
        <v>1121</v>
      </c>
      <c r="F562" s="26" t="s">
        <v>1200</v>
      </c>
    </row>
    <row r="563">
      <c r="A563" s="26" t="s">
        <v>1430</v>
      </c>
      <c r="B563" s="26" t="s">
        <v>546</v>
      </c>
      <c r="C563" s="27">
        <v>46037.0</v>
      </c>
      <c r="D563" s="27">
        <v>46037.0</v>
      </c>
      <c r="E563" s="26" t="s">
        <v>1121</v>
      </c>
      <c r="F563" s="26" t="s">
        <v>1200</v>
      </c>
    </row>
    <row r="564">
      <c r="A564" s="26" t="s">
        <v>1430</v>
      </c>
      <c r="B564" s="26" t="s">
        <v>546</v>
      </c>
      <c r="C564" s="27">
        <v>46037.0</v>
      </c>
      <c r="D564" s="27">
        <v>46037.0</v>
      </c>
      <c r="E564" s="26" t="s">
        <v>1121</v>
      </c>
      <c r="F564" s="26" t="s">
        <v>1200</v>
      </c>
    </row>
    <row r="565">
      <c r="A565" s="26" t="s">
        <v>1431</v>
      </c>
      <c r="B565" s="26" t="s">
        <v>651</v>
      </c>
      <c r="C565" s="27">
        <v>46037.0</v>
      </c>
      <c r="D565" s="27">
        <v>46037.0</v>
      </c>
      <c r="E565" s="26" t="s">
        <v>1121</v>
      </c>
      <c r="F565" s="26" t="s">
        <v>1200</v>
      </c>
    </row>
    <row r="566">
      <c r="A566" s="26" t="s">
        <v>1431</v>
      </c>
      <c r="B566" s="26" t="s">
        <v>651</v>
      </c>
      <c r="C566" s="27">
        <v>46037.0</v>
      </c>
      <c r="D566" s="27">
        <v>46037.0</v>
      </c>
      <c r="E566" s="26" t="s">
        <v>1121</v>
      </c>
      <c r="F566" s="26" t="s">
        <v>1200</v>
      </c>
    </row>
    <row r="567">
      <c r="A567" s="26" t="s">
        <v>1431</v>
      </c>
      <c r="B567" s="26" t="s">
        <v>651</v>
      </c>
      <c r="C567" s="27">
        <v>46037.0</v>
      </c>
      <c r="D567" s="27">
        <v>46037.0</v>
      </c>
      <c r="E567" s="26" t="s">
        <v>1121</v>
      </c>
      <c r="F567" s="26" t="s">
        <v>1200</v>
      </c>
    </row>
    <row r="568">
      <c r="A568" s="26" t="s">
        <v>1431</v>
      </c>
      <c r="B568" s="26" t="s">
        <v>651</v>
      </c>
      <c r="C568" s="27">
        <v>46037.0</v>
      </c>
      <c r="D568" s="27">
        <v>46037.0</v>
      </c>
      <c r="E568" s="26" t="s">
        <v>1121</v>
      </c>
      <c r="F568" s="26" t="s">
        <v>1200</v>
      </c>
    </row>
    <row r="569">
      <c r="A569" s="26" t="s">
        <v>1431</v>
      </c>
      <c r="B569" s="26" t="s">
        <v>651</v>
      </c>
      <c r="C569" s="27">
        <v>46037.0</v>
      </c>
      <c r="D569" s="27">
        <v>46037.0</v>
      </c>
      <c r="E569" s="26" t="s">
        <v>1121</v>
      </c>
      <c r="F569" s="26" t="s">
        <v>1200</v>
      </c>
    </row>
    <row r="570">
      <c r="A570" s="26" t="s">
        <v>1432</v>
      </c>
      <c r="B570" s="26" t="s">
        <v>512</v>
      </c>
      <c r="C570" s="27">
        <v>46036.0</v>
      </c>
      <c r="D570" s="27">
        <v>46036.0</v>
      </c>
      <c r="E570" s="26" t="s">
        <v>1121</v>
      </c>
      <c r="F570" s="26" t="s">
        <v>1200</v>
      </c>
    </row>
    <row r="571">
      <c r="A571" s="26" t="s">
        <v>1432</v>
      </c>
      <c r="B571" s="26" t="s">
        <v>512</v>
      </c>
      <c r="C571" s="27">
        <v>46036.0</v>
      </c>
      <c r="D571" s="27">
        <v>46036.0</v>
      </c>
      <c r="E571" s="26" t="s">
        <v>1121</v>
      </c>
      <c r="F571" s="26" t="s">
        <v>1200</v>
      </c>
    </row>
    <row r="572">
      <c r="A572" s="26" t="s">
        <v>1432</v>
      </c>
      <c r="B572" s="26" t="s">
        <v>512</v>
      </c>
      <c r="C572" s="27">
        <v>46036.0</v>
      </c>
      <c r="D572" s="27">
        <v>46036.0</v>
      </c>
      <c r="E572" s="26" t="s">
        <v>1121</v>
      </c>
      <c r="F572" s="26" t="s">
        <v>1200</v>
      </c>
    </row>
    <row r="573">
      <c r="A573" s="26" t="s">
        <v>1432</v>
      </c>
      <c r="B573" s="26" t="s">
        <v>512</v>
      </c>
      <c r="C573" s="27">
        <v>46036.0</v>
      </c>
      <c r="D573" s="27">
        <v>46036.0</v>
      </c>
      <c r="E573" s="26" t="s">
        <v>1121</v>
      </c>
      <c r="F573" s="26" t="s">
        <v>1200</v>
      </c>
    </row>
    <row r="574">
      <c r="A574" s="26" t="s">
        <v>1433</v>
      </c>
      <c r="B574" s="26" t="s">
        <v>720</v>
      </c>
      <c r="C574" s="27">
        <v>46036.0</v>
      </c>
      <c r="D574" s="27">
        <v>46036.0</v>
      </c>
      <c r="E574" s="26" t="s">
        <v>1121</v>
      </c>
      <c r="F574" s="26" t="s">
        <v>1200</v>
      </c>
    </row>
    <row r="575">
      <c r="A575" s="26" t="s">
        <v>1433</v>
      </c>
      <c r="B575" s="26" t="s">
        <v>720</v>
      </c>
      <c r="C575" s="27">
        <v>46036.0</v>
      </c>
      <c r="D575" s="27">
        <v>46036.0</v>
      </c>
      <c r="E575" s="26" t="s">
        <v>1121</v>
      </c>
      <c r="F575" s="26" t="s">
        <v>1200</v>
      </c>
    </row>
    <row r="576">
      <c r="A576" s="26" t="s">
        <v>1433</v>
      </c>
      <c r="B576" s="26" t="s">
        <v>720</v>
      </c>
      <c r="C576" s="27">
        <v>46036.0</v>
      </c>
      <c r="D576" s="27">
        <v>46036.0</v>
      </c>
      <c r="E576" s="26" t="s">
        <v>1121</v>
      </c>
      <c r="F576" s="26" t="s">
        <v>1200</v>
      </c>
    </row>
    <row r="577">
      <c r="A577" s="26" t="s">
        <v>1433</v>
      </c>
      <c r="B577" s="26" t="s">
        <v>720</v>
      </c>
      <c r="C577" s="27">
        <v>46036.0</v>
      </c>
      <c r="D577" s="27">
        <v>46036.0</v>
      </c>
      <c r="E577" s="26" t="s">
        <v>1121</v>
      </c>
      <c r="F577" s="26" t="s">
        <v>1200</v>
      </c>
    </row>
    <row r="578">
      <c r="A578" s="26" t="s">
        <v>1433</v>
      </c>
      <c r="B578" s="26" t="s">
        <v>720</v>
      </c>
      <c r="C578" s="27">
        <v>46036.0</v>
      </c>
      <c r="D578" s="27">
        <v>46036.0</v>
      </c>
      <c r="E578" s="26" t="s">
        <v>1121</v>
      </c>
      <c r="F578" s="26" t="s">
        <v>1200</v>
      </c>
    </row>
    <row r="579">
      <c r="A579" s="26" t="s">
        <v>1433</v>
      </c>
      <c r="B579" s="26" t="s">
        <v>720</v>
      </c>
      <c r="C579" s="27">
        <v>46036.0</v>
      </c>
      <c r="D579" s="27">
        <v>46036.0</v>
      </c>
      <c r="E579" s="26" t="s">
        <v>1121</v>
      </c>
      <c r="F579" s="26" t="s">
        <v>1200</v>
      </c>
    </row>
    <row r="580">
      <c r="A580" s="26" t="s">
        <v>1433</v>
      </c>
      <c r="B580" s="26" t="s">
        <v>720</v>
      </c>
      <c r="C580" s="27">
        <v>46036.0</v>
      </c>
      <c r="D580" s="27">
        <v>46036.0</v>
      </c>
      <c r="E580" s="26" t="s">
        <v>1121</v>
      </c>
      <c r="F580" s="26" t="s">
        <v>1200</v>
      </c>
    </row>
    <row r="581">
      <c r="A581" s="26" t="s">
        <v>1434</v>
      </c>
      <c r="B581" s="26" t="s">
        <v>1258</v>
      </c>
      <c r="C581" s="27">
        <v>46035.0</v>
      </c>
      <c r="D581" s="27">
        <v>46035.0</v>
      </c>
      <c r="E581" s="26" t="s">
        <v>1121</v>
      </c>
      <c r="F581" s="26" t="s">
        <v>1200</v>
      </c>
    </row>
    <row r="582">
      <c r="A582" s="26" t="s">
        <v>1434</v>
      </c>
      <c r="B582" s="26" t="s">
        <v>1258</v>
      </c>
      <c r="C582" s="27">
        <v>46035.0</v>
      </c>
      <c r="D582" s="27">
        <v>46035.0</v>
      </c>
      <c r="E582" s="26" t="s">
        <v>1121</v>
      </c>
      <c r="F582" s="26" t="s">
        <v>1200</v>
      </c>
    </row>
    <row r="583">
      <c r="A583" s="26" t="s">
        <v>1434</v>
      </c>
      <c r="B583" s="26" t="s">
        <v>1258</v>
      </c>
      <c r="C583" s="27">
        <v>46035.0</v>
      </c>
      <c r="D583" s="27">
        <v>46035.0</v>
      </c>
      <c r="E583" s="26" t="s">
        <v>1121</v>
      </c>
      <c r="F583" s="26" t="s">
        <v>1200</v>
      </c>
    </row>
    <row r="584">
      <c r="A584" s="26" t="s">
        <v>1435</v>
      </c>
      <c r="B584" s="26" t="s">
        <v>599</v>
      </c>
      <c r="C584" s="27">
        <v>46035.0</v>
      </c>
      <c r="D584" s="27">
        <v>46035.0</v>
      </c>
      <c r="E584" s="26" t="s">
        <v>1121</v>
      </c>
      <c r="F584" s="26" t="s">
        <v>1200</v>
      </c>
    </row>
    <row r="585">
      <c r="A585" s="26" t="s">
        <v>1436</v>
      </c>
      <c r="B585" s="26" t="s">
        <v>432</v>
      </c>
      <c r="C585" s="27">
        <v>46035.0</v>
      </c>
      <c r="D585" s="27">
        <v>46035.0</v>
      </c>
      <c r="E585" s="26" t="s">
        <v>1121</v>
      </c>
      <c r="F585" s="26" t="s">
        <v>1200</v>
      </c>
    </row>
    <row r="586">
      <c r="A586" s="26" t="s">
        <v>1437</v>
      </c>
      <c r="B586" s="26" t="s">
        <v>574</v>
      </c>
      <c r="C586" s="27">
        <v>46034.0</v>
      </c>
      <c r="D586" s="27">
        <v>46034.0</v>
      </c>
      <c r="E586" s="26" t="s">
        <v>1121</v>
      </c>
      <c r="F586" s="26" t="s">
        <v>1200</v>
      </c>
    </row>
    <row r="587">
      <c r="A587" s="26" t="s">
        <v>1438</v>
      </c>
      <c r="B587" s="26" t="s">
        <v>546</v>
      </c>
      <c r="C587" s="27">
        <v>46034.0</v>
      </c>
      <c r="D587" s="27">
        <v>46034.0</v>
      </c>
      <c r="E587" s="26" t="s">
        <v>1121</v>
      </c>
      <c r="F587" s="26" t="s">
        <v>1200</v>
      </c>
    </row>
    <row r="588">
      <c r="A588" s="26" t="s">
        <v>1439</v>
      </c>
      <c r="B588" s="26" t="s">
        <v>497</v>
      </c>
      <c r="C588" s="27">
        <v>46034.0</v>
      </c>
      <c r="D588" s="27">
        <v>46034.0</v>
      </c>
      <c r="E588" s="26" t="s">
        <v>1121</v>
      </c>
      <c r="F588" s="26" t="s">
        <v>1200</v>
      </c>
    </row>
    <row r="589">
      <c r="A589" s="26" t="s">
        <v>1440</v>
      </c>
      <c r="B589" s="26" t="s">
        <v>383</v>
      </c>
      <c r="C589" s="27">
        <v>46034.0</v>
      </c>
      <c r="D589" s="27">
        <v>46034.0</v>
      </c>
      <c r="E589" s="26" t="s">
        <v>1121</v>
      </c>
      <c r="F589" s="26" t="s">
        <v>1200</v>
      </c>
    </row>
    <row r="590">
      <c r="A590" s="26" t="s">
        <v>1440</v>
      </c>
      <c r="B590" s="26" t="s">
        <v>383</v>
      </c>
      <c r="C590" s="27">
        <v>46034.0</v>
      </c>
      <c r="D590" s="27">
        <v>46034.0</v>
      </c>
      <c r="E590" s="26" t="s">
        <v>1121</v>
      </c>
      <c r="F590" s="26" t="s">
        <v>1200</v>
      </c>
    </row>
    <row r="591">
      <c r="A591" s="26" t="s">
        <v>1441</v>
      </c>
      <c r="B591" s="26" t="s">
        <v>790</v>
      </c>
      <c r="C591" s="27">
        <v>46034.0</v>
      </c>
      <c r="D591" s="27">
        <v>46034.0</v>
      </c>
      <c r="E591" s="26" t="s">
        <v>1121</v>
      </c>
      <c r="F591" s="26" t="s">
        <v>1200</v>
      </c>
    </row>
    <row r="592">
      <c r="A592" s="26" t="s">
        <v>1441</v>
      </c>
      <c r="B592" s="26" t="s">
        <v>790</v>
      </c>
      <c r="C592" s="27">
        <v>46034.0</v>
      </c>
      <c r="D592" s="27">
        <v>46034.0</v>
      </c>
      <c r="E592" s="26" t="s">
        <v>1121</v>
      </c>
      <c r="F592" s="26" t="s">
        <v>1200</v>
      </c>
    </row>
    <row r="593">
      <c r="A593" s="26" t="s">
        <v>1441</v>
      </c>
      <c r="B593" s="26" t="s">
        <v>790</v>
      </c>
      <c r="C593" s="27">
        <v>46034.0</v>
      </c>
      <c r="D593" s="27">
        <v>46034.0</v>
      </c>
      <c r="E593" s="26" t="s">
        <v>1121</v>
      </c>
      <c r="F593" s="26" t="s">
        <v>1200</v>
      </c>
    </row>
    <row r="594">
      <c r="A594" s="26" t="s">
        <v>1441</v>
      </c>
      <c r="B594" s="26" t="s">
        <v>790</v>
      </c>
      <c r="C594" s="27">
        <v>46034.0</v>
      </c>
      <c r="D594" s="27">
        <v>46034.0</v>
      </c>
      <c r="E594" s="26" t="s">
        <v>1121</v>
      </c>
      <c r="F594" s="26" t="s">
        <v>1200</v>
      </c>
    </row>
    <row r="595">
      <c r="A595" s="26" t="s">
        <v>1441</v>
      </c>
      <c r="B595" s="26" t="s">
        <v>790</v>
      </c>
      <c r="C595" s="27">
        <v>46034.0</v>
      </c>
      <c r="D595" s="27">
        <v>46034.0</v>
      </c>
      <c r="E595" s="26" t="s">
        <v>1121</v>
      </c>
      <c r="F595" s="26" t="s">
        <v>1200</v>
      </c>
    </row>
    <row r="596">
      <c r="A596" s="26" t="s">
        <v>1442</v>
      </c>
      <c r="B596" s="26" t="s">
        <v>776</v>
      </c>
      <c r="C596" s="27">
        <v>46034.0</v>
      </c>
      <c r="D596" s="27">
        <v>46034.0</v>
      </c>
      <c r="E596" s="26" t="s">
        <v>1121</v>
      </c>
      <c r="F596" s="26" t="s">
        <v>1200</v>
      </c>
    </row>
    <row r="597">
      <c r="A597" s="26" t="s">
        <v>1442</v>
      </c>
      <c r="B597" s="26" t="s">
        <v>776</v>
      </c>
      <c r="C597" s="27">
        <v>46034.0</v>
      </c>
      <c r="D597" s="27">
        <v>46034.0</v>
      </c>
      <c r="E597" s="26" t="s">
        <v>1121</v>
      </c>
      <c r="F597" s="26" t="s">
        <v>1200</v>
      </c>
    </row>
    <row r="598">
      <c r="A598" s="26" t="s">
        <v>1442</v>
      </c>
      <c r="B598" s="26" t="s">
        <v>776</v>
      </c>
      <c r="C598" s="27">
        <v>46034.0</v>
      </c>
      <c r="D598" s="27">
        <v>46034.0</v>
      </c>
      <c r="E598" s="26" t="s">
        <v>1121</v>
      </c>
      <c r="F598" s="26" t="s">
        <v>1200</v>
      </c>
    </row>
    <row r="599">
      <c r="A599" s="26" t="s">
        <v>1443</v>
      </c>
      <c r="B599" s="26" t="s">
        <v>467</v>
      </c>
      <c r="C599" s="27">
        <v>46032.0</v>
      </c>
      <c r="D599" s="27">
        <v>46032.0</v>
      </c>
      <c r="E599" s="26" t="s">
        <v>1121</v>
      </c>
      <c r="F599" s="26" t="s">
        <v>1200</v>
      </c>
    </row>
    <row r="600">
      <c r="A600" s="26" t="s">
        <v>1444</v>
      </c>
      <c r="B600" s="26" t="s">
        <v>546</v>
      </c>
      <c r="C600" s="27">
        <v>46032.0</v>
      </c>
      <c r="D600" s="27">
        <v>46032.0</v>
      </c>
      <c r="E600" s="26" t="s">
        <v>1121</v>
      </c>
      <c r="F600" s="26" t="s">
        <v>1200</v>
      </c>
    </row>
    <row r="601">
      <c r="A601" s="26" t="s">
        <v>1444</v>
      </c>
      <c r="B601" s="26" t="s">
        <v>546</v>
      </c>
      <c r="C601" s="27">
        <v>46032.0</v>
      </c>
      <c r="D601" s="27">
        <v>46032.0</v>
      </c>
      <c r="E601" s="26" t="s">
        <v>1121</v>
      </c>
      <c r="F601" s="26" t="s">
        <v>1200</v>
      </c>
    </row>
    <row r="602">
      <c r="A602" s="26" t="s">
        <v>1445</v>
      </c>
      <c r="B602" s="26" t="s">
        <v>444</v>
      </c>
      <c r="C602" s="27">
        <v>46032.0</v>
      </c>
      <c r="D602" s="27">
        <v>46032.0</v>
      </c>
      <c r="E602" s="26" t="s">
        <v>1121</v>
      </c>
      <c r="F602" s="26" t="s">
        <v>1200</v>
      </c>
    </row>
    <row r="603">
      <c r="A603" s="26" t="s">
        <v>1445</v>
      </c>
      <c r="B603" s="26" t="s">
        <v>444</v>
      </c>
      <c r="C603" s="27">
        <v>46032.0</v>
      </c>
      <c r="D603" s="27">
        <v>46032.0</v>
      </c>
      <c r="E603" s="26" t="s">
        <v>1121</v>
      </c>
      <c r="F603" s="26" t="s">
        <v>1200</v>
      </c>
    </row>
    <row r="604">
      <c r="A604" s="26" t="s">
        <v>1446</v>
      </c>
      <c r="B604" s="26" t="s">
        <v>516</v>
      </c>
      <c r="C604" s="27">
        <v>46032.0</v>
      </c>
      <c r="D604" s="27">
        <v>46032.0</v>
      </c>
      <c r="E604" s="26" t="s">
        <v>1121</v>
      </c>
      <c r="F604" s="26" t="s">
        <v>1200</v>
      </c>
    </row>
    <row r="605">
      <c r="A605" s="26" t="s">
        <v>1447</v>
      </c>
      <c r="B605" s="26" t="s">
        <v>335</v>
      </c>
      <c r="C605" s="27">
        <v>46031.0</v>
      </c>
      <c r="D605" s="27">
        <v>46031.0</v>
      </c>
      <c r="E605" s="26" t="s">
        <v>1121</v>
      </c>
      <c r="F605" s="26" t="s">
        <v>1200</v>
      </c>
    </row>
    <row r="606">
      <c r="A606" s="26" t="s">
        <v>1448</v>
      </c>
      <c r="B606" s="26" t="s">
        <v>717</v>
      </c>
      <c r="C606" s="27">
        <v>46031.0</v>
      </c>
      <c r="D606" s="27">
        <v>46031.0</v>
      </c>
      <c r="E606" s="26" t="s">
        <v>1121</v>
      </c>
      <c r="F606" s="26" t="s">
        <v>1200</v>
      </c>
    </row>
    <row r="607">
      <c r="A607" s="26" t="s">
        <v>1449</v>
      </c>
      <c r="B607" s="26" t="s">
        <v>546</v>
      </c>
      <c r="C607" s="27">
        <v>46030.0</v>
      </c>
      <c r="D607" s="27">
        <v>46030.0</v>
      </c>
      <c r="E607" s="26" t="s">
        <v>1121</v>
      </c>
      <c r="F607" s="26" t="s">
        <v>1200</v>
      </c>
    </row>
    <row r="608">
      <c r="A608" s="26" t="s">
        <v>1449</v>
      </c>
      <c r="B608" s="26" t="s">
        <v>546</v>
      </c>
      <c r="C608" s="27">
        <v>46030.0</v>
      </c>
      <c r="D608" s="27">
        <v>46030.0</v>
      </c>
      <c r="E608" s="26" t="s">
        <v>1121</v>
      </c>
      <c r="F608" s="26" t="s">
        <v>1200</v>
      </c>
    </row>
    <row r="609">
      <c r="A609" s="26" t="s">
        <v>1450</v>
      </c>
      <c r="B609" s="26" t="s">
        <v>483</v>
      </c>
      <c r="C609" s="27">
        <v>46030.0</v>
      </c>
      <c r="D609" s="27">
        <v>46030.0</v>
      </c>
      <c r="E609" s="26" t="s">
        <v>1121</v>
      </c>
      <c r="F609" s="26" t="s">
        <v>1200</v>
      </c>
    </row>
    <row r="610">
      <c r="A610" s="26" t="s">
        <v>1451</v>
      </c>
      <c r="B610" s="26" t="s">
        <v>467</v>
      </c>
      <c r="C610" s="27">
        <v>46030.0</v>
      </c>
      <c r="D610" s="27">
        <v>46030.0</v>
      </c>
      <c r="E610" s="26" t="s">
        <v>1121</v>
      </c>
      <c r="F610" s="26" t="s">
        <v>1200</v>
      </c>
    </row>
    <row r="611">
      <c r="A611" s="26" t="s">
        <v>1452</v>
      </c>
      <c r="B611" s="26" t="s">
        <v>717</v>
      </c>
      <c r="C611" s="27">
        <v>46029.0</v>
      </c>
      <c r="D611" s="27">
        <v>46029.0</v>
      </c>
      <c r="E611" s="26" t="s">
        <v>1121</v>
      </c>
      <c r="F611" s="26" t="s">
        <v>1200</v>
      </c>
    </row>
    <row r="612">
      <c r="A612" s="26" t="s">
        <v>1452</v>
      </c>
      <c r="B612" s="26" t="s">
        <v>717</v>
      </c>
      <c r="C612" s="27">
        <v>46029.0</v>
      </c>
      <c r="D612" s="27">
        <v>46029.0</v>
      </c>
      <c r="E612" s="26" t="s">
        <v>1121</v>
      </c>
      <c r="F612" s="26" t="s">
        <v>1200</v>
      </c>
    </row>
    <row r="613">
      <c r="A613" s="26" t="s">
        <v>1453</v>
      </c>
      <c r="B613" s="26" t="s">
        <v>1454</v>
      </c>
      <c r="C613" s="27">
        <v>46032.0</v>
      </c>
      <c r="D613" s="27">
        <v>46032.0</v>
      </c>
      <c r="E613" s="26" t="s">
        <v>1121</v>
      </c>
      <c r="F613" s="26" t="s">
        <v>1200</v>
      </c>
    </row>
    <row r="614">
      <c r="A614" s="26" t="s">
        <v>1453</v>
      </c>
      <c r="B614" s="26" t="s">
        <v>1454</v>
      </c>
      <c r="C614" s="27">
        <v>46032.0</v>
      </c>
      <c r="D614" s="27">
        <v>46032.0</v>
      </c>
      <c r="E614" s="26" t="s">
        <v>1121</v>
      </c>
      <c r="F614" s="26" t="s">
        <v>1200</v>
      </c>
    </row>
    <row r="615">
      <c r="A615" s="26" t="s">
        <v>1453</v>
      </c>
      <c r="B615" s="26" t="s">
        <v>1454</v>
      </c>
      <c r="C615" s="27">
        <v>46032.0</v>
      </c>
      <c r="D615" s="27">
        <v>46032.0</v>
      </c>
      <c r="E615" s="26" t="s">
        <v>1121</v>
      </c>
      <c r="F615" s="26" t="s">
        <v>1200</v>
      </c>
    </row>
    <row r="616">
      <c r="A616" s="26" t="s">
        <v>1453</v>
      </c>
      <c r="B616" s="26" t="s">
        <v>1454</v>
      </c>
      <c r="C616" s="27">
        <v>46032.0</v>
      </c>
      <c r="D616" s="27">
        <v>46032.0</v>
      </c>
      <c r="E616" s="26" t="s">
        <v>1121</v>
      </c>
      <c r="F616" s="26" t="s">
        <v>1200</v>
      </c>
    </row>
    <row r="617">
      <c r="A617" s="26" t="s">
        <v>1453</v>
      </c>
      <c r="B617" s="26" t="s">
        <v>1454</v>
      </c>
      <c r="C617" s="27">
        <v>46032.0</v>
      </c>
      <c r="D617" s="27">
        <v>46032.0</v>
      </c>
      <c r="E617" s="26" t="s">
        <v>1121</v>
      </c>
      <c r="F617" s="26" t="s">
        <v>1200</v>
      </c>
    </row>
    <row r="618">
      <c r="A618" s="26" t="s">
        <v>1453</v>
      </c>
      <c r="B618" s="26" t="s">
        <v>1454</v>
      </c>
      <c r="C618" s="27">
        <v>46032.0</v>
      </c>
      <c r="D618" s="27">
        <v>46032.0</v>
      </c>
      <c r="E618" s="26" t="s">
        <v>1121</v>
      </c>
      <c r="F618" s="26" t="s">
        <v>1200</v>
      </c>
    </row>
    <row r="619">
      <c r="A619" s="26" t="s">
        <v>1453</v>
      </c>
      <c r="B619" s="26" t="s">
        <v>1454</v>
      </c>
      <c r="C619" s="27">
        <v>46032.0</v>
      </c>
      <c r="D619" s="27">
        <v>46032.0</v>
      </c>
      <c r="E619" s="26" t="s">
        <v>1121</v>
      </c>
      <c r="F619" s="26" t="s">
        <v>1200</v>
      </c>
    </row>
    <row r="620">
      <c r="A620" s="26" t="s">
        <v>1453</v>
      </c>
      <c r="B620" s="26" t="s">
        <v>1454</v>
      </c>
      <c r="C620" s="27">
        <v>46032.0</v>
      </c>
      <c r="D620" s="27">
        <v>46032.0</v>
      </c>
      <c r="E620" s="26" t="s">
        <v>1121</v>
      </c>
      <c r="F620" s="26" t="s">
        <v>1200</v>
      </c>
    </row>
    <row r="621">
      <c r="A621" s="26" t="s">
        <v>1453</v>
      </c>
      <c r="B621" s="26" t="s">
        <v>1454</v>
      </c>
      <c r="C621" s="27">
        <v>46032.0</v>
      </c>
      <c r="D621" s="27">
        <v>46032.0</v>
      </c>
      <c r="E621" s="26" t="s">
        <v>1121</v>
      </c>
      <c r="F621" s="26" t="s">
        <v>1200</v>
      </c>
    </row>
    <row r="622">
      <c r="A622" s="26" t="s">
        <v>1453</v>
      </c>
      <c r="B622" s="26" t="s">
        <v>1454</v>
      </c>
      <c r="C622" s="27">
        <v>46032.0</v>
      </c>
      <c r="D622" s="27">
        <v>46032.0</v>
      </c>
      <c r="E622" s="26" t="s">
        <v>1121</v>
      </c>
      <c r="F622" s="26" t="s">
        <v>1200</v>
      </c>
    </row>
    <row r="623">
      <c r="A623" s="26" t="s">
        <v>1453</v>
      </c>
      <c r="B623" s="26" t="s">
        <v>1454</v>
      </c>
      <c r="C623" s="27">
        <v>46032.0</v>
      </c>
      <c r="D623" s="27">
        <v>46032.0</v>
      </c>
      <c r="E623" s="26" t="s">
        <v>1121</v>
      </c>
      <c r="F623" s="26" t="s">
        <v>1200</v>
      </c>
    </row>
    <row r="624">
      <c r="A624" s="26" t="s">
        <v>1453</v>
      </c>
      <c r="B624" s="26" t="s">
        <v>1454</v>
      </c>
      <c r="C624" s="27">
        <v>46032.0</v>
      </c>
      <c r="D624" s="27">
        <v>46032.0</v>
      </c>
      <c r="E624" s="26" t="s">
        <v>1121</v>
      </c>
      <c r="F624" s="26" t="s">
        <v>1200</v>
      </c>
    </row>
    <row r="625">
      <c r="A625" s="26" t="s">
        <v>1453</v>
      </c>
      <c r="B625" s="26" t="s">
        <v>1454</v>
      </c>
      <c r="C625" s="27">
        <v>46032.0</v>
      </c>
      <c r="D625" s="27">
        <v>46032.0</v>
      </c>
      <c r="E625" s="26" t="s">
        <v>1121</v>
      </c>
      <c r="F625" s="26" t="s">
        <v>1200</v>
      </c>
    </row>
    <row r="626">
      <c r="A626" s="26" t="s">
        <v>1453</v>
      </c>
      <c r="B626" s="26" t="s">
        <v>1454</v>
      </c>
      <c r="C626" s="27">
        <v>46032.0</v>
      </c>
      <c r="D626" s="27">
        <v>46032.0</v>
      </c>
      <c r="E626" s="26" t="s">
        <v>1121</v>
      </c>
      <c r="F626" s="26" t="s">
        <v>1200</v>
      </c>
    </row>
    <row r="627">
      <c r="A627" s="26" t="s">
        <v>1453</v>
      </c>
      <c r="B627" s="26" t="s">
        <v>1454</v>
      </c>
      <c r="C627" s="27">
        <v>46032.0</v>
      </c>
      <c r="D627" s="27">
        <v>46032.0</v>
      </c>
      <c r="E627" s="26" t="s">
        <v>1121</v>
      </c>
      <c r="F627" s="26" t="s">
        <v>1200</v>
      </c>
    </row>
    <row r="628">
      <c r="A628" s="26" t="s">
        <v>1453</v>
      </c>
      <c r="B628" s="26" t="s">
        <v>1454</v>
      </c>
      <c r="C628" s="27">
        <v>46032.0</v>
      </c>
      <c r="D628" s="27">
        <v>46032.0</v>
      </c>
      <c r="E628" s="26" t="s">
        <v>1121</v>
      </c>
      <c r="F628" s="26" t="s">
        <v>1200</v>
      </c>
    </row>
    <row r="629">
      <c r="A629" s="26" t="s">
        <v>1453</v>
      </c>
      <c r="B629" s="26" t="s">
        <v>1454</v>
      </c>
      <c r="C629" s="27">
        <v>46032.0</v>
      </c>
      <c r="D629" s="27">
        <v>46032.0</v>
      </c>
      <c r="E629" s="26" t="s">
        <v>1121</v>
      </c>
      <c r="F629" s="26" t="s">
        <v>1200</v>
      </c>
    </row>
    <row r="630">
      <c r="A630" s="26" t="s">
        <v>1453</v>
      </c>
      <c r="B630" s="26" t="s">
        <v>1454</v>
      </c>
      <c r="C630" s="27">
        <v>46032.0</v>
      </c>
      <c r="D630" s="27">
        <v>46032.0</v>
      </c>
      <c r="E630" s="26" t="s">
        <v>1121</v>
      </c>
      <c r="F630" s="26" t="s">
        <v>1200</v>
      </c>
    </row>
    <row r="631">
      <c r="A631" s="26" t="s">
        <v>1453</v>
      </c>
      <c r="B631" s="26" t="s">
        <v>1454</v>
      </c>
      <c r="C631" s="27">
        <v>46032.0</v>
      </c>
      <c r="D631" s="27">
        <v>46032.0</v>
      </c>
      <c r="E631" s="26" t="s">
        <v>1121</v>
      </c>
      <c r="F631" s="26" t="s">
        <v>1200</v>
      </c>
    </row>
    <row r="632">
      <c r="A632" s="26" t="s">
        <v>1453</v>
      </c>
      <c r="B632" s="26" t="s">
        <v>1454</v>
      </c>
      <c r="C632" s="27">
        <v>46032.0</v>
      </c>
      <c r="D632" s="27">
        <v>46032.0</v>
      </c>
      <c r="E632" s="26" t="s">
        <v>1121</v>
      </c>
      <c r="F632" s="26" t="s">
        <v>1200</v>
      </c>
    </row>
    <row r="633">
      <c r="A633" s="26" t="s">
        <v>1453</v>
      </c>
      <c r="B633" s="26" t="s">
        <v>1454</v>
      </c>
      <c r="C633" s="27">
        <v>46032.0</v>
      </c>
      <c r="D633" s="27">
        <v>46032.0</v>
      </c>
      <c r="E633" s="26" t="s">
        <v>1121</v>
      </c>
      <c r="F633" s="26" t="s">
        <v>1200</v>
      </c>
    </row>
    <row r="634">
      <c r="A634" s="26" t="s">
        <v>1453</v>
      </c>
      <c r="B634" s="26" t="s">
        <v>1454</v>
      </c>
      <c r="C634" s="27">
        <v>46032.0</v>
      </c>
      <c r="D634" s="27">
        <v>46032.0</v>
      </c>
      <c r="E634" s="26" t="s">
        <v>1121</v>
      </c>
      <c r="F634" s="26" t="s">
        <v>1200</v>
      </c>
    </row>
    <row r="635">
      <c r="A635" s="26" t="s">
        <v>1453</v>
      </c>
      <c r="B635" s="26" t="s">
        <v>1454</v>
      </c>
      <c r="C635" s="27">
        <v>46032.0</v>
      </c>
      <c r="D635" s="27">
        <v>46032.0</v>
      </c>
      <c r="E635" s="26" t="s">
        <v>1121</v>
      </c>
      <c r="F635" s="26" t="s">
        <v>1200</v>
      </c>
    </row>
    <row r="636">
      <c r="A636" s="26" t="s">
        <v>1453</v>
      </c>
      <c r="B636" s="26" t="s">
        <v>1454</v>
      </c>
      <c r="C636" s="27">
        <v>46032.0</v>
      </c>
      <c r="D636" s="27">
        <v>46032.0</v>
      </c>
      <c r="E636" s="26" t="s">
        <v>1121</v>
      </c>
      <c r="F636" s="26" t="s">
        <v>1200</v>
      </c>
    </row>
    <row r="637">
      <c r="A637" s="26" t="s">
        <v>1453</v>
      </c>
      <c r="B637" s="26" t="s">
        <v>1454</v>
      </c>
      <c r="C637" s="27">
        <v>46032.0</v>
      </c>
      <c r="D637" s="27">
        <v>46032.0</v>
      </c>
      <c r="E637" s="26" t="s">
        <v>1121</v>
      </c>
      <c r="F637" s="26" t="s">
        <v>1200</v>
      </c>
    </row>
    <row r="638">
      <c r="A638" s="26" t="s">
        <v>1455</v>
      </c>
      <c r="B638" s="26" t="s">
        <v>542</v>
      </c>
      <c r="C638" s="27">
        <v>46028.0</v>
      </c>
      <c r="D638" s="27">
        <v>46028.0</v>
      </c>
      <c r="E638" s="26" t="s">
        <v>1121</v>
      </c>
      <c r="F638" s="26" t="s">
        <v>1200</v>
      </c>
    </row>
    <row r="639">
      <c r="A639" s="26" t="s">
        <v>1456</v>
      </c>
      <c r="B639" s="26" t="s">
        <v>428</v>
      </c>
      <c r="C639" s="27">
        <v>46028.0</v>
      </c>
      <c r="D639" s="27">
        <v>46028.0</v>
      </c>
      <c r="E639" s="26" t="s">
        <v>1121</v>
      </c>
      <c r="F639" s="26" t="s">
        <v>1200</v>
      </c>
    </row>
    <row r="640">
      <c r="A640" s="26" t="s">
        <v>1457</v>
      </c>
      <c r="B640" s="26" t="s">
        <v>432</v>
      </c>
      <c r="C640" s="27">
        <v>46028.0</v>
      </c>
      <c r="D640" s="27">
        <v>46028.0</v>
      </c>
      <c r="E640" s="26" t="s">
        <v>1121</v>
      </c>
      <c r="F640" s="26" t="s">
        <v>1200</v>
      </c>
    </row>
    <row r="641">
      <c r="A641" s="26" t="s">
        <v>1458</v>
      </c>
      <c r="B641" s="26" t="s">
        <v>444</v>
      </c>
      <c r="C641" s="27">
        <v>46027.0</v>
      </c>
      <c r="D641" s="27">
        <v>46027.0</v>
      </c>
      <c r="E641" s="26" t="s">
        <v>1121</v>
      </c>
      <c r="F641" s="26" t="s">
        <v>1200</v>
      </c>
    </row>
    <row r="642">
      <c r="A642" s="26" t="s">
        <v>1458</v>
      </c>
      <c r="B642" s="26" t="s">
        <v>444</v>
      </c>
      <c r="C642" s="27">
        <v>46027.0</v>
      </c>
      <c r="D642" s="27">
        <v>46027.0</v>
      </c>
      <c r="E642" s="26" t="s">
        <v>1121</v>
      </c>
      <c r="F642" s="26" t="s">
        <v>1200</v>
      </c>
    </row>
    <row r="643">
      <c r="A643" s="26" t="s">
        <v>1459</v>
      </c>
      <c r="B643" s="26" t="s">
        <v>651</v>
      </c>
      <c r="C643" s="27">
        <v>46027.0</v>
      </c>
      <c r="D643" s="27">
        <v>46027.0</v>
      </c>
      <c r="E643" s="26" t="s">
        <v>1121</v>
      </c>
      <c r="F643" s="26" t="s">
        <v>1200</v>
      </c>
    </row>
    <row r="644">
      <c r="A644" s="26" t="s">
        <v>1459</v>
      </c>
      <c r="B644" s="26" t="s">
        <v>651</v>
      </c>
      <c r="C644" s="27">
        <v>46027.0</v>
      </c>
      <c r="D644" s="27">
        <v>46027.0</v>
      </c>
      <c r="E644" s="26" t="s">
        <v>1121</v>
      </c>
      <c r="F644" s="26" t="s">
        <v>1200</v>
      </c>
    </row>
    <row r="645">
      <c r="A645" s="26" t="s">
        <v>1459</v>
      </c>
      <c r="B645" s="26" t="s">
        <v>651</v>
      </c>
      <c r="C645" s="27">
        <v>46027.0</v>
      </c>
      <c r="D645" s="27">
        <v>46027.0</v>
      </c>
      <c r="E645" s="26" t="s">
        <v>1121</v>
      </c>
      <c r="F645" s="26" t="s">
        <v>1200</v>
      </c>
    </row>
    <row r="646">
      <c r="A646" s="26" t="s">
        <v>1459</v>
      </c>
      <c r="B646" s="26" t="s">
        <v>651</v>
      </c>
      <c r="C646" s="27">
        <v>46027.0</v>
      </c>
      <c r="D646" s="27">
        <v>46027.0</v>
      </c>
      <c r="E646" s="26" t="s">
        <v>1121</v>
      </c>
      <c r="F646" s="26" t="s">
        <v>1200</v>
      </c>
    </row>
    <row r="647">
      <c r="A647" s="26" t="s">
        <v>1459</v>
      </c>
      <c r="B647" s="26" t="s">
        <v>651</v>
      </c>
      <c r="C647" s="27">
        <v>46027.0</v>
      </c>
      <c r="D647" s="27">
        <v>46027.0</v>
      </c>
      <c r="E647" s="26" t="s">
        <v>1121</v>
      </c>
      <c r="F647" s="26" t="s">
        <v>1200</v>
      </c>
    </row>
    <row r="648">
      <c r="A648" s="26" t="s">
        <v>1459</v>
      </c>
      <c r="B648" s="26" t="s">
        <v>651</v>
      </c>
      <c r="C648" s="27">
        <v>46027.0</v>
      </c>
      <c r="D648" s="27">
        <v>46027.0</v>
      </c>
      <c r="E648" s="26" t="s">
        <v>1121</v>
      </c>
      <c r="F648" s="26" t="s">
        <v>1200</v>
      </c>
    </row>
    <row r="649">
      <c r="A649" s="26" t="s">
        <v>1460</v>
      </c>
      <c r="B649" s="26" t="s">
        <v>688</v>
      </c>
      <c r="C649" s="27">
        <v>46027.0</v>
      </c>
      <c r="D649" s="27">
        <v>46027.0</v>
      </c>
      <c r="E649" s="26" t="s">
        <v>1121</v>
      </c>
      <c r="F649" s="26" t="s">
        <v>1200</v>
      </c>
    </row>
    <row r="650">
      <c r="A650" s="26" t="s">
        <v>1461</v>
      </c>
      <c r="B650" s="26" t="s">
        <v>599</v>
      </c>
      <c r="C650" s="27">
        <v>46027.0</v>
      </c>
      <c r="D650" s="27">
        <v>46027.0</v>
      </c>
      <c r="E650" s="26" t="s">
        <v>1121</v>
      </c>
      <c r="F650" s="26" t="s">
        <v>1200</v>
      </c>
    </row>
    <row r="651">
      <c r="A651" s="26" t="s">
        <v>1462</v>
      </c>
      <c r="B651" s="26" t="s">
        <v>455</v>
      </c>
      <c r="C651" s="27">
        <v>46025.0</v>
      </c>
      <c r="D651" s="27">
        <v>46025.0</v>
      </c>
      <c r="E651" s="26" t="s">
        <v>1121</v>
      </c>
      <c r="F651" s="26" t="s">
        <v>1200</v>
      </c>
    </row>
    <row r="652">
      <c r="A652" s="26" t="s">
        <v>1463</v>
      </c>
      <c r="B652" s="26" t="s">
        <v>1333</v>
      </c>
      <c r="C652" s="27">
        <v>46025.0</v>
      </c>
      <c r="D652" s="27">
        <v>46025.0</v>
      </c>
      <c r="E652" s="26" t="s">
        <v>1121</v>
      </c>
      <c r="F652" s="26" t="s">
        <v>1200</v>
      </c>
    </row>
    <row r="653">
      <c r="A653" s="26" t="s">
        <v>1464</v>
      </c>
      <c r="B653" s="26" t="s">
        <v>467</v>
      </c>
      <c r="C653" s="27">
        <v>46025.0</v>
      </c>
      <c r="D653" s="27">
        <v>46025.0</v>
      </c>
      <c r="E653" s="26" t="s">
        <v>1121</v>
      </c>
      <c r="F653" s="26" t="s">
        <v>1200</v>
      </c>
    </row>
    <row r="654">
      <c r="A654" s="26" t="s">
        <v>1465</v>
      </c>
      <c r="B654" s="26" t="s">
        <v>546</v>
      </c>
      <c r="C654" s="27">
        <v>46025.0</v>
      </c>
      <c r="D654" s="27">
        <v>46025.0</v>
      </c>
      <c r="E654" s="26" t="s">
        <v>1121</v>
      </c>
      <c r="F654" s="26" t="s">
        <v>1200</v>
      </c>
    </row>
    <row r="655">
      <c r="A655" s="26" t="s">
        <v>1465</v>
      </c>
      <c r="B655" s="26" t="s">
        <v>546</v>
      </c>
      <c r="C655" s="27">
        <v>46025.0</v>
      </c>
      <c r="D655" s="27">
        <v>46025.0</v>
      </c>
      <c r="E655" s="26" t="s">
        <v>1121</v>
      </c>
      <c r="F655" s="26" t="s">
        <v>1200</v>
      </c>
    </row>
    <row r="656">
      <c r="A656" s="26" t="s">
        <v>1466</v>
      </c>
      <c r="B656" s="26" t="s">
        <v>580</v>
      </c>
      <c r="C656" s="27">
        <v>46024.0</v>
      </c>
      <c r="D656" s="27">
        <v>46024.0</v>
      </c>
      <c r="E656" s="26" t="s">
        <v>1121</v>
      </c>
      <c r="F656" s="26" t="s">
        <v>1200</v>
      </c>
    </row>
    <row r="657">
      <c r="A657" s="26" t="s">
        <v>1467</v>
      </c>
      <c r="B657" s="26" t="s">
        <v>717</v>
      </c>
      <c r="C657" s="27">
        <v>46024.0</v>
      </c>
      <c r="D657" s="27">
        <v>46024.0</v>
      </c>
      <c r="E657" s="26" t="s">
        <v>1121</v>
      </c>
      <c r="F657" s="26" t="s">
        <v>1200</v>
      </c>
    </row>
    <row r="658">
      <c r="A658" s="26" t="s">
        <v>1467</v>
      </c>
      <c r="B658" s="26" t="s">
        <v>717</v>
      </c>
      <c r="C658" s="27">
        <v>46024.0</v>
      </c>
      <c r="D658" s="27">
        <v>46024.0</v>
      </c>
      <c r="E658" s="26" t="s">
        <v>1121</v>
      </c>
      <c r="F658" s="26" t="s">
        <v>1200</v>
      </c>
    </row>
    <row r="659">
      <c r="A659" s="26" t="s">
        <v>1468</v>
      </c>
      <c r="B659" s="26" t="s">
        <v>522</v>
      </c>
      <c r="C659" s="27">
        <v>46024.0</v>
      </c>
      <c r="D659" s="27">
        <v>46024.0</v>
      </c>
      <c r="E659" s="26" t="s">
        <v>1121</v>
      </c>
      <c r="F659" s="26" t="s">
        <v>1200</v>
      </c>
    </row>
    <row r="660">
      <c r="A660" s="26" t="s">
        <v>1469</v>
      </c>
      <c r="B660" s="26" t="s">
        <v>512</v>
      </c>
      <c r="C660" s="27">
        <v>46022.0</v>
      </c>
      <c r="D660" s="27">
        <v>46022.0</v>
      </c>
      <c r="E660" s="26" t="s">
        <v>1121</v>
      </c>
      <c r="F660" s="26" t="s">
        <v>1200</v>
      </c>
    </row>
    <row r="661">
      <c r="A661" s="26" t="s">
        <v>1470</v>
      </c>
      <c r="B661" s="26" t="s">
        <v>483</v>
      </c>
      <c r="C661" s="27">
        <v>46022.0</v>
      </c>
      <c r="D661" s="27">
        <v>46022.0</v>
      </c>
      <c r="E661" s="26" t="s">
        <v>1121</v>
      </c>
      <c r="F661" s="26" t="s">
        <v>1200</v>
      </c>
    </row>
    <row r="662">
      <c r="A662" s="26" t="s">
        <v>1471</v>
      </c>
      <c r="B662" s="26" t="s">
        <v>639</v>
      </c>
      <c r="C662" s="27">
        <v>46022.0</v>
      </c>
      <c r="D662" s="27">
        <v>46022.0</v>
      </c>
      <c r="E662" s="26" t="s">
        <v>1121</v>
      </c>
      <c r="F662" s="26" t="s">
        <v>1200</v>
      </c>
    </row>
    <row r="663">
      <c r="A663" s="26" t="s">
        <v>1471</v>
      </c>
      <c r="B663" s="26" t="s">
        <v>639</v>
      </c>
      <c r="C663" s="27">
        <v>46022.0</v>
      </c>
      <c r="D663" s="27">
        <v>46022.0</v>
      </c>
      <c r="E663" s="26" t="s">
        <v>1121</v>
      </c>
      <c r="F663" s="26" t="s">
        <v>1200</v>
      </c>
    </row>
    <row r="664">
      <c r="A664" s="26" t="s">
        <v>1472</v>
      </c>
      <c r="B664" s="26" t="s">
        <v>546</v>
      </c>
      <c r="C664" s="27">
        <v>46022.0</v>
      </c>
      <c r="D664" s="27">
        <v>46022.0</v>
      </c>
      <c r="E664" s="26" t="s">
        <v>1121</v>
      </c>
      <c r="F664" s="26" t="s">
        <v>1200</v>
      </c>
    </row>
    <row r="665">
      <c r="A665" s="26" t="s">
        <v>1472</v>
      </c>
      <c r="B665" s="26" t="s">
        <v>546</v>
      </c>
      <c r="C665" s="27">
        <v>46022.0</v>
      </c>
      <c r="D665" s="27">
        <v>46022.0</v>
      </c>
      <c r="E665" s="26" t="s">
        <v>1121</v>
      </c>
      <c r="F665" s="26" t="s">
        <v>1200</v>
      </c>
    </row>
    <row r="666">
      <c r="A666" s="26" t="s">
        <v>1472</v>
      </c>
      <c r="B666" s="26" t="s">
        <v>546</v>
      </c>
      <c r="C666" s="27">
        <v>46022.0</v>
      </c>
      <c r="D666" s="27">
        <v>46022.0</v>
      </c>
      <c r="E666" s="26" t="s">
        <v>1121</v>
      </c>
      <c r="F666" s="26" t="s">
        <v>1200</v>
      </c>
    </row>
    <row r="667">
      <c r="A667" s="26" t="s">
        <v>1473</v>
      </c>
      <c r="B667" s="26" t="s">
        <v>461</v>
      </c>
      <c r="C667" s="27">
        <v>46022.0</v>
      </c>
      <c r="D667" s="27">
        <v>46022.0</v>
      </c>
      <c r="E667" s="26" t="s">
        <v>1121</v>
      </c>
      <c r="F667" s="26" t="s">
        <v>1200</v>
      </c>
    </row>
    <row r="668">
      <c r="A668" s="26" t="s">
        <v>1474</v>
      </c>
      <c r="B668" s="26" t="s">
        <v>444</v>
      </c>
      <c r="C668" s="27">
        <v>46022.0</v>
      </c>
      <c r="D668" s="27">
        <v>46022.0</v>
      </c>
      <c r="E668" s="26" t="s">
        <v>1121</v>
      </c>
      <c r="F668" s="26" t="s">
        <v>1200</v>
      </c>
    </row>
    <row r="669">
      <c r="A669" s="26" t="s">
        <v>1474</v>
      </c>
      <c r="B669" s="26" t="s">
        <v>444</v>
      </c>
      <c r="C669" s="27">
        <v>46022.0</v>
      </c>
      <c r="D669" s="27">
        <v>46022.0</v>
      </c>
      <c r="E669" s="26" t="s">
        <v>1121</v>
      </c>
      <c r="F669" s="26" t="s">
        <v>1200</v>
      </c>
    </row>
    <row r="670">
      <c r="A670" s="26" t="s">
        <v>1474</v>
      </c>
      <c r="B670" s="26" t="s">
        <v>444</v>
      </c>
      <c r="C670" s="27">
        <v>46022.0</v>
      </c>
      <c r="D670" s="27">
        <v>46022.0</v>
      </c>
      <c r="E670" s="26" t="s">
        <v>1121</v>
      </c>
      <c r="F670" s="26" t="s">
        <v>1200</v>
      </c>
    </row>
    <row r="671">
      <c r="A671" s="26" t="s">
        <v>1475</v>
      </c>
      <c r="B671" s="26" t="s">
        <v>483</v>
      </c>
      <c r="C671" s="27">
        <v>46021.0</v>
      </c>
      <c r="D671" s="27">
        <v>46021.0</v>
      </c>
      <c r="E671" s="26" t="s">
        <v>1121</v>
      </c>
      <c r="F671" s="26" t="s">
        <v>1200</v>
      </c>
    </row>
    <row r="672">
      <c r="A672" s="26" t="s">
        <v>1476</v>
      </c>
      <c r="B672" s="26" t="s">
        <v>776</v>
      </c>
      <c r="C672" s="27">
        <v>46021.0</v>
      </c>
      <c r="D672" s="27">
        <v>46021.0</v>
      </c>
      <c r="E672" s="26" t="s">
        <v>1121</v>
      </c>
      <c r="F672" s="26" t="s">
        <v>1200</v>
      </c>
    </row>
    <row r="673">
      <c r="A673" s="26" t="s">
        <v>1477</v>
      </c>
      <c r="B673" s="26" t="s">
        <v>1333</v>
      </c>
      <c r="C673" s="27">
        <v>46021.0</v>
      </c>
      <c r="D673" s="27">
        <v>46021.0</v>
      </c>
      <c r="E673" s="26" t="s">
        <v>1121</v>
      </c>
      <c r="F673" s="26" t="s">
        <v>1200</v>
      </c>
    </row>
    <row r="674">
      <c r="A674" s="26" t="s">
        <v>1477</v>
      </c>
      <c r="B674" s="26" t="s">
        <v>1333</v>
      </c>
      <c r="C674" s="27">
        <v>46021.0</v>
      </c>
      <c r="D674" s="27">
        <v>46021.0</v>
      </c>
      <c r="E674" s="26" t="s">
        <v>1121</v>
      </c>
      <c r="F674" s="26" t="s">
        <v>1200</v>
      </c>
    </row>
    <row r="675">
      <c r="A675" s="26" t="s">
        <v>1477</v>
      </c>
      <c r="B675" s="26" t="s">
        <v>1333</v>
      </c>
      <c r="C675" s="27">
        <v>46021.0</v>
      </c>
      <c r="D675" s="27">
        <v>46021.0</v>
      </c>
      <c r="E675" s="26" t="s">
        <v>1121</v>
      </c>
      <c r="F675" s="26" t="s">
        <v>1200</v>
      </c>
    </row>
    <row r="676">
      <c r="A676" s="26" t="s">
        <v>1477</v>
      </c>
      <c r="B676" s="26" t="s">
        <v>1333</v>
      </c>
      <c r="C676" s="27">
        <v>46021.0</v>
      </c>
      <c r="D676" s="27">
        <v>46021.0</v>
      </c>
      <c r="E676" s="26" t="s">
        <v>1121</v>
      </c>
      <c r="F676" s="26" t="s">
        <v>1200</v>
      </c>
    </row>
    <row r="677">
      <c r="A677" s="26" t="s">
        <v>1477</v>
      </c>
      <c r="B677" s="26" t="s">
        <v>1333</v>
      </c>
      <c r="C677" s="27">
        <v>46021.0</v>
      </c>
      <c r="D677" s="27">
        <v>46021.0</v>
      </c>
      <c r="E677" s="26" t="s">
        <v>1121</v>
      </c>
      <c r="F677" s="26" t="s">
        <v>1200</v>
      </c>
    </row>
    <row r="678">
      <c r="A678" s="26" t="s">
        <v>1477</v>
      </c>
      <c r="B678" s="26" t="s">
        <v>1333</v>
      </c>
      <c r="C678" s="27">
        <v>46021.0</v>
      </c>
      <c r="D678" s="27">
        <v>46021.0</v>
      </c>
      <c r="E678" s="26" t="s">
        <v>1121</v>
      </c>
      <c r="F678" s="26" t="s">
        <v>1200</v>
      </c>
    </row>
    <row r="679">
      <c r="A679" s="26" t="s">
        <v>1477</v>
      </c>
      <c r="B679" s="26" t="s">
        <v>1333</v>
      </c>
      <c r="C679" s="27">
        <v>46021.0</v>
      </c>
      <c r="D679" s="27">
        <v>46021.0</v>
      </c>
      <c r="E679" s="26" t="s">
        <v>1121</v>
      </c>
      <c r="F679" s="26" t="s">
        <v>1200</v>
      </c>
    </row>
    <row r="680">
      <c r="A680" s="26" t="s">
        <v>1478</v>
      </c>
      <c r="B680" s="26" t="s">
        <v>546</v>
      </c>
      <c r="C680" s="27">
        <v>46021.0</v>
      </c>
      <c r="D680" s="27">
        <v>46021.0</v>
      </c>
      <c r="E680" s="26" t="s">
        <v>1121</v>
      </c>
      <c r="F680" s="26" t="s">
        <v>1200</v>
      </c>
    </row>
    <row r="681">
      <c r="A681" s="26" t="s">
        <v>1479</v>
      </c>
      <c r="B681" s="26" t="s">
        <v>512</v>
      </c>
      <c r="C681" s="27">
        <v>46020.0</v>
      </c>
      <c r="D681" s="27">
        <v>46020.0</v>
      </c>
      <c r="E681" s="26" t="s">
        <v>1121</v>
      </c>
      <c r="F681" s="26" t="s">
        <v>1200</v>
      </c>
    </row>
    <row r="682">
      <c r="A682" s="26" t="s">
        <v>1479</v>
      </c>
      <c r="B682" s="26" t="s">
        <v>512</v>
      </c>
      <c r="C682" s="27">
        <v>46020.0</v>
      </c>
      <c r="D682" s="27">
        <v>46020.0</v>
      </c>
      <c r="E682" s="26" t="s">
        <v>1121</v>
      </c>
      <c r="F682" s="26" t="s">
        <v>1200</v>
      </c>
    </row>
    <row r="683">
      <c r="A683" s="26" t="s">
        <v>1479</v>
      </c>
      <c r="B683" s="26" t="s">
        <v>512</v>
      </c>
      <c r="C683" s="27">
        <v>46020.0</v>
      </c>
      <c r="D683" s="27">
        <v>46020.0</v>
      </c>
      <c r="E683" s="26" t="s">
        <v>1121</v>
      </c>
      <c r="F683" s="26" t="s">
        <v>1200</v>
      </c>
    </row>
    <row r="684">
      <c r="A684" s="26" t="s">
        <v>1479</v>
      </c>
      <c r="B684" s="26" t="s">
        <v>512</v>
      </c>
      <c r="C684" s="27">
        <v>46020.0</v>
      </c>
      <c r="D684" s="27">
        <v>46020.0</v>
      </c>
      <c r="E684" s="26" t="s">
        <v>1121</v>
      </c>
      <c r="F684" s="26" t="s">
        <v>1200</v>
      </c>
    </row>
    <row r="685">
      <c r="A685" s="26" t="s">
        <v>1480</v>
      </c>
      <c r="B685" s="26" t="s">
        <v>1335</v>
      </c>
      <c r="C685" s="27">
        <v>46020.0</v>
      </c>
      <c r="D685" s="27">
        <v>46020.0</v>
      </c>
      <c r="E685" s="26" t="s">
        <v>1121</v>
      </c>
      <c r="F685" s="26" t="s">
        <v>1200</v>
      </c>
    </row>
    <row r="686">
      <c r="A686" s="26" t="s">
        <v>1480</v>
      </c>
      <c r="B686" s="26" t="s">
        <v>1335</v>
      </c>
      <c r="C686" s="27">
        <v>46020.0</v>
      </c>
      <c r="D686" s="27">
        <v>46020.0</v>
      </c>
      <c r="E686" s="26" t="s">
        <v>1121</v>
      </c>
      <c r="F686" s="26" t="s">
        <v>1200</v>
      </c>
    </row>
    <row r="687">
      <c r="A687" s="26" t="s">
        <v>1480</v>
      </c>
      <c r="B687" s="26" t="s">
        <v>1335</v>
      </c>
      <c r="C687" s="27">
        <v>46020.0</v>
      </c>
      <c r="D687" s="27">
        <v>46020.0</v>
      </c>
      <c r="E687" s="26" t="s">
        <v>1121</v>
      </c>
      <c r="F687" s="26" t="s">
        <v>1200</v>
      </c>
    </row>
    <row r="688">
      <c r="A688" s="26" t="s">
        <v>1480</v>
      </c>
      <c r="B688" s="26" t="s">
        <v>1335</v>
      </c>
      <c r="C688" s="27">
        <v>46020.0</v>
      </c>
      <c r="D688" s="27">
        <v>46020.0</v>
      </c>
      <c r="E688" s="26" t="s">
        <v>1121</v>
      </c>
      <c r="F688" s="26" t="s">
        <v>1200</v>
      </c>
    </row>
    <row r="689">
      <c r="A689" s="26" t="s">
        <v>1480</v>
      </c>
      <c r="B689" s="26" t="s">
        <v>1335</v>
      </c>
      <c r="C689" s="27">
        <v>46020.0</v>
      </c>
      <c r="D689" s="27">
        <v>46020.0</v>
      </c>
      <c r="E689" s="26" t="s">
        <v>1121</v>
      </c>
      <c r="F689" s="26" t="s">
        <v>1200</v>
      </c>
    </row>
    <row r="690">
      <c r="A690" s="26" t="s">
        <v>1480</v>
      </c>
      <c r="B690" s="26" t="s">
        <v>1335</v>
      </c>
      <c r="C690" s="27">
        <v>46020.0</v>
      </c>
      <c r="D690" s="27">
        <v>46020.0</v>
      </c>
      <c r="E690" s="26" t="s">
        <v>1121</v>
      </c>
      <c r="F690" s="26" t="s">
        <v>1200</v>
      </c>
    </row>
    <row r="691">
      <c r="A691" s="26" t="s">
        <v>1480</v>
      </c>
      <c r="B691" s="26" t="s">
        <v>1335</v>
      </c>
      <c r="C691" s="27">
        <v>46020.0</v>
      </c>
      <c r="D691" s="27">
        <v>46020.0</v>
      </c>
      <c r="E691" s="26" t="s">
        <v>1121</v>
      </c>
      <c r="F691" s="26" t="s">
        <v>1200</v>
      </c>
    </row>
    <row r="692">
      <c r="A692" s="26" t="s">
        <v>1480</v>
      </c>
      <c r="B692" s="26" t="s">
        <v>1335</v>
      </c>
      <c r="C692" s="27">
        <v>46020.0</v>
      </c>
      <c r="D692" s="27">
        <v>46020.0</v>
      </c>
      <c r="E692" s="26" t="s">
        <v>1121</v>
      </c>
      <c r="F692" s="26" t="s">
        <v>1200</v>
      </c>
    </row>
    <row r="693">
      <c r="A693" s="26" t="s">
        <v>1481</v>
      </c>
      <c r="B693" s="26" t="s">
        <v>439</v>
      </c>
      <c r="C693" s="27">
        <v>46020.0</v>
      </c>
      <c r="D693" s="27">
        <v>46020.0</v>
      </c>
      <c r="E693" s="26" t="s">
        <v>1121</v>
      </c>
      <c r="F693" s="26" t="s">
        <v>1200</v>
      </c>
    </row>
    <row r="694">
      <c r="A694" s="26" t="s">
        <v>1482</v>
      </c>
      <c r="B694" s="26" t="s">
        <v>357</v>
      </c>
      <c r="C694" s="27">
        <v>46020.0</v>
      </c>
      <c r="D694" s="27">
        <v>46020.0</v>
      </c>
      <c r="E694" s="26" t="s">
        <v>1121</v>
      </c>
      <c r="F694" s="26" t="s">
        <v>1200</v>
      </c>
    </row>
    <row r="695">
      <c r="A695" s="26" t="s">
        <v>1483</v>
      </c>
      <c r="B695" s="26" t="s">
        <v>516</v>
      </c>
      <c r="C695" s="27">
        <v>46020.0</v>
      </c>
      <c r="D695" s="27">
        <v>46020.0</v>
      </c>
      <c r="E695" s="26" t="s">
        <v>1121</v>
      </c>
      <c r="F695" s="26" t="s">
        <v>1200</v>
      </c>
    </row>
    <row r="696">
      <c r="A696" s="26" t="s">
        <v>1483</v>
      </c>
      <c r="B696" s="26" t="s">
        <v>516</v>
      </c>
      <c r="C696" s="27">
        <v>46020.0</v>
      </c>
      <c r="D696" s="27">
        <v>46020.0</v>
      </c>
      <c r="E696" s="26" t="s">
        <v>1121</v>
      </c>
      <c r="F696" s="26" t="s">
        <v>1200</v>
      </c>
    </row>
    <row r="697">
      <c r="A697" s="26" t="s">
        <v>1483</v>
      </c>
      <c r="B697" s="26" t="s">
        <v>516</v>
      </c>
      <c r="C697" s="27">
        <v>46020.0</v>
      </c>
      <c r="D697" s="27">
        <v>46020.0</v>
      </c>
      <c r="E697" s="26" t="s">
        <v>1121</v>
      </c>
      <c r="F697" s="26" t="s">
        <v>1200</v>
      </c>
    </row>
    <row r="698">
      <c r="A698" s="26" t="s">
        <v>1483</v>
      </c>
      <c r="B698" s="26" t="s">
        <v>516</v>
      </c>
      <c r="C698" s="27">
        <v>46020.0</v>
      </c>
      <c r="D698" s="27">
        <v>46020.0</v>
      </c>
      <c r="E698" s="26" t="s">
        <v>1121</v>
      </c>
      <c r="F698" s="26" t="s">
        <v>1200</v>
      </c>
    </row>
    <row r="699">
      <c r="A699" s="26" t="s">
        <v>1483</v>
      </c>
      <c r="B699" s="26" t="s">
        <v>516</v>
      </c>
      <c r="C699" s="27">
        <v>46020.0</v>
      </c>
      <c r="D699" s="27">
        <v>46020.0</v>
      </c>
      <c r="E699" s="26" t="s">
        <v>1121</v>
      </c>
      <c r="F699" s="26" t="s">
        <v>1200</v>
      </c>
    </row>
    <row r="700">
      <c r="A700" s="26" t="s">
        <v>1483</v>
      </c>
      <c r="B700" s="26" t="s">
        <v>516</v>
      </c>
      <c r="C700" s="27">
        <v>46020.0</v>
      </c>
      <c r="D700" s="27">
        <v>46020.0</v>
      </c>
      <c r="E700" s="26" t="s">
        <v>1121</v>
      </c>
      <c r="F700" s="26" t="s">
        <v>1200</v>
      </c>
    </row>
    <row r="701">
      <c r="A701" s="26" t="s">
        <v>1483</v>
      </c>
      <c r="B701" s="26" t="s">
        <v>516</v>
      </c>
      <c r="C701" s="27">
        <v>46020.0</v>
      </c>
      <c r="D701" s="27">
        <v>46020.0</v>
      </c>
      <c r="E701" s="26" t="s">
        <v>1121</v>
      </c>
      <c r="F701" s="26" t="s">
        <v>1200</v>
      </c>
    </row>
    <row r="702">
      <c r="A702" s="26" t="s">
        <v>1483</v>
      </c>
      <c r="B702" s="26" t="s">
        <v>516</v>
      </c>
      <c r="C702" s="27">
        <v>46020.0</v>
      </c>
      <c r="D702" s="27">
        <v>46020.0</v>
      </c>
      <c r="E702" s="26" t="s">
        <v>1121</v>
      </c>
      <c r="F702" s="26" t="s">
        <v>1200</v>
      </c>
    </row>
    <row r="703">
      <c r="A703" s="26" t="s">
        <v>1484</v>
      </c>
      <c r="B703" s="26" t="s">
        <v>591</v>
      </c>
      <c r="C703" s="27">
        <v>46020.0</v>
      </c>
      <c r="D703" s="27">
        <v>46020.0</v>
      </c>
      <c r="E703" s="26" t="s">
        <v>1121</v>
      </c>
      <c r="F703" s="26" t="s">
        <v>1200</v>
      </c>
    </row>
    <row r="704">
      <c r="A704" s="26" t="s">
        <v>1485</v>
      </c>
      <c r="B704" s="26" t="s">
        <v>512</v>
      </c>
      <c r="C704" s="27">
        <v>46018.0</v>
      </c>
      <c r="D704" s="27">
        <v>46018.0</v>
      </c>
      <c r="E704" s="26" t="s">
        <v>1121</v>
      </c>
      <c r="F704" s="26" t="s">
        <v>1200</v>
      </c>
    </row>
    <row r="705">
      <c r="A705" s="26" t="s">
        <v>1486</v>
      </c>
      <c r="B705" s="26" t="s">
        <v>634</v>
      </c>
      <c r="C705" s="27">
        <v>46018.0</v>
      </c>
      <c r="D705" s="27">
        <v>46018.0</v>
      </c>
      <c r="E705" s="26" t="s">
        <v>1121</v>
      </c>
      <c r="F705" s="26" t="s">
        <v>1200</v>
      </c>
    </row>
    <row r="706">
      <c r="A706" s="26" t="s">
        <v>1486</v>
      </c>
      <c r="B706" s="26" t="s">
        <v>634</v>
      </c>
      <c r="C706" s="27">
        <v>46018.0</v>
      </c>
      <c r="D706" s="27">
        <v>46018.0</v>
      </c>
      <c r="E706" s="26" t="s">
        <v>1121</v>
      </c>
      <c r="F706" s="26" t="s">
        <v>1200</v>
      </c>
    </row>
    <row r="707">
      <c r="A707" s="26" t="s">
        <v>1486</v>
      </c>
      <c r="B707" s="26" t="s">
        <v>634</v>
      </c>
      <c r="C707" s="27">
        <v>46018.0</v>
      </c>
      <c r="D707" s="27">
        <v>46018.0</v>
      </c>
      <c r="E707" s="26" t="s">
        <v>1121</v>
      </c>
      <c r="F707" s="26" t="s">
        <v>1200</v>
      </c>
    </row>
    <row r="708">
      <c r="A708" s="26" t="s">
        <v>1487</v>
      </c>
      <c r="B708" s="26" t="s">
        <v>717</v>
      </c>
      <c r="C708" s="27">
        <v>46018.0</v>
      </c>
      <c r="D708" s="27">
        <v>46018.0</v>
      </c>
      <c r="E708" s="26" t="s">
        <v>1121</v>
      </c>
      <c r="F708" s="26" t="s">
        <v>1200</v>
      </c>
    </row>
    <row r="709">
      <c r="A709" s="26" t="s">
        <v>1487</v>
      </c>
      <c r="B709" s="26" t="s">
        <v>717</v>
      </c>
      <c r="C709" s="27">
        <v>46018.0</v>
      </c>
      <c r="D709" s="27">
        <v>46018.0</v>
      </c>
      <c r="E709" s="26" t="s">
        <v>1121</v>
      </c>
      <c r="F709" s="26" t="s">
        <v>1200</v>
      </c>
    </row>
    <row r="710">
      <c r="A710" s="26" t="s">
        <v>1488</v>
      </c>
      <c r="B710" s="26" t="s">
        <v>546</v>
      </c>
      <c r="C710" s="27">
        <v>46018.0</v>
      </c>
      <c r="D710" s="27">
        <v>46018.0</v>
      </c>
      <c r="E710" s="26" t="s">
        <v>1121</v>
      </c>
      <c r="F710" s="26" t="s">
        <v>1200</v>
      </c>
    </row>
    <row r="711">
      <c r="A711" s="26" t="s">
        <v>1489</v>
      </c>
      <c r="B711" s="26" t="s">
        <v>458</v>
      </c>
      <c r="C711" s="27">
        <v>46018.0</v>
      </c>
      <c r="D711" s="27">
        <v>46018.0</v>
      </c>
      <c r="E711" s="26" t="s">
        <v>1121</v>
      </c>
      <c r="F711" s="26" t="s">
        <v>1200</v>
      </c>
    </row>
    <row r="712">
      <c r="A712" s="26" t="s">
        <v>1490</v>
      </c>
      <c r="B712" s="26" t="s">
        <v>546</v>
      </c>
      <c r="C712" s="27">
        <v>46017.0</v>
      </c>
      <c r="D712" s="27">
        <v>46017.0</v>
      </c>
      <c r="E712" s="26" t="s">
        <v>1121</v>
      </c>
      <c r="F712" s="26" t="s">
        <v>1200</v>
      </c>
    </row>
    <row r="713">
      <c r="A713" s="26" t="s">
        <v>1491</v>
      </c>
      <c r="B713" s="26" t="s">
        <v>1226</v>
      </c>
      <c r="C713" s="27">
        <v>46021.0</v>
      </c>
      <c r="D713" s="27">
        <v>46021.0</v>
      </c>
      <c r="E713" s="26" t="s">
        <v>1121</v>
      </c>
      <c r="F713" s="26" t="s">
        <v>1200</v>
      </c>
    </row>
    <row r="714">
      <c r="A714" s="26" t="s">
        <v>1491</v>
      </c>
      <c r="B714" s="26" t="s">
        <v>1226</v>
      </c>
      <c r="C714" s="27">
        <v>46021.0</v>
      </c>
      <c r="D714" s="27">
        <v>46021.0</v>
      </c>
      <c r="E714" s="26" t="s">
        <v>1121</v>
      </c>
      <c r="F714" s="26" t="s">
        <v>1200</v>
      </c>
    </row>
    <row r="715">
      <c r="A715" s="26" t="s">
        <v>1491</v>
      </c>
      <c r="B715" s="26" t="s">
        <v>1226</v>
      </c>
      <c r="C715" s="27">
        <v>46021.0</v>
      </c>
      <c r="D715" s="27">
        <v>46021.0</v>
      </c>
      <c r="E715" s="26" t="s">
        <v>1121</v>
      </c>
      <c r="F715" s="26" t="s">
        <v>1200</v>
      </c>
    </row>
    <row r="716">
      <c r="A716" s="26" t="s">
        <v>1491</v>
      </c>
      <c r="B716" s="26" t="s">
        <v>1226</v>
      </c>
      <c r="C716" s="27">
        <v>46021.0</v>
      </c>
      <c r="D716" s="27">
        <v>46021.0</v>
      </c>
      <c r="E716" s="26" t="s">
        <v>1121</v>
      </c>
      <c r="F716" s="26" t="s">
        <v>1200</v>
      </c>
    </row>
    <row r="717">
      <c r="A717" s="26" t="s">
        <v>1491</v>
      </c>
      <c r="B717" s="26" t="s">
        <v>1226</v>
      </c>
      <c r="C717" s="27">
        <v>46021.0</v>
      </c>
      <c r="D717" s="27">
        <v>46021.0</v>
      </c>
      <c r="E717" s="26" t="s">
        <v>1121</v>
      </c>
      <c r="F717" s="26" t="s">
        <v>1200</v>
      </c>
    </row>
    <row r="718">
      <c r="A718" s="26" t="s">
        <v>1491</v>
      </c>
      <c r="B718" s="26" t="s">
        <v>1226</v>
      </c>
      <c r="C718" s="27">
        <v>46021.0</v>
      </c>
      <c r="D718" s="27">
        <v>46021.0</v>
      </c>
      <c r="E718" s="26" t="s">
        <v>1121</v>
      </c>
      <c r="F718" s="26" t="s">
        <v>1200</v>
      </c>
    </row>
    <row r="719">
      <c r="A719" s="26" t="s">
        <v>1491</v>
      </c>
      <c r="B719" s="26" t="s">
        <v>1226</v>
      </c>
      <c r="C719" s="27">
        <v>46021.0</v>
      </c>
      <c r="D719" s="27">
        <v>46021.0</v>
      </c>
      <c r="E719" s="26" t="s">
        <v>1121</v>
      </c>
      <c r="F719" s="26" t="s">
        <v>1200</v>
      </c>
    </row>
    <row r="720">
      <c r="A720" s="26" t="s">
        <v>1491</v>
      </c>
      <c r="B720" s="26" t="s">
        <v>1226</v>
      </c>
      <c r="C720" s="27">
        <v>46021.0</v>
      </c>
      <c r="D720" s="27">
        <v>46021.0</v>
      </c>
      <c r="E720" s="26" t="s">
        <v>1121</v>
      </c>
      <c r="F720" s="26" t="s">
        <v>1200</v>
      </c>
    </row>
    <row r="721">
      <c r="A721" s="26" t="s">
        <v>1491</v>
      </c>
      <c r="B721" s="26" t="s">
        <v>1226</v>
      </c>
      <c r="C721" s="27">
        <v>46021.0</v>
      </c>
      <c r="D721" s="27">
        <v>46021.0</v>
      </c>
      <c r="E721" s="26" t="s">
        <v>1121</v>
      </c>
      <c r="F721" s="26" t="s">
        <v>1200</v>
      </c>
    </row>
    <row r="722">
      <c r="A722" s="26" t="s">
        <v>1491</v>
      </c>
      <c r="B722" s="26" t="s">
        <v>1226</v>
      </c>
      <c r="C722" s="27">
        <v>46021.0</v>
      </c>
      <c r="D722" s="27">
        <v>46021.0</v>
      </c>
      <c r="E722" s="26" t="s">
        <v>1121</v>
      </c>
      <c r="F722" s="26" t="s">
        <v>1200</v>
      </c>
    </row>
    <row r="723">
      <c r="A723" s="26" t="s">
        <v>1491</v>
      </c>
      <c r="B723" s="26" t="s">
        <v>1226</v>
      </c>
      <c r="C723" s="27">
        <v>46021.0</v>
      </c>
      <c r="D723" s="27">
        <v>46021.0</v>
      </c>
      <c r="E723" s="26" t="s">
        <v>1121</v>
      </c>
      <c r="F723" s="26" t="s">
        <v>1200</v>
      </c>
    </row>
    <row r="724">
      <c r="A724" s="26" t="s">
        <v>1491</v>
      </c>
      <c r="B724" s="26" t="s">
        <v>1226</v>
      </c>
      <c r="C724" s="27">
        <v>46021.0</v>
      </c>
      <c r="D724" s="27">
        <v>46021.0</v>
      </c>
      <c r="E724" s="26" t="s">
        <v>1121</v>
      </c>
      <c r="F724" s="26" t="s">
        <v>1200</v>
      </c>
    </row>
    <row r="725">
      <c r="A725" s="26" t="s">
        <v>1492</v>
      </c>
      <c r="B725" s="26" t="s">
        <v>1333</v>
      </c>
      <c r="C725" s="27">
        <v>46017.0</v>
      </c>
      <c r="D725" s="27">
        <v>46017.0</v>
      </c>
      <c r="E725" s="26" t="s">
        <v>1121</v>
      </c>
      <c r="F725" s="26" t="s">
        <v>1200</v>
      </c>
    </row>
    <row r="726">
      <c r="A726" s="26" t="s">
        <v>1492</v>
      </c>
      <c r="B726" s="26" t="s">
        <v>1333</v>
      </c>
      <c r="C726" s="27">
        <v>46017.0</v>
      </c>
      <c r="D726" s="27">
        <v>46017.0</v>
      </c>
      <c r="E726" s="26" t="s">
        <v>1121</v>
      </c>
      <c r="F726" s="26" t="s">
        <v>1200</v>
      </c>
    </row>
    <row r="727">
      <c r="A727" s="26" t="s">
        <v>1492</v>
      </c>
      <c r="B727" s="26" t="s">
        <v>1333</v>
      </c>
      <c r="C727" s="27">
        <v>46017.0</v>
      </c>
      <c r="D727" s="27">
        <v>46017.0</v>
      </c>
      <c r="E727" s="26" t="s">
        <v>1121</v>
      </c>
      <c r="F727" s="26" t="s">
        <v>1200</v>
      </c>
    </row>
    <row r="728">
      <c r="A728" s="26" t="s">
        <v>1492</v>
      </c>
      <c r="B728" s="26" t="s">
        <v>1333</v>
      </c>
      <c r="C728" s="27">
        <v>46017.0</v>
      </c>
      <c r="D728" s="27">
        <v>46017.0</v>
      </c>
      <c r="E728" s="26" t="s">
        <v>1121</v>
      </c>
      <c r="F728" s="26" t="s">
        <v>1200</v>
      </c>
    </row>
    <row r="729">
      <c r="A729" s="26" t="s">
        <v>1492</v>
      </c>
      <c r="B729" s="26" t="s">
        <v>1333</v>
      </c>
      <c r="C729" s="27">
        <v>46017.0</v>
      </c>
      <c r="D729" s="27">
        <v>46017.0</v>
      </c>
      <c r="E729" s="26" t="s">
        <v>1121</v>
      </c>
      <c r="F729" s="26" t="s">
        <v>1200</v>
      </c>
    </row>
    <row r="730">
      <c r="A730" s="26" t="s">
        <v>1492</v>
      </c>
      <c r="B730" s="26" t="s">
        <v>1333</v>
      </c>
      <c r="C730" s="27">
        <v>46017.0</v>
      </c>
      <c r="D730" s="27">
        <v>46017.0</v>
      </c>
      <c r="E730" s="26" t="s">
        <v>1121</v>
      </c>
      <c r="F730" s="26" t="s">
        <v>1200</v>
      </c>
    </row>
    <row r="731">
      <c r="A731" s="26" t="s">
        <v>1493</v>
      </c>
      <c r="B731" s="26" t="s">
        <v>432</v>
      </c>
      <c r="C731" s="27">
        <v>46017.0</v>
      </c>
      <c r="D731" s="27">
        <v>46017.0</v>
      </c>
      <c r="E731" s="26" t="s">
        <v>1121</v>
      </c>
      <c r="F731" s="26" t="s">
        <v>1200</v>
      </c>
    </row>
    <row r="732">
      <c r="A732" s="26" t="s">
        <v>1493</v>
      </c>
      <c r="B732" s="26" t="s">
        <v>432</v>
      </c>
      <c r="C732" s="27">
        <v>46017.0</v>
      </c>
      <c r="D732" s="27">
        <v>46017.0</v>
      </c>
      <c r="E732" s="26" t="s">
        <v>1121</v>
      </c>
      <c r="F732" s="26" t="s">
        <v>1200</v>
      </c>
    </row>
    <row r="733">
      <c r="A733" s="26" t="s">
        <v>1494</v>
      </c>
      <c r="B733" s="26" t="s">
        <v>736</v>
      </c>
      <c r="C733" s="27">
        <v>46018.0</v>
      </c>
      <c r="D733" s="27">
        <v>46018.0</v>
      </c>
      <c r="E733" s="26" t="s">
        <v>1121</v>
      </c>
      <c r="F733" s="26" t="s">
        <v>1200</v>
      </c>
    </row>
    <row r="734">
      <c r="A734" s="26" t="s">
        <v>1494</v>
      </c>
      <c r="B734" s="26" t="s">
        <v>736</v>
      </c>
      <c r="C734" s="27">
        <v>46018.0</v>
      </c>
      <c r="D734" s="27">
        <v>46018.0</v>
      </c>
      <c r="E734" s="26" t="s">
        <v>1121</v>
      </c>
      <c r="F734" s="26" t="s">
        <v>1200</v>
      </c>
    </row>
    <row r="735">
      <c r="A735" s="26" t="s">
        <v>1494</v>
      </c>
      <c r="B735" s="26" t="s">
        <v>736</v>
      </c>
      <c r="C735" s="27">
        <v>46018.0</v>
      </c>
      <c r="D735" s="27">
        <v>46018.0</v>
      </c>
      <c r="E735" s="26" t="s">
        <v>1121</v>
      </c>
      <c r="F735" s="26" t="s">
        <v>1200</v>
      </c>
    </row>
    <row r="736">
      <c r="A736" s="26" t="s">
        <v>1494</v>
      </c>
      <c r="B736" s="26" t="s">
        <v>736</v>
      </c>
      <c r="C736" s="27">
        <v>46018.0</v>
      </c>
      <c r="D736" s="27">
        <v>46018.0</v>
      </c>
      <c r="E736" s="26" t="s">
        <v>1121</v>
      </c>
      <c r="F736" s="26" t="s">
        <v>1200</v>
      </c>
    </row>
    <row r="737">
      <c r="A737" s="26" t="s">
        <v>1494</v>
      </c>
      <c r="B737" s="26" t="s">
        <v>736</v>
      </c>
      <c r="C737" s="27">
        <v>46018.0</v>
      </c>
      <c r="D737" s="27">
        <v>46018.0</v>
      </c>
      <c r="E737" s="26" t="s">
        <v>1121</v>
      </c>
      <c r="F737" s="26" t="s">
        <v>1200</v>
      </c>
    </row>
    <row r="738">
      <c r="A738" s="26" t="s">
        <v>1494</v>
      </c>
      <c r="B738" s="26" t="s">
        <v>736</v>
      </c>
      <c r="C738" s="27">
        <v>46018.0</v>
      </c>
      <c r="D738" s="27">
        <v>46018.0</v>
      </c>
      <c r="E738" s="26" t="s">
        <v>1121</v>
      </c>
      <c r="F738" s="26" t="s">
        <v>1200</v>
      </c>
    </row>
    <row r="739">
      <c r="A739" s="26" t="s">
        <v>1494</v>
      </c>
      <c r="B739" s="26" t="s">
        <v>736</v>
      </c>
      <c r="C739" s="27">
        <v>46018.0</v>
      </c>
      <c r="D739" s="27">
        <v>46018.0</v>
      </c>
      <c r="E739" s="26" t="s">
        <v>1121</v>
      </c>
      <c r="F739" s="26" t="s">
        <v>1200</v>
      </c>
    </row>
    <row r="740">
      <c r="A740" s="26" t="s">
        <v>1494</v>
      </c>
      <c r="B740" s="26" t="s">
        <v>736</v>
      </c>
      <c r="C740" s="27">
        <v>46018.0</v>
      </c>
      <c r="D740" s="27">
        <v>46018.0</v>
      </c>
      <c r="E740" s="26" t="s">
        <v>1121</v>
      </c>
      <c r="F740" s="26" t="s">
        <v>1200</v>
      </c>
    </row>
    <row r="741">
      <c r="A741" s="26" t="s">
        <v>1495</v>
      </c>
      <c r="B741" s="26" t="s">
        <v>505</v>
      </c>
      <c r="C741" s="27">
        <v>46016.0</v>
      </c>
      <c r="D741" s="27">
        <v>46016.0</v>
      </c>
      <c r="E741" s="26" t="s">
        <v>1121</v>
      </c>
      <c r="F741" s="26" t="s">
        <v>1200</v>
      </c>
    </row>
    <row r="742">
      <c r="A742" s="26" t="s">
        <v>1496</v>
      </c>
      <c r="B742" s="26" t="s">
        <v>745</v>
      </c>
      <c r="C742" s="27">
        <v>46020.0</v>
      </c>
      <c r="D742" s="27">
        <v>46020.0</v>
      </c>
      <c r="E742" s="26" t="s">
        <v>1121</v>
      </c>
      <c r="F742" s="26" t="s">
        <v>1200</v>
      </c>
    </row>
    <row r="743">
      <c r="A743" s="26" t="s">
        <v>1496</v>
      </c>
      <c r="B743" s="26" t="s">
        <v>745</v>
      </c>
      <c r="C743" s="27">
        <v>46020.0</v>
      </c>
      <c r="D743" s="27">
        <v>46020.0</v>
      </c>
      <c r="E743" s="26" t="s">
        <v>1121</v>
      </c>
      <c r="F743" s="26" t="s">
        <v>1200</v>
      </c>
    </row>
    <row r="744">
      <c r="A744" s="26" t="s">
        <v>1496</v>
      </c>
      <c r="B744" s="26" t="s">
        <v>745</v>
      </c>
      <c r="C744" s="27">
        <v>46020.0</v>
      </c>
      <c r="D744" s="27">
        <v>46020.0</v>
      </c>
      <c r="E744" s="26" t="s">
        <v>1121</v>
      </c>
      <c r="F744" s="26" t="s">
        <v>1200</v>
      </c>
    </row>
    <row r="745">
      <c r="A745" s="26" t="s">
        <v>1496</v>
      </c>
      <c r="B745" s="26" t="s">
        <v>745</v>
      </c>
      <c r="C745" s="27">
        <v>46020.0</v>
      </c>
      <c r="D745" s="27">
        <v>46020.0</v>
      </c>
      <c r="E745" s="26" t="s">
        <v>1121</v>
      </c>
      <c r="F745" s="26" t="s">
        <v>1200</v>
      </c>
    </row>
    <row r="746">
      <c r="A746" s="26" t="s">
        <v>1496</v>
      </c>
      <c r="B746" s="26" t="s">
        <v>745</v>
      </c>
      <c r="C746" s="27">
        <v>46020.0</v>
      </c>
      <c r="D746" s="27">
        <v>46020.0</v>
      </c>
      <c r="E746" s="26" t="s">
        <v>1121</v>
      </c>
      <c r="F746" s="26" t="s">
        <v>1200</v>
      </c>
    </row>
    <row r="747">
      <c r="A747" s="26" t="s">
        <v>1496</v>
      </c>
      <c r="B747" s="26" t="s">
        <v>745</v>
      </c>
      <c r="C747" s="27">
        <v>46020.0</v>
      </c>
      <c r="D747" s="27">
        <v>46020.0</v>
      </c>
      <c r="E747" s="26" t="s">
        <v>1121</v>
      </c>
      <c r="F747" s="26" t="s">
        <v>1200</v>
      </c>
    </row>
    <row r="748">
      <c r="A748" s="26" t="s">
        <v>1496</v>
      </c>
      <c r="B748" s="26" t="s">
        <v>745</v>
      </c>
      <c r="C748" s="27">
        <v>46020.0</v>
      </c>
      <c r="D748" s="27">
        <v>46020.0</v>
      </c>
      <c r="E748" s="26" t="s">
        <v>1121</v>
      </c>
      <c r="F748" s="26" t="s">
        <v>1200</v>
      </c>
    </row>
    <row r="749">
      <c r="A749" s="26" t="s">
        <v>1496</v>
      </c>
      <c r="B749" s="26" t="s">
        <v>745</v>
      </c>
      <c r="C749" s="27">
        <v>46020.0</v>
      </c>
      <c r="D749" s="27">
        <v>46020.0</v>
      </c>
      <c r="E749" s="26" t="s">
        <v>1121</v>
      </c>
      <c r="F749" s="26" t="s">
        <v>1200</v>
      </c>
    </row>
    <row r="750">
      <c r="A750" s="26" t="s">
        <v>1496</v>
      </c>
      <c r="B750" s="26" t="s">
        <v>745</v>
      </c>
      <c r="C750" s="27">
        <v>46020.0</v>
      </c>
      <c r="D750" s="27">
        <v>46020.0</v>
      </c>
      <c r="E750" s="26" t="s">
        <v>1121</v>
      </c>
      <c r="F750" s="26" t="s">
        <v>1200</v>
      </c>
    </row>
    <row r="751">
      <c r="A751" s="26" t="s">
        <v>1496</v>
      </c>
      <c r="B751" s="26" t="s">
        <v>745</v>
      </c>
      <c r="C751" s="27">
        <v>46020.0</v>
      </c>
      <c r="D751" s="27">
        <v>46020.0</v>
      </c>
      <c r="E751" s="26" t="s">
        <v>1121</v>
      </c>
      <c r="F751" s="26" t="s">
        <v>1200</v>
      </c>
    </row>
    <row r="752">
      <c r="A752" s="26" t="s">
        <v>1496</v>
      </c>
      <c r="B752" s="26" t="s">
        <v>745</v>
      </c>
      <c r="C752" s="27">
        <v>46020.0</v>
      </c>
      <c r="D752" s="27">
        <v>46020.0</v>
      </c>
      <c r="E752" s="26" t="s">
        <v>1121</v>
      </c>
      <c r="F752" s="26" t="s">
        <v>1200</v>
      </c>
    </row>
    <row r="753">
      <c r="A753" s="26" t="s">
        <v>1496</v>
      </c>
      <c r="B753" s="26" t="s">
        <v>745</v>
      </c>
      <c r="C753" s="27">
        <v>46020.0</v>
      </c>
      <c r="D753" s="27">
        <v>46020.0</v>
      </c>
      <c r="E753" s="26" t="s">
        <v>1121</v>
      </c>
      <c r="F753" s="26" t="s">
        <v>1200</v>
      </c>
    </row>
    <row r="754">
      <c r="A754" s="26" t="s">
        <v>1496</v>
      </c>
      <c r="B754" s="26" t="s">
        <v>745</v>
      </c>
      <c r="C754" s="27">
        <v>46020.0</v>
      </c>
      <c r="D754" s="27">
        <v>46020.0</v>
      </c>
      <c r="E754" s="26" t="s">
        <v>1121</v>
      </c>
      <c r="F754" s="26" t="s">
        <v>1200</v>
      </c>
    </row>
    <row r="755">
      <c r="A755" s="26" t="s">
        <v>1496</v>
      </c>
      <c r="B755" s="26" t="s">
        <v>745</v>
      </c>
      <c r="C755" s="27">
        <v>46020.0</v>
      </c>
      <c r="D755" s="27">
        <v>46020.0</v>
      </c>
      <c r="E755" s="26" t="s">
        <v>1121</v>
      </c>
      <c r="F755" s="26" t="s">
        <v>1200</v>
      </c>
    </row>
    <row r="756">
      <c r="A756" s="26" t="s">
        <v>1496</v>
      </c>
      <c r="B756" s="26" t="s">
        <v>745</v>
      </c>
      <c r="C756" s="27">
        <v>46020.0</v>
      </c>
      <c r="D756" s="27">
        <v>46020.0</v>
      </c>
      <c r="E756" s="26" t="s">
        <v>1121</v>
      </c>
      <c r="F756" s="26" t="s">
        <v>1200</v>
      </c>
    </row>
    <row r="757">
      <c r="A757" s="26" t="s">
        <v>1496</v>
      </c>
      <c r="B757" s="26" t="s">
        <v>745</v>
      </c>
      <c r="C757" s="27">
        <v>46020.0</v>
      </c>
      <c r="D757" s="27">
        <v>46020.0</v>
      </c>
      <c r="E757" s="26" t="s">
        <v>1121</v>
      </c>
      <c r="F757" s="26" t="s">
        <v>1200</v>
      </c>
    </row>
    <row r="758">
      <c r="A758" s="26" t="s">
        <v>1497</v>
      </c>
      <c r="B758" s="26" t="s">
        <v>551</v>
      </c>
      <c r="C758" s="27">
        <v>46016.0</v>
      </c>
      <c r="D758" s="27">
        <v>46016.0</v>
      </c>
      <c r="E758" s="26" t="s">
        <v>1121</v>
      </c>
      <c r="F758" s="26" t="s">
        <v>1200</v>
      </c>
    </row>
    <row r="759">
      <c r="A759" s="26" t="s">
        <v>1497</v>
      </c>
      <c r="B759" s="26" t="s">
        <v>551</v>
      </c>
      <c r="C759" s="27">
        <v>46016.0</v>
      </c>
      <c r="D759" s="27">
        <v>46016.0</v>
      </c>
      <c r="E759" s="26" t="s">
        <v>1121</v>
      </c>
      <c r="F759" s="26" t="s">
        <v>1200</v>
      </c>
    </row>
    <row r="760">
      <c r="A760" s="26" t="s">
        <v>1498</v>
      </c>
      <c r="B760" s="26" t="s">
        <v>497</v>
      </c>
      <c r="C760" s="27">
        <v>46016.0</v>
      </c>
      <c r="D760" s="27">
        <v>46016.0</v>
      </c>
      <c r="E760" s="26" t="s">
        <v>1121</v>
      </c>
      <c r="F760" s="26" t="s">
        <v>1200</v>
      </c>
    </row>
    <row r="761">
      <c r="A761" s="26" t="s">
        <v>1499</v>
      </c>
      <c r="B761" s="26" t="s">
        <v>776</v>
      </c>
      <c r="C761" s="27">
        <v>46015.0</v>
      </c>
      <c r="D761" s="27">
        <v>46015.0</v>
      </c>
      <c r="E761" s="26" t="s">
        <v>1121</v>
      </c>
      <c r="F761" s="26" t="s">
        <v>1200</v>
      </c>
    </row>
    <row r="762">
      <c r="A762" s="26" t="s">
        <v>1499</v>
      </c>
      <c r="B762" s="26" t="s">
        <v>776</v>
      </c>
      <c r="C762" s="27">
        <v>46015.0</v>
      </c>
      <c r="D762" s="27">
        <v>46015.0</v>
      </c>
      <c r="E762" s="26" t="s">
        <v>1121</v>
      </c>
      <c r="F762" s="26" t="s">
        <v>1200</v>
      </c>
    </row>
    <row r="763">
      <c r="A763" s="26" t="s">
        <v>1500</v>
      </c>
      <c r="B763" s="26" t="s">
        <v>483</v>
      </c>
      <c r="C763" s="27">
        <v>46015.0</v>
      </c>
      <c r="D763" s="27">
        <v>46015.0</v>
      </c>
      <c r="E763" s="26" t="s">
        <v>1121</v>
      </c>
      <c r="F763" s="26" t="s">
        <v>1200</v>
      </c>
    </row>
    <row r="764">
      <c r="A764" s="26" t="s">
        <v>1501</v>
      </c>
      <c r="B764" s="26" t="s">
        <v>467</v>
      </c>
      <c r="C764" s="27">
        <v>46015.0</v>
      </c>
      <c r="D764" s="27">
        <v>46015.0</v>
      </c>
      <c r="E764" s="26" t="s">
        <v>1121</v>
      </c>
      <c r="F764" s="26" t="s">
        <v>1200</v>
      </c>
    </row>
    <row r="765">
      <c r="A765" s="26" t="s">
        <v>1502</v>
      </c>
      <c r="B765" s="26" t="s">
        <v>321</v>
      </c>
      <c r="C765" s="27">
        <v>46015.0</v>
      </c>
      <c r="D765" s="27">
        <v>46015.0</v>
      </c>
      <c r="E765" s="26" t="s">
        <v>1121</v>
      </c>
      <c r="F765" s="26" t="s">
        <v>1200</v>
      </c>
    </row>
    <row r="766">
      <c r="A766" s="26" t="s">
        <v>1502</v>
      </c>
      <c r="B766" s="26" t="s">
        <v>321</v>
      </c>
      <c r="C766" s="27">
        <v>46015.0</v>
      </c>
      <c r="D766" s="27">
        <v>46015.0</v>
      </c>
      <c r="E766" s="26" t="s">
        <v>1121</v>
      </c>
      <c r="F766" s="26" t="s">
        <v>1200</v>
      </c>
    </row>
    <row r="767">
      <c r="A767" s="26" t="s">
        <v>1502</v>
      </c>
      <c r="B767" s="26" t="s">
        <v>321</v>
      </c>
      <c r="C767" s="27">
        <v>46015.0</v>
      </c>
      <c r="D767" s="27">
        <v>46015.0</v>
      </c>
      <c r="E767" s="26" t="s">
        <v>1121</v>
      </c>
      <c r="F767" s="26" t="s">
        <v>1200</v>
      </c>
    </row>
    <row r="768">
      <c r="A768" s="26" t="s">
        <v>1502</v>
      </c>
      <c r="B768" s="26" t="s">
        <v>321</v>
      </c>
      <c r="C768" s="27">
        <v>46015.0</v>
      </c>
      <c r="D768" s="27">
        <v>46015.0</v>
      </c>
      <c r="E768" s="26" t="s">
        <v>1121</v>
      </c>
      <c r="F768" s="26" t="s">
        <v>1200</v>
      </c>
    </row>
    <row r="769">
      <c r="A769" s="26" t="s">
        <v>1503</v>
      </c>
      <c r="B769" s="26" t="s">
        <v>1258</v>
      </c>
      <c r="C769" s="27">
        <v>46014.0</v>
      </c>
      <c r="D769" s="27">
        <v>46014.0</v>
      </c>
      <c r="E769" s="26" t="s">
        <v>1121</v>
      </c>
      <c r="F769" s="26" t="s">
        <v>1200</v>
      </c>
    </row>
    <row r="770">
      <c r="A770" s="26" t="s">
        <v>1503</v>
      </c>
      <c r="B770" s="26" t="s">
        <v>1258</v>
      </c>
      <c r="C770" s="27">
        <v>46014.0</v>
      </c>
      <c r="D770" s="27">
        <v>46014.0</v>
      </c>
      <c r="E770" s="26" t="s">
        <v>1121</v>
      </c>
      <c r="F770" s="26" t="s">
        <v>1200</v>
      </c>
    </row>
    <row r="771">
      <c r="A771" s="26" t="s">
        <v>1503</v>
      </c>
      <c r="B771" s="26" t="s">
        <v>1258</v>
      </c>
      <c r="C771" s="27">
        <v>46014.0</v>
      </c>
      <c r="D771" s="27">
        <v>46014.0</v>
      </c>
      <c r="E771" s="26" t="s">
        <v>1121</v>
      </c>
      <c r="F771" s="26" t="s">
        <v>1200</v>
      </c>
    </row>
    <row r="772">
      <c r="A772" s="26" t="s">
        <v>1503</v>
      </c>
      <c r="B772" s="26" t="s">
        <v>1258</v>
      </c>
      <c r="C772" s="27">
        <v>46014.0</v>
      </c>
      <c r="D772" s="27">
        <v>46014.0</v>
      </c>
      <c r="E772" s="26" t="s">
        <v>1121</v>
      </c>
      <c r="F772" s="26" t="s">
        <v>1200</v>
      </c>
    </row>
    <row r="773">
      <c r="A773" s="26" t="s">
        <v>1503</v>
      </c>
      <c r="B773" s="26" t="s">
        <v>1258</v>
      </c>
      <c r="C773" s="27">
        <v>46014.0</v>
      </c>
      <c r="D773" s="27">
        <v>46014.0</v>
      </c>
      <c r="E773" s="26" t="s">
        <v>1121</v>
      </c>
      <c r="F773" s="26" t="s">
        <v>1200</v>
      </c>
    </row>
    <row r="774">
      <c r="A774" s="26" t="s">
        <v>1504</v>
      </c>
      <c r="B774" s="26" t="s">
        <v>546</v>
      </c>
      <c r="C774" s="27">
        <v>46014.0</v>
      </c>
      <c r="D774" s="27">
        <v>46014.0</v>
      </c>
      <c r="E774" s="26" t="s">
        <v>1121</v>
      </c>
      <c r="F774" s="26" t="s">
        <v>1200</v>
      </c>
    </row>
    <row r="775">
      <c r="A775" s="26" t="s">
        <v>1504</v>
      </c>
      <c r="B775" s="26" t="s">
        <v>546</v>
      </c>
      <c r="C775" s="27">
        <v>46014.0</v>
      </c>
      <c r="D775" s="27">
        <v>46014.0</v>
      </c>
      <c r="E775" s="26" t="s">
        <v>1121</v>
      </c>
      <c r="F775" s="26" t="s">
        <v>1200</v>
      </c>
    </row>
    <row r="776">
      <c r="A776" s="26" t="s">
        <v>1505</v>
      </c>
      <c r="B776" s="26" t="s">
        <v>699</v>
      </c>
      <c r="C776" s="27">
        <v>46014.0</v>
      </c>
      <c r="D776" s="27">
        <v>46014.0</v>
      </c>
      <c r="E776" s="26" t="s">
        <v>1121</v>
      </c>
      <c r="F776" s="26" t="s">
        <v>1200</v>
      </c>
    </row>
    <row r="777">
      <c r="A777" s="26" t="s">
        <v>1505</v>
      </c>
      <c r="B777" s="26" t="s">
        <v>699</v>
      </c>
      <c r="C777" s="27">
        <v>46014.0</v>
      </c>
      <c r="D777" s="27">
        <v>46014.0</v>
      </c>
      <c r="E777" s="26" t="s">
        <v>1121</v>
      </c>
      <c r="F777" s="26" t="s">
        <v>1200</v>
      </c>
    </row>
    <row r="778">
      <c r="A778" s="26" t="s">
        <v>1506</v>
      </c>
      <c r="B778" s="26" t="s">
        <v>467</v>
      </c>
      <c r="C778" s="27">
        <v>46014.0</v>
      </c>
      <c r="D778" s="27">
        <v>46014.0</v>
      </c>
      <c r="E778" s="26" t="s">
        <v>1121</v>
      </c>
      <c r="F778" s="26" t="s">
        <v>1200</v>
      </c>
    </row>
    <row r="779">
      <c r="A779" s="26" t="s">
        <v>1506</v>
      </c>
      <c r="B779" s="26" t="s">
        <v>467</v>
      </c>
      <c r="C779" s="27">
        <v>46014.0</v>
      </c>
      <c r="D779" s="27">
        <v>46014.0</v>
      </c>
      <c r="E779" s="26" t="s">
        <v>1121</v>
      </c>
      <c r="F779" s="26" t="s">
        <v>1200</v>
      </c>
    </row>
    <row r="780">
      <c r="A780" s="26" t="s">
        <v>1506</v>
      </c>
      <c r="B780" s="26" t="s">
        <v>467</v>
      </c>
      <c r="C780" s="27">
        <v>46014.0</v>
      </c>
      <c r="D780" s="27">
        <v>46014.0</v>
      </c>
      <c r="E780" s="26" t="s">
        <v>1121</v>
      </c>
      <c r="F780" s="26" t="s">
        <v>1200</v>
      </c>
    </row>
    <row r="781">
      <c r="A781" s="26" t="s">
        <v>1506</v>
      </c>
      <c r="B781" s="26" t="s">
        <v>467</v>
      </c>
      <c r="C781" s="27">
        <v>46014.0</v>
      </c>
      <c r="D781" s="27">
        <v>46014.0</v>
      </c>
      <c r="E781" s="26" t="s">
        <v>1121</v>
      </c>
      <c r="F781" s="26" t="s">
        <v>1200</v>
      </c>
    </row>
    <row r="782">
      <c r="A782" s="26" t="s">
        <v>1507</v>
      </c>
      <c r="B782" s="26" t="s">
        <v>444</v>
      </c>
      <c r="C782" s="27">
        <v>46014.0</v>
      </c>
      <c r="D782" s="27">
        <v>46014.0</v>
      </c>
      <c r="E782" s="26" t="s">
        <v>1121</v>
      </c>
      <c r="F782" s="26" t="s">
        <v>1200</v>
      </c>
    </row>
    <row r="783">
      <c r="A783" s="26" t="s">
        <v>1507</v>
      </c>
      <c r="B783" s="26" t="s">
        <v>444</v>
      </c>
      <c r="C783" s="27">
        <v>46014.0</v>
      </c>
      <c r="D783" s="27">
        <v>46014.0</v>
      </c>
      <c r="E783" s="26" t="s">
        <v>1121</v>
      </c>
      <c r="F783" s="26" t="s">
        <v>1200</v>
      </c>
    </row>
    <row r="784">
      <c r="A784" s="26" t="s">
        <v>1507</v>
      </c>
      <c r="B784" s="26" t="s">
        <v>444</v>
      </c>
      <c r="C784" s="27">
        <v>46014.0</v>
      </c>
      <c r="D784" s="27">
        <v>46014.0</v>
      </c>
      <c r="E784" s="26" t="s">
        <v>1121</v>
      </c>
      <c r="F784" s="26" t="s">
        <v>1200</v>
      </c>
    </row>
    <row r="785">
      <c r="A785" s="26" t="s">
        <v>1508</v>
      </c>
      <c r="B785" s="26" t="s">
        <v>505</v>
      </c>
      <c r="C785" s="27">
        <v>46014.0</v>
      </c>
      <c r="D785" s="27">
        <v>46014.0</v>
      </c>
      <c r="E785" s="26" t="s">
        <v>1121</v>
      </c>
      <c r="F785" s="26" t="s">
        <v>1200</v>
      </c>
    </row>
    <row r="786">
      <c r="A786" s="26" t="s">
        <v>1509</v>
      </c>
      <c r="B786" s="26" t="s">
        <v>435</v>
      </c>
      <c r="C786" s="27">
        <v>46014.0</v>
      </c>
      <c r="D786" s="27">
        <v>46014.0</v>
      </c>
      <c r="E786" s="26" t="s">
        <v>1121</v>
      </c>
      <c r="F786" s="26" t="s">
        <v>1200</v>
      </c>
    </row>
    <row r="787">
      <c r="A787" s="26" t="s">
        <v>1510</v>
      </c>
      <c r="B787" s="26" t="s">
        <v>432</v>
      </c>
      <c r="C787" s="27">
        <v>46014.0</v>
      </c>
      <c r="D787" s="27">
        <v>46014.0</v>
      </c>
      <c r="E787" s="26" t="s">
        <v>1121</v>
      </c>
      <c r="F787" s="26" t="s">
        <v>1200</v>
      </c>
    </row>
    <row r="788">
      <c r="A788" s="26" t="s">
        <v>1511</v>
      </c>
      <c r="B788" s="26" t="s">
        <v>736</v>
      </c>
      <c r="C788" s="27">
        <v>46014.0</v>
      </c>
      <c r="D788" s="27">
        <v>46014.0</v>
      </c>
      <c r="E788" s="26" t="s">
        <v>1121</v>
      </c>
      <c r="F788" s="26" t="s">
        <v>1200</v>
      </c>
    </row>
    <row r="789">
      <c r="A789" s="26" t="s">
        <v>1511</v>
      </c>
      <c r="B789" s="26" t="s">
        <v>736</v>
      </c>
      <c r="C789" s="27">
        <v>46014.0</v>
      </c>
      <c r="D789" s="27">
        <v>46014.0</v>
      </c>
      <c r="E789" s="26" t="s">
        <v>1121</v>
      </c>
      <c r="F789" s="26" t="s">
        <v>1200</v>
      </c>
    </row>
    <row r="790">
      <c r="A790" s="26" t="s">
        <v>1511</v>
      </c>
      <c r="B790" s="26" t="s">
        <v>736</v>
      </c>
      <c r="C790" s="27">
        <v>46014.0</v>
      </c>
      <c r="D790" s="27">
        <v>46014.0</v>
      </c>
      <c r="E790" s="26" t="s">
        <v>1121</v>
      </c>
      <c r="F790" s="26" t="s">
        <v>1200</v>
      </c>
    </row>
    <row r="791">
      <c r="A791" s="26" t="s">
        <v>1511</v>
      </c>
      <c r="B791" s="26" t="s">
        <v>736</v>
      </c>
      <c r="C791" s="27">
        <v>46014.0</v>
      </c>
      <c r="D791" s="27">
        <v>46014.0</v>
      </c>
      <c r="E791" s="26" t="s">
        <v>1121</v>
      </c>
      <c r="F791" s="26" t="s">
        <v>1200</v>
      </c>
    </row>
    <row r="792">
      <c r="A792" s="26" t="s">
        <v>1511</v>
      </c>
      <c r="B792" s="26" t="s">
        <v>736</v>
      </c>
      <c r="C792" s="27">
        <v>46014.0</v>
      </c>
      <c r="D792" s="27">
        <v>46014.0</v>
      </c>
      <c r="E792" s="26" t="s">
        <v>1121</v>
      </c>
      <c r="F792" s="26" t="s">
        <v>1200</v>
      </c>
    </row>
    <row r="793">
      <c r="A793" s="26" t="s">
        <v>1511</v>
      </c>
      <c r="B793" s="26" t="s">
        <v>736</v>
      </c>
      <c r="C793" s="27">
        <v>46014.0</v>
      </c>
      <c r="D793" s="27">
        <v>46014.0</v>
      </c>
      <c r="E793" s="26" t="s">
        <v>1121</v>
      </c>
      <c r="F793" s="26" t="s">
        <v>1200</v>
      </c>
    </row>
    <row r="794">
      <c r="A794" s="26" t="s">
        <v>1512</v>
      </c>
      <c r="B794" s="26" t="s">
        <v>790</v>
      </c>
      <c r="C794" s="27">
        <v>46013.0</v>
      </c>
      <c r="D794" s="27">
        <v>46013.0</v>
      </c>
      <c r="E794" s="26" t="s">
        <v>1121</v>
      </c>
      <c r="F794" s="26" t="s">
        <v>1200</v>
      </c>
    </row>
    <row r="795">
      <c r="A795" s="26" t="s">
        <v>1513</v>
      </c>
      <c r="B795" s="26" t="s">
        <v>1333</v>
      </c>
      <c r="C795" s="27">
        <v>46013.0</v>
      </c>
      <c r="D795" s="27">
        <v>46013.0</v>
      </c>
      <c r="E795" s="26" t="s">
        <v>1121</v>
      </c>
      <c r="F795" s="26" t="s">
        <v>1200</v>
      </c>
    </row>
    <row r="796">
      <c r="A796" s="26" t="s">
        <v>1513</v>
      </c>
      <c r="B796" s="26" t="s">
        <v>1333</v>
      </c>
      <c r="C796" s="27">
        <v>46013.0</v>
      </c>
      <c r="D796" s="27">
        <v>46013.0</v>
      </c>
      <c r="E796" s="26" t="s">
        <v>1121</v>
      </c>
      <c r="F796" s="26" t="s">
        <v>1200</v>
      </c>
    </row>
    <row r="797">
      <c r="A797" s="26" t="s">
        <v>1513</v>
      </c>
      <c r="B797" s="26" t="s">
        <v>1333</v>
      </c>
      <c r="C797" s="27">
        <v>46013.0</v>
      </c>
      <c r="D797" s="27">
        <v>46013.0</v>
      </c>
      <c r="E797" s="26" t="s">
        <v>1121</v>
      </c>
      <c r="F797" s="26" t="s">
        <v>1200</v>
      </c>
    </row>
    <row r="798">
      <c r="A798" s="26" t="s">
        <v>1513</v>
      </c>
      <c r="B798" s="26" t="s">
        <v>1333</v>
      </c>
      <c r="C798" s="27">
        <v>46013.0</v>
      </c>
      <c r="D798" s="27">
        <v>46013.0</v>
      </c>
      <c r="E798" s="26" t="s">
        <v>1121</v>
      </c>
      <c r="F798" s="26" t="s">
        <v>1200</v>
      </c>
    </row>
    <row r="799">
      <c r="A799" s="26" t="s">
        <v>1513</v>
      </c>
      <c r="B799" s="26" t="s">
        <v>1333</v>
      </c>
      <c r="C799" s="27">
        <v>46013.0</v>
      </c>
      <c r="D799" s="27">
        <v>46013.0</v>
      </c>
      <c r="E799" s="26" t="s">
        <v>1121</v>
      </c>
      <c r="F799" s="26" t="s">
        <v>1200</v>
      </c>
    </row>
    <row r="800">
      <c r="A800" s="26" t="s">
        <v>1513</v>
      </c>
      <c r="B800" s="26" t="s">
        <v>1333</v>
      </c>
      <c r="C800" s="27">
        <v>46013.0</v>
      </c>
      <c r="D800" s="27">
        <v>46013.0</v>
      </c>
      <c r="E800" s="26" t="s">
        <v>1121</v>
      </c>
      <c r="F800" s="26" t="s">
        <v>1200</v>
      </c>
    </row>
    <row r="801">
      <c r="A801" s="26" t="s">
        <v>1514</v>
      </c>
      <c r="B801" s="26" t="s">
        <v>1515</v>
      </c>
      <c r="C801" s="27">
        <v>46013.0</v>
      </c>
      <c r="D801" s="27">
        <v>46013.0</v>
      </c>
      <c r="E801" s="26" t="s">
        <v>1121</v>
      </c>
      <c r="F801" s="26" t="s">
        <v>1200</v>
      </c>
    </row>
    <row r="802">
      <c r="A802" s="26" t="s">
        <v>1516</v>
      </c>
      <c r="B802" s="26" t="s">
        <v>745</v>
      </c>
      <c r="C802" s="27">
        <v>46013.0</v>
      </c>
      <c r="D802" s="27">
        <v>46013.0</v>
      </c>
      <c r="E802" s="26" t="s">
        <v>1121</v>
      </c>
      <c r="F802" s="26" t="s">
        <v>1200</v>
      </c>
    </row>
    <row r="803">
      <c r="A803" s="26" t="s">
        <v>1516</v>
      </c>
      <c r="B803" s="26" t="s">
        <v>745</v>
      </c>
      <c r="C803" s="27">
        <v>46013.0</v>
      </c>
      <c r="D803" s="27">
        <v>46013.0</v>
      </c>
      <c r="E803" s="26" t="s">
        <v>1121</v>
      </c>
      <c r="F803" s="26" t="s">
        <v>1200</v>
      </c>
    </row>
    <row r="804">
      <c r="A804" s="26" t="s">
        <v>1516</v>
      </c>
      <c r="B804" s="26" t="s">
        <v>745</v>
      </c>
      <c r="C804" s="27">
        <v>46013.0</v>
      </c>
      <c r="D804" s="27">
        <v>46013.0</v>
      </c>
      <c r="E804" s="26" t="s">
        <v>1121</v>
      </c>
      <c r="F804" s="26" t="s">
        <v>1200</v>
      </c>
    </row>
    <row r="805">
      <c r="A805" s="26" t="s">
        <v>1516</v>
      </c>
      <c r="B805" s="26" t="s">
        <v>745</v>
      </c>
      <c r="C805" s="27">
        <v>46013.0</v>
      </c>
      <c r="D805" s="27">
        <v>46013.0</v>
      </c>
      <c r="E805" s="26" t="s">
        <v>1121</v>
      </c>
      <c r="F805" s="26" t="s">
        <v>1200</v>
      </c>
    </row>
    <row r="806">
      <c r="A806" s="26" t="s">
        <v>1517</v>
      </c>
      <c r="B806" s="26" t="s">
        <v>542</v>
      </c>
      <c r="C806" s="27">
        <v>46013.0</v>
      </c>
      <c r="D806" s="27">
        <v>46013.0</v>
      </c>
      <c r="E806" s="26" t="s">
        <v>1121</v>
      </c>
      <c r="F806" s="26" t="s">
        <v>1200</v>
      </c>
    </row>
    <row r="807">
      <c r="A807" s="26" t="s">
        <v>1518</v>
      </c>
      <c r="B807" s="26" t="s">
        <v>717</v>
      </c>
      <c r="C807" s="27">
        <v>46011.0</v>
      </c>
      <c r="D807" s="27">
        <v>46011.0</v>
      </c>
      <c r="E807" s="26" t="s">
        <v>1121</v>
      </c>
      <c r="F807" s="26" t="s">
        <v>1200</v>
      </c>
    </row>
    <row r="808">
      <c r="A808" s="26" t="s">
        <v>1518</v>
      </c>
      <c r="B808" s="26" t="s">
        <v>717</v>
      </c>
      <c r="C808" s="27">
        <v>46011.0</v>
      </c>
      <c r="D808" s="27">
        <v>46011.0</v>
      </c>
      <c r="E808" s="26" t="s">
        <v>1121</v>
      </c>
      <c r="F808" s="26" t="s">
        <v>1200</v>
      </c>
    </row>
    <row r="809">
      <c r="A809" s="26" t="s">
        <v>1519</v>
      </c>
      <c r="B809" s="26" t="s">
        <v>546</v>
      </c>
      <c r="C809" s="27">
        <v>46011.0</v>
      </c>
      <c r="D809" s="27">
        <v>46011.0</v>
      </c>
      <c r="E809" s="26" t="s">
        <v>1121</v>
      </c>
      <c r="F809" s="26" t="s">
        <v>1200</v>
      </c>
    </row>
    <row r="810">
      <c r="A810" s="26" t="s">
        <v>1519</v>
      </c>
      <c r="B810" s="26" t="s">
        <v>546</v>
      </c>
      <c r="C810" s="27">
        <v>46011.0</v>
      </c>
      <c r="D810" s="27">
        <v>46011.0</v>
      </c>
      <c r="E810" s="26" t="s">
        <v>1121</v>
      </c>
      <c r="F810" s="26" t="s">
        <v>1200</v>
      </c>
    </row>
    <row r="811">
      <c r="A811" s="26" t="s">
        <v>1519</v>
      </c>
      <c r="B811" s="26" t="s">
        <v>546</v>
      </c>
      <c r="C811" s="27">
        <v>46011.0</v>
      </c>
      <c r="D811" s="27">
        <v>46011.0</v>
      </c>
      <c r="E811" s="26" t="s">
        <v>1121</v>
      </c>
      <c r="F811" s="26" t="s">
        <v>1200</v>
      </c>
    </row>
    <row r="812">
      <c r="A812" s="26" t="s">
        <v>1520</v>
      </c>
      <c r="B812" s="26" t="s">
        <v>790</v>
      </c>
      <c r="C812" s="27">
        <v>46011.0</v>
      </c>
      <c r="D812" s="27">
        <v>46011.0</v>
      </c>
      <c r="E812" s="26" t="s">
        <v>1121</v>
      </c>
      <c r="F812" s="26" t="s">
        <v>1200</v>
      </c>
    </row>
    <row r="813">
      <c r="A813" s="26" t="s">
        <v>1521</v>
      </c>
      <c r="B813" s="26" t="s">
        <v>1522</v>
      </c>
      <c r="C813" s="27">
        <v>46010.0</v>
      </c>
      <c r="D813" s="27">
        <v>46010.0</v>
      </c>
      <c r="E813" s="26" t="s">
        <v>1121</v>
      </c>
      <c r="F813" s="26" t="s">
        <v>1200</v>
      </c>
    </row>
    <row r="814">
      <c r="A814" s="26" t="s">
        <v>1521</v>
      </c>
      <c r="B814" s="26" t="s">
        <v>1522</v>
      </c>
      <c r="C814" s="27">
        <v>46010.0</v>
      </c>
      <c r="D814" s="27">
        <v>46010.0</v>
      </c>
      <c r="E814" s="26" t="s">
        <v>1121</v>
      </c>
      <c r="F814" s="26" t="s">
        <v>1200</v>
      </c>
    </row>
    <row r="815">
      <c r="A815" s="26" t="s">
        <v>1521</v>
      </c>
      <c r="B815" s="26" t="s">
        <v>1522</v>
      </c>
      <c r="C815" s="27">
        <v>46010.0</v>
      </c>
      <c r="D815" s="27">
        <v>46010.0</v>
      </c>
      <c r="E815" s="26" t="s">
        <v>1121</v>
      </c>
      <c r="F815" s="26" t="s">
        <v>1200</v>
      </c>
    </row>
    <row r="816">
      <c r="A816" s="26" t="s">
        <v>1521</v>
      </c>
      <c r="B816" s="26" t="s">
        <v>1522</v>
      </c>
      <c r="C816" s="27">
        <v>46010.0</v>
      </c>
      <c r="D816" s="27">
        <v>46010.0</v>
      </c>
      <c r="E816" s="26" t="s">
        <v>1121</v>
      </c>
      <c r="F816" s="26" t="s">
        <v>1200</v>
      </c>
    </row>
    <row r="817">
      <c r="A817" s="26" t="s">
        <v>1523</v>
      </c>
      <c r="B817" s="26" t="s">
        <v>599</v>
      </c>
      <c r="C817" s="27">
        <v>46010.0</v>
      </c>
      <c r="D817" s="27">
        <v>46010.0</v>
      </c>
      <c r="E817" s="26" t="s">
        <v>1121</v>
      </c>
      <c r="F817" s="26" t="s">
        <v>1200</v>
      </c>
    </row>
    <row r="818">
      <c r="A818" s="26" t="s">
        <v>1524</v>
      </c>
      <c r="B818" s="26" t="s">
        <v>1525</v>
      </c>
      <c r="C818" s="27">
        <v>46010.0</v>
      </c>
      <c r="D818" s="27">
        <v>46010.0</v>
      </c>
      <c r="E818" s="26" t="s">
        <v>1121</v>
      </c>
      <c r="F818" s="26" t="s">
        <v>1200</v>
      </c>
    </row>
    <row r="819">
      <c r="A819" s="26" t="s">
        <v>1526</v>
      </c>
      <c r="B819" s="26" t="s">
        <v>435</v>
      </c>
      <c r="C819" s="27">
        <v>46010.0</v>
      </c>
      <c r="D819" s="27">
        <v>46010.0</v>
      </c>
      <c r="E819" s="26" t="s">
        <v>1121</v>
      </c>
      <c r="F819" s="26" t="s">
        <v>1200</v>
      </c>
    </row>
    <row r="820">
      <c r="A820" s="26" t="s">
        <v>1527</v>
      </c>
      <c r="B820" s="26" t="s">
        <v>483</v>
      </c>
      <c r="C820" s="27">
        <v>46010.0</v>
      </c>
      <c r="D820" s="27">
        <v>46010.0</v>
      </c>
      <c r="E820" s="26" t="s">
        <v>1121</v>
      </c>
      <c r="F820" s="26" t="s">
        <v>1200</v>
      </c>
    </row>
    <row r="821">
      <c r="A821" s="26" t="s">
        <v>1528</v>
      </c>
      <c r="B821" s="26" t="s">
        <v>432</v>
      </c>
      <c r="C821" s="27">
        <v>46010.0</v>
      </c>
      <c r="D821" s="27">
        <v>46010.0</v>
      </c>
      <c r="E821" s="26" t="s">
        <v>1121</v>
      </c>
      <c r="F821" s="26" t="s">
        <v>1200</v>
      </c>
    </row>
    <row r="822">
      <c r="A822" s="26" t="s">
        <v>1529</v>
      </c>
      <c r="B822" s="26" t="s">
        <v>444</v>
      </c>
      <c r="C822" s="27">
        <v>46009.0</v>
      </c>
      <c r="D822" s="27">
        <v>46009.0</v>
      </c>
      <c r="E822" s="26" t="s">
        <v>1121</v>
      </c>
      <c r="F822" s="26" t="s">
        <v>1200</v>
      </c>
    </row>
    <row r="823">
      <c r="A823" s="26" t="s">
        <v>1530</v>
      </c>
      <c r="B823" s="26" t="s">
        <v>634</v>
      </c>
      <c r="C823" s="27">
        <v>46008.0</v>
      </c>
      <c r="D823" s="27">
        <v>46008.0</v>
      </c>
      <c r="E823" s="26" t="s">
        <v>1121</v>
      </c>
      <c r="F823" s="26" t="s">
        <v>1200</v>
      </c>
    </row>
    <row r="824">
      <c r="A824" s="26" t="s">
        <v>1530</v>
      </c>
      <c r="B824" s="26" t="s">
        <v>634</v>
      </c>
      <c r="C824" s="27">
        <v>46008.0</v>
      </c>
      <c r="D824" s="27">
        <v>46008.0</v>
      </c>
      <c r="E824" s="26" t="s">
        <v>1121</v>
      </c>
      <c r="F824" s="26" t="s">
        <v>1200</v>
      </c>
    </row>
    <row r="825">
      <c r="A825" s="26" t="s">
        <v>1531</v>
      </c>
      <c r="B825" s="26" t="s">
        <v>439</v>
      </c>
      <c r="C825" s="27">
        <v>46007.0</v>
      </c>
      <c r="D825" s="27">
        <v>46007.0</v>
      </c>
      <c r="E825" s="26" t="s">
        <v>1121</v>
      </c>
      <c r="F825" s="26" t="s">
        <v>1200</v>
      </c>
    </row>
    <row r="826">
      <c r="A826" s="26" t="s">
        <v>1532</v>
      </c>
      <c r="B826" s="26" t="s">
        <v>432</v>
      </c>
      <c r="C826" s="27">
        <v>46007.0</v>
      </c>
      <c r="D826" s="27">
        <v>46007.0</v>
      </c>
      <c r="E826" s="26" t="s">
        <v>1121</v>
      </c>
      <c r="F826" s="26" t="s">
        <v>1200</v>
      </c>
    </row>
    <row r="827">
      <c r="A827" s="26" t="s">
        <v>1533</v>
      </c>
      <c r="B827" s="26" t="s">
        <v>639</v>
      </c>
      <c r="C827" s="27">
        <v>46006.0</v>
      </c>
      <c r="D827" s="27">
        <v>46006.0</v>
      </c>
      <c r="E827" s="26" t="s">
        <v>1121</v>
      </c>
      <c r="F827" s="26" t="s">
        <v>1200</v>
      </c>
    </row>
    <row r="828">
      <c r="A828" s="26" t="s">
        <v>1534</v>
      </c>
      <c r="B828" s="26" t="s">
        <v>546</v>
      </c>
      <c r="C828" s="27">
        <v>46006.0</v>
      </c>
      <c r="D828" s="27">
        <v>46006.0</v>
      </c>
      <c r="E828" s="26" t="s">
        <v>1121</v>
      </c>
      <c r="F828" s="26" t="s">
        <v>1200</v>
      </c>
    </row>
    <row r="829">
      <c r="A829" s="26" t="s">
        <v>1534</v>
      </c>
      <c r="B829" s="26" t="s">
        <v>546</v>
      </c>
      <c r="C829" s="27">
        <v>46006.0</v>
      </c>
      <c r="D829" s="27">
        <v>46006.0</v>
      </c>
      <c r="E829" s="26" t="s">
        <v>1121</v>
      </c>
      <c r="F829" s="26" t="s">
        <v>1200</v>
      </c>
    </row>
    <row r="830">
      <c r="A830" s="26" t="s">
        <v>1534</v>
      </c>
      <c r="B830" s="26" t="s">
        <v>546</v>
      </c>
      <c r="C830" s="27">
        <v>46006.0</v>
      </c>
      <c r="D830" s="27">
        <v>46006.0</v>
      </c>
      <c r="E830" s="26" t="s">
        <v>1121</v>
      </c>
      <c r="F830" s="26" t="s">
        <v>1200</v>
      </c>
    </row>
    <row r="831">
      <c r="A831" s="26" t="s">
        <v>1535</v>
      </c>
      <c r="B831" s="26" t="s">
        <v>567</v>
      </c>
      <c r="C831" s="27">
        <v>46006.0</v>
      </c>
      <c r="D831" s="27">
        <v>46006.0</v>
      </c>
      <c r="E831" s="26" t="s">
        <v>1121</v>
      </c>
      <c r="F831" s="26" t="s">
        <v>1200</v>
      </c>
    </row>
    <row r="832">
      <c r="A832" s="26" t="s">
        <v>1536</v>
      </c>
      <c r="B832" s="26" t="s">
        <v>528</v>
      </c>
      <c r="C832" s="27">
        <v>46006.0</v>
      </c>
      <c r="D832" s="27">
        <v>46006.0</v>
      </c>
      <c r="E832" s="26" t="s">
        <v>1121</v>
      </c>
      <c r="F832" s="26" t="s">
        <v>1200</v>
      </c>
    </row>
    <row r="833">
      <c r="A833" s="26" t="s">
        <v>1537</v>
      </c>
      <c r="B833" s="26" t="s">
        <v>580</v>
      </c>
      <c r="C833" s="27">
        <v>46006.0</v>
      </c>
      <c r="D833" s="27">
        <v>46006.0</v>
      </c>
      <c r="E833" s="26" t="s">
        <v>1121</v>
      </c>
      <c r="F833" s="26" t="s">
        <v>1200</v>
      </c>
    </row>
    <row r="834">
      <c r="A834" s="26" t="s">
        <v>1538</v>
      </c>
      <c r="B834" s="26" t="s">
        <v>458</v>
      </c>
      <c r="C834" s="27">
        <v>46006.0</v>
      </c>
      <c r="D834" s="27">
        <v>46006.0</v>
      </c>
      <c r="E834" s="26" t="s">
        <v>1121</v>
      </c>
      <c r="F834" s="26" t="s">
        <v>1200</v>
      </c>
    </row>
    <row r="835">
      <c r="A835" s="26" t="s">
        <v>1539</v>
      </c>
      <c r="B835" s="26" t="s">
        <v>512</v>
      </c>
      <c r="C835" s="27">
        <v>46004.0</v>
      </c>
      <c r="D835" s="27">
        <v>46004.0</v>
      </c>
      <c r="E835" s="26" t="s">
        <v>1121</v>
      </c>
      <c r="F835" s="26" t="s">
        <v>1200</v>
      </c>
    </row>
    <row r="836">
      <c r="A836" s="26" t="s">
        <v>1539</v>
      </c>
      <c r="B836" s="26" t="s">
        <v>512</v>
      </c>
      <c r="C836" s="27">
        <v>46004.0</v>
      </c>
      <c r="D836" s="27">
        <v>46004.0</v>
      </c>
      <c r="E836" s="26" t="s">
        <v>1121</v>
      </c>
      <c r="F836" s="26" t="s">
        <v>1200</v>
      </c>
    </row>
    <row r="837">
      <c r="A837" s="26" t="s">
        <v>1539</v>
      </c>
      <c r="B837" s="26" t="s">
        <v>512</v>
      </c>
      <c r="C837" s="27">
        <v>46004.0</v>
      </c>
      <c r="D837" s="27">
        <v>46004.0</v>
      </c>
      <c r="E837" s="26" t="s">
        <v>1121</v>
      </c>
      <c r="F837" s="26" t="s">
        <v>1200</v>
      </c>
    </row>
    <row r="838">
      <c r="A838" s="26" t="s">
        <v>1539</v>
      </c>
      <c r="B838" s="26" t="s">
        <v>512</v>
      </c>
      <c r="C838" s="27">
        <v>46004.0</v>
      </c>
      <c r="D838" s="27">
        <v>46004.0</v>
      </c>
      <c r="E838" s="26" t="s">
        <v>1121</v>
      </c>
      <c r="F838" s="26" t="s">
        <v>1200</v>
      </c>
    </row>
    <row r="839">
      <c r="A839" s="26" t="s">
        <v>1540</v>
      </c>
      <c r="B839" s="26" t="s">
        <v>717</v>
      </c>
      <c r="C839" s="27">
        <v>46004.0</v>
      </c>
      <c r="D839" s="27">
        <v>46004.0</v>
      </c>
      <c r="E839" s="26" t="s">
        <v>1121</v>
      </c>
      <c r="F839" s="26" t="s">
        <v>1200</v>
      </c>
    </row>
    <row r="840">
      <c r="A840" s="26" t="s">
        <v>1541</v>
      </c>
      <c r="B840" s="26" t="s">
        <v>448</v>
      </c>
      <c r="C840" s="27">
        <v>46004.0</v>
      </c>
      <c r="D840" s="27">
        <v>46004.0</v>
      </c>
      <c r="E840" s="26" t="s">
        <v>1121</v>
      </c>
      <c r="F840" s="26" t="s">
        <v>1200</v>
      </c>
    </row>
    <row r="841">
      <c r="A841" s="26" t="s">
        <v>1541</v>
      </c>
      <c r="B841" s="26" t="s">
        <v>448</v>
      </c>
      <c r="C841" s="27">
        <v>46004.0</v>
      </c>
      <c r="D841" s="27">
        <v>46004.0</v>
      </c>
      <c r="E841" s="26" t="s">
        <v>1121</v>
      </c>
      <c r="F841" s="26" t="s">
        <v>1200</v>
      </c>
    </row>
    <row r="842">
      <c r="A842" s="26" t="s">
        <v>1542</v>
      </c>
      <c r="B842" s="26" t="s">
        <v>1333</v>
      </c>
      <c r="C842" s="27">
        <v>46003.0</v>
      </c>
      <c r="D842" s="27">
        <v>46003.0</v>
      </c>
      <c r="E842" s="26" t="s">
        <v>1121</v>
      </c>
      <c r="F842" s="26" t="s">
        <v>1200</v>
      </c>
    </row>
    <row r="843">
      <c r="A843" s="26" t="s">
        <v>1542</v>
      </c>
      <c r="B843" s="26" t="s">
        <v>1333</v>
      </c>
      <c r="C843" s="27">
        <v>46003.0</v>
      </c>
      <c r="D843" s="27">
        <v>46003.0</v>
      </c>
      <c r="E843" s="26" t="s">
        <v>1121</v>
      </c>
      <c r="F843" s="26" t="s">
        <v>1200</v>
      </c>
    </row>
    <row r="844">
      <c r="A844" s="26" t="s">
        <v>1542</v>
      </c>
      <c r="B844" s="26" t="s">
        <v>1333</v>
      </c>
      <c r="C844" s="27">
        <v>46003.0</v>
      </c>
      <c r="D844" s="27">
        <v>46003.0</v>
      </c>
      <c r="E844" s="26" t="s">
        <v>1121</v>
      </c>
      <c r="F844" s="26" t="s">
        <v>1200</v>
      </c>
    </row>
    <row r="845">
      <c r="A845" s="26" t="s">
        <v>1542</v>
      </c>
      <c r="B845" s="26" t="s">
        <v>1333</v>
      </c>
      <c r="C845" s="27">
        <v>46003.0</v>
      </c>
      <c r="D845" s="27">
        <v>46003.0</v>
      </c>
      <c r="E845" s="26" t="s">
        <v>1121</v>
      </c>
      <c r="F845" s="26" t="s">
        <v>1200</v>
      </c>
    </row>
    <row r="846">
      <c r="A846" s="26" t="s">
        <v>1542</v>
      </c>
      <c r="B846" s="26" t="s">
        <v>1333</v>
      </c>
      <c r="C846" s="27">
        <v>46003.0</v>
      </c>
      <c r="D846" s="27">
        <v>46003.0</v>
      </c>
      <c r="E846" s="26" t="s">
        <v>1121</v>
      </c>
      <c r="F846" s="26" t="s">
        <v>1200</v>
      </c>
    </row>
    <row r="847">
      <c r="A847" s="26" t="s">
        <v>1542</v>
      </c>
      <c r="B847" s="26" t="s">
        <v>1333</v>
      </c>
      <c r="C847" s="27">
        <v>46003.0</v>
      </c>
      <c r="D847" s="27">
        <v>46003.0</v>
      </c>
      <c r="E847" s="26" t="s">
        <v>1121</v>
      </c>
      <c r="F847" s="26" t="s">
        <v>1200</v>
      </c>
    </row>
    <row r="848">
      <c r="A848" s="26" t="s">
        <v>1543</v>
      </c>
      <c r="B848" s="26" t="s">
        <v>444</v>
      </c>
      <c r="C848" s="27">
        <v>46003.0</v>
      </c>
      <c r="D848" s="27">
        <v>46003.0</v>
      </c>
      <c r="E848" s="26" t="s">
        <v>1121</v>
      </c>
      <c r="F848" s="26" t="s">
        <v>1200</v>
      </c>
    </row>
    <row r="849">
      <c r="A849" s="26" t="s">
        <v>1543</v>
      </c>
      <c r="B849" s="26" t="s">
        <v>444</v>
      </c>
      <c r="C849" s="27">
        <v>46003.0</v>
      </c>
      <c r="D849" s="27">
        <v>46003.0</v>
      </c>
      <c r="E849" s="26" t="s">
        <v>1121</v>
      </c>
      <c r="F849" s="26" t="s">
        <v>1200</v>
      </c>
    </row>
    <row r="850">
      <c r="A850" s="26" t="s">
        <v>1544</v>
      </c>
      <c r="B850" s="26" t="s">
        <v>745</v>
      </c>
      <c r="C850" s="27">
        <v>46003.0</v>
      </c>
      <c r="D850" s="27">
        <v>46003.0</v>
      </c>
      <c r="E850" s="26" t="s">
        <v>1121</v>
      </c>
      <c r="F850" s="26" t="s">
        <v>1200</v>
      </c>
    </row>
    <row r="851">
      <c r="A851" s="26" t="s">
        <v>1544</v>
      </c>
      <c r="B851" s="26" t="s">
        <v>745</v>
      </c>
      <c r="C851" s="27">
        <v>46003.0</v>
      </c>
      <c r="D851" s="27">
        <v>46003.0</v>
      </c>
      <c r="E851" s="26" t="s">
        <v>1121</v>
      </c>
      <c r="F851" s="26" t="s">
        <v>1200</v>
      </c>
    </row>
    <row r="852">
      <c r="A852" s="26" t="s">
        <v>1544</v>
      </c>
      <c r="B852" s="26" t="s">
        <v>745</v>
      </c>
      <c r="C852" s="27">
        <v>46003.0</v>
      </c>
      <c r="D852" s="27">
        <v>46003.0</v>
      </c>
      <c r="E852" s="26" t="s">
        <v>1121</v>
      </c>
      <c r="F852" s="26" t="s">
        <v>1200</v>
      </c>
    </row>
    <row r="853">
      <c r="A853" s="26" t="s">
        <v>1544</v>
      </c>
      <c r="B853" s="26" t="s">
        <v>745</v>
      </c>
      <c r="C853" s="27">
        <v>46003.0</v>
      </c>
      <c r="D853" s="27">
        <v>46003.0</v>
      </c>
      <c r="E853" s="26" t="s">
        <v>1121</v>
      </c>
      <c r="F853" s="26" t="s">
        <v>1200</v>
      </c>
    </row>
    <row r="854">
      <c r="A854" s="26" t="s">
        <v>1544</v>
      </c>
      <c r="B854" s="26" t="s">
        <v>745</v>
      </c>
      <c r="C854" s="27">
        <v>46003.0</v>
      </c>
      <c r="D854" s="27">
        <v>46003.0</v>
      </c>
      <c r="E854" s="26" t="s">
        <v>1121</v>
      </c>
      <c r="F854" s="26" t="s">
        <v>1200</v>
      </c>
    </row>
    <row r="855">
      <c r="A855" s="26" t="s">
        <v>1544</v>
      </c>
      <c r="B855" s="26" t="s">
        <v>745</v>
      </c>
      <c r="C855" s="27">
        <v>46003.0</v>
      </c>
      <c r="D855" s="27">
        <v>46003.0</v>
      </c>
      <c r="E855" s="26" t="s">
        <v>1121</v>
      </c>
      <c r="F855" s="26" t="s">
        <v>1200</v>
      </c>
    </row>
    <row r="856">
      <c r="A856" s="26" t="s">
        <v>1544</v>
      </c>
      <c r="B856" s="26" t="s">
        <v>745</v>
      </c>
      <c r="C856" s="27">
        <v>46003.0</v>
      </c>
      <c r="D856" s="27">
        <v>46003.0</v>
      </c>
      <c r="E856" s="26" t="s">
        <v>1121</v>
      </c>
      <c r="F856" s="26" t="s">
        <v>1200</v>
      </c>
    </row>
    <row r="857">
      <c r="A857" s="26" t="s">
        <v>1544</v>
      </c>
      <c r="B857" s="26" t="s">
        <v>745</v>
      </c>
      <c r="C857" s="27">
        <v>46003.0</v>
      </c>
      <c r="D857" s="27">
        <v>46003.0</v>
      </c>
      <c r="E857" s="26" t="s">
        <v>1121</v>
      </c>
      <c r="F857" s="26" t="s">
        <v>1200</v>
      </c>
    </row>
    <row r="858">
      <c r="A858" s="26" t="s">
        <v>1544</v>
      </c>
      <c r="B858" s="26" t="s">
        <v>745</v>
      </c>
      <c r="C858" s="27">
        <v>46003.0</v>
      </c>
      <c r="D858" s="27">
        <v>46003.0</v>
      </c>
      <c r="E858" s="26" t="s">
        <v>1121</v>
      </c>
      <c r="F858" s="26" t="s">
        <v>1200</v>
      </c>
    </row>
    <row r="859">
      <c r="A859" s="26" t="s">
        <v>1544</v>
      </c>
      <c r="B859" s="26" t="s">
        <v>745</v>
      </c>
      <c r="C859" s="27">
        <v>46003.0</v>
      </c>
      <c r="D859" s="27">
        <v>46003.0</v>
      </c>
      <c r="E859" s="26" t="s">
        <v>1121</v>
      </c>
      <c r="F859" s="26" t="s">
        <v>1200</v>
      </c>
    </row>
    <row r="860">
      <c r="A860" s="26" t="s">
        <v>1544</v>
      </c>
      <c r="B860" s="26" t="s">
        <v>745</v>
      </c>
      <c r="C860" s="27">
        <v>46003.0</v>
      </c>
      <c r="D860" s="27">
        <v>46003.0</v>
      </c>
      <c r="E860" s="26" t="s">
        <v>1121</v>
      </c>
      <c r="F860" s="26" t="s">
        <v>1200</v>
      </c>
    </row>
    <row r="861">
      <c r="A861" s="26" t="s">
        <v>1544</v>
      </c>
      <c r="B861" s="26" t="s">
        <v>745</v>
      </c>
      <c r="C861" s="27">
        <v>46003.0</v>
      </c>
      <c r="D861" s="27">
        <v>46003.0</v>
      </c>
      <c r="E861" s="26" t="s">
        <v>1121</v>
      </c>
      <c r="F861" s="26" t="s">
        <v>1200</v>
      </c>
    </row>
    <row r="862">
      <c r="A862" s="26" t="s">
        <v>1544</v>
      </c>
      <c r="B862" s="26" t="s">
        <v>745</v>
      </c>
      <c r="C862" s="27">
        <v>46003.0</v>
      </c>
      <c r="D862" s="27">
        <v>46003.0</v>
      </c>
      <c r="E862" s="26" t="s">
        <v>1121</v>
      </c>
      <c r="F862" s="26" t="s">
        <v>1200</v>
      </c>
    </row>
    <row r="863">
      <c r="A863" s="26" t="s">
        <v>1544</v>
      </c>
      <c r="B863" s="26" t="s">
        <v>745</v>
      </c>
      <c r="C863" s="27">
        <v>46003.0</v>
      </c>
      <c r="D863" s="27">
        <v>46003.0</v>
      </c>
      <c r="E863" s="26" t="s">
        <v>1121</v>
      </c>
      <c r="F863" s="26" t="s">
        <v>1200</v>
      </c>
    </row>
    <row r="864">
      <c r="A864" s="26" t="s">
        <v>1545</v>
      </c>
      <c r="B864" s="26" t="s">
        <v>546</v>
      </c>
      <c r="C864" s="27">
        <v>46002.0</v>
      </c>
      <c r="D864" s="27">
        <v>46002.0</v>
      </c>
      <c r="E864" s="26" t="s">
        <v>1121</v>
      </c>
      <c r="F864" s="26" t="s">
        <v>1200</v>
      </c>
    </row>
    <row r="865">
      <c r="A865" s="26" t="s">
        <v>1546</v>
      </c>
      <c r="B865" s="26" t="s">
        <v>467</v>
      </c>
      <c r="C865" s="27">
        <v>46002.0</v>
      </c>
      <c r="D865" s="27">
        <v>46002.0</v>
      </c>
      <c r="E865" s="26" t="s">
        <v>1121</v>
      </c>
      <c r="F865" s="26" t="s">
        <v>1200</v>
      </c>
    </row>
    <row r="866">
      <c r="A866" s="26" t="s">
        <v>1547</v>
      </c>
      <c r="B866" s="26" t="s">
        <v>717</v>
      </c>
      <c r="C866" s="27">
        <v>46001.0</v>
      </c>
      <c r="D866" s="27">
        <v>46001.0</v>
      </c>
      <c r="E866" s="26" t="s">
        <v>1121</v>
      </c>
      <c r="F866" s="26" t="s">
        <v>1200</v>
      </c>
    </row>
    <row r="867">
      <c r="A867" s="26" t="s">
        <v>1547</v>
      </c>
      <c r="B867" s="26" t="s">
        <v>717</v>
      </c>
      <c r="C867" s="27">
        <v>46001.0</v>
      </c>
      <c r="D867" s="27">
        <v>46001.0</v>
      </c>
      <c r="E867" s="26" t="s">
        <v>1121</v>
      </c>
      <c r="F867" s="26" t="s">
        <v>1200</v>
      </c>
    </row>
    <row r="868">
      <c r="A868" s="26" t="s">
        <v>1547</v>
      </c>
      <c r="B868" s="26" t="s">
        <v>717</v>
      </c>
      <c r="C868" s="27">
        <v>46001.0</v>
      </c>
      <c r="D868" s="27">
        <v>46001.0</v>
      </c>
      <c r="E868" s="26" t="s">
        <v>1121</v>
      </c>
      <c r="F868" s="26" t="s">
        <v>1200</v>
      </c>
    </row>
    <row r="869">
      <c r="A869" s="26" t="s">
        <v>1547</v>
      </c>
      <c r="B869" s="26" t="s">
        <v>717</v>
      </c>
      <c r="C869" s="27">
        <v>46001.0</v>
      </c>
      <c r="D869" s="27">
        <v>46001.0</v>
      </c>
      <c r="E869" s="26" t="s">
        <v>1121</v>
      </c>
      <c r="F869" s="26" t="s">
        <v>1200</v>
      </c>
    </row>
    <row r="870">
      <c r="A870" s="26" t="s">
        <v>1547</v>
      </c>
      <c r="B870" s="26" t="s">
        <v>717</v>
      </c>
      <c r="C870" s="27">
        <v>46001.0</v>
      </c>
      <c r="D870" s="27">
        <v>46001.0</v>
      </c>
      <c r="E870" s="26" t="s">
        <v>1121</v>
      </c>
      <c r="F870" s="26" t="s">
        <v>1200</v>
      </c>
    </row>
    <row r="871">
      <c r="A871" s="26" t="s">
        <v>1547</v>
      </c>
      <c r="B871" s="26" t="s">
        <v>717</v>
      </c>
      <c r="C871" s="27">
        <v>46001.0</v>
      </c>
      <c r="D871" s="27">
        <v>46001.0</v>
      </c>
      <c r="E871" s="26" t="s">
        <v>1121</v>
      </c>
      <c r="F871" s="26" t="s">
        <v>1200</v>
      </c>
    </row>
    <row r="872">
      <c r="A872" s="26" t="s">
        <v>1547</v>
      </c>
      <c r="B872" s="26" t="s">
        <v>717</v>
      </c>
      <c r="C872" s="27">
        <v>46001.0</v>
      </c>
      <c r="D872" s="27">
        <v>46001.0</v>
      </c>
      <c r="E872" s="26" t="s">
        <v>1121</v>
      </c>
      <c r="F872" s="26" t="s">
        <v>1200</v>
      </c>
    </row>
    <row r="873">
      <c r="A873" s="26" t="s">
        <v>1547</v>
      </c>
      <c r="B873" s="26" t="s">
        <v>717</v>
      </c>
      <c r="C873" s="27">
        <v>46001.0</v>
      </c>
      <c r="D873" s="27">
        <v>46001.0</v>
      </c>
      <c r="E873" s="26" t="s">
        <v>1121</v>
      </c>
      <c r="F873" s="26" t="s">
        <v>1200</v>
      </c>
    </row>
    <row r="874">
      <c r="A874" s="26" t="s">
        <v>1548</v>
      </c>
      <c r="B874" s="26" t="s">
        <v>444</v>
      </c>
      <c r="C874" s="27">
        <v>46000.0</v>
      </c>
      <c r="D874" s="27">
        <v>46000.0</v>
      </c>
      <c r="E874" s="26" t="s">
        <v>1121</v>
      </c>
      <c r="F874" s="26" t="s">
        <v>1200</v>
      </c>
    </row>
    <row r="875">
      <c r="A875" s="26" t="s">
        <v>1549</v>
      </c>
      <c r="B875" s="26" t="s">
        <v>546</v>
      </c>
      <c r="C875" s="27">
        <v>46000.0</v>
      </c>
      <c r="D875" s="27">
        <v>46000.0</v>
      </c>
      <c r="E875" s="26" t="s">
        <v>1121</v>
      </c>
      <c r="F875" s="26" t="s">
        <v>1200</v>
      </c>
    </row>
    <row r="876">
      <c r="A876" s="26" t="s">
        <v>1550</v>
      </c>
      <c r="B876" s="26" t="s">
        <v>428</v>
      </c>
      <c r="C876" s="27">
        <v>46000.0</v>
      </c>
      <c r="D876" s="27">
        <v>46000.0</v>
      </c>
      <c r="E876" s="26" t="s">
        <v>1121</v>
      </c>
      <c r="F876" s="26" t="s">
        <v>1200</v>
      </c>
    </row>
    <row r="877">
      <c r="A877" s="26" t="s">
        <v>1551</v>
      </c>
      <c r="B877" s="26" t="s">
        <v>444</v>
      </c>
      <c r="C877" s="27">
        <v>45999.0</v>
      </c>
      <c r="D877" s="27">
        <v>45999.0</v>
      </c>
      <c r="E877" s="26" t="s">
        <v>1121</v>
      </c>
      <c r="F877" s="26" t="s">
        <v>1200</v>
      </c>
    </row>
    <row r="878">
      <c r="A878" s="26" t="s">
        <v>1552</v>
      </c>
      <c r="B878" s="26" t="s">
        <v>574</v>
      </c>
      <c r="C878" s="27">
        <v>45999.0</v>
      </c>
      <c r="D878" s="27">
        <v>45999.0</v>
      </c>
      <c r="E878" s="26" t="s">
        <v>1121</v>
      </c>
      <c r="F878" s="26" t="s">
        <v>1200</v>
      </c>
    </row>
    <row r="879">
      <c r="A879" s="26" t="s">
        <v>1553</v>
      </c>
      <c r="B879" s="26" t="s">
        <v>736</v>
      </c>
      <c r="C879" s="27">
        <v>45999.0</v>
      </c>
      <c r="D879" s="27">
        <v>45999.0</v>
      </c>
      <c r="E879" s="26" t="s">
        <v>1121</v>
      </c>
      <c r="F879" s="26" t="s">
        <v>1200</v>
      </c>
    </row>
    <row r="880">
      <c r="A880" s="26" t="s">
        <v>1553</v>
      </c>
      <c r="B880" s="26" t="s">
        <v>736</v>
      </c>
      <c r="C880" s="27">
        <v>45999.0</v>
      </c>
      <c r="D880" s="27">
        <v>45999.0</v>
      </c>
      <c r="E880" s="26" t="s">
        <v>1121</v>
      </c>
      <c r="F880" s="26" t="s">
        <v>1200</v>
      </c>
    </row>
    <row r="881">
      <c r="A881" s="26" t="s">
        <v>1553</v>
      </c>
      <c r="B881" s="26" t="s">
        <v>736</v>
      </c>
      <c r="C881" s="27">
        <v>45999.0</v>
      </c>
      <c r="D881" s="27">
        <v>45999.0</v>
      </c>
      <c r="E881" s="26" t="s">
        <v>1121</v>
      </c>
      <c r="F881" s="26" t="s">
        <v>1200</v>
      </c>
    </row>
    <row r="882">
      <c r="A882" s="26" t="s">
        <v>1553</v>
      </c>
      <c r="B882" s="26" t="s">
        <v>736</v>
      </c>
      <c r="C882" s="27">
        <v>45999.0</v>
      </c>
      <c r="D882" s="27">
        <v>45999.0</v>
      </c>
      <c r="E882" s="26" t="s">
        <v>1121</v>
      </c>
      <c r="F882" s="26" t="s">
        <v>1200</v>
      </c>
    </row>
    <row r="883">
      <c r="A883" s="26" t="s">
        <v>1553</v>
      </c>
      <c r="B883" s="26" t="s">
        <v>736</v>
      </c>
      <c r="C883" s="27">
        <v>45999.0</v>
      </c>
      <c r="D883" s="27">
        <v>45999.0</v>
      </c>
      <c r="E883" s="26" t="s">
        <v>1121</v>
      </c>
      <c r="F883" s="26" t="s">
        <v>1200</v>
      </c>
    </row>
    <row r="884">
      <c r="A884" s="26" t="s">
        <v>1553</v>
      </c>
      <c r="B884" s="26" t="s">
        <v>736</v>
      </c>
      <c r="C884" s="27">
        <v>45999.0</v>
      </c>
      <c r="D884" s="27">
        <v>45999.0</v>
      </c>
      <c r="E884" s="26" t="s">
        <v>1121</v>
      </c>
      <c r="F884" s="26" t="s">
        <v>1200</v>
      </c>
    </row>
    <row r="885">
      <c r="A885" s="26" t="s">
        <v>1553</v>
      </c>
      <c r="B885" s="26" t="s">
        <v>736</v>
      </c>
      <c r="C885" s="27">
        <v>45999.0</v>
      </c>
      <c r="D885" s="27">
        <v>45999.0</v>
      </c>
      <c r="E885" s="26" t="s">
        <v>1121</v>
      </c>
      <c r="F885" s="26" t="s">
        <v>1200</v>
      </c>
    </row>
    <row r="886">
      <c r="A886" s="26" t="s">
        <v>1554</v>
      </c>
      <c r="B886" s="26" t="s">
        <v>467</v>
      </c>
      <c r="C886" s="27">
        <v>45999.0</v>
      </c>
      <c r="D886" s="27">
        <v>45999.0</v>
      </c>
      <c r="E886" s="26" t="s">
        <v>1121</v>
      </c>
      <c r="F886" s="26" t="s">
        <v>1200</v>
      </c>
    </row>
    <row r="887">
      <c r="A887" s="26" t="s">
        <v>1555</v>
      </c>
      <c r="B887" s="26" t="s">
        <v>340</v>
      </c>
      <c r="C887" s="27">
        <v>45999.0</v>
      </c>
      <c r="D887" s="27">
        <v>45999.0</v>
      </c>
      <c r="E887" s="26" t="s">
        <v>1121</v>
      </c>
      <c r="F887" s="26" t="s">
        <v>1200</v>
      </c>
    </row>
    <row r="888">
      <c r="A888" s="26" t="s">
        <v>1555</v>
      </c>
      <c r="B888" s="26" t="s">
        <v>340</v>
      </c>
      <c r="C888" s="27">
        <v>45999.0</v>
      </c>
      <c r="D888" s="27">
        <v>45999.0</v>
      </c>
      <c r="E888" s="26" t="s">
        <v>1121</v>
      </c>
      <c r="F888" s="26" t="s">
        <v>1200</v>
      </c>
    </row>
    <row r="889">
      <c r="A889" s="26" t="s">
        <v>1556</v>
      </c>
      <c r="B889" s="26" t="s">
        <v>467</v>
      </c>
      <c r="C889" s="27">
        <v>45997.0</v>
      </c>
      <c r="D889" s="27">
        <v>45997.0</v>
      </c>
      <c r="E889" s="26" t="s">
        <v>1121</v>
      </c>
      <c r="F889" s="26" t="s">
        <v>1200</v>
      </c>
    </row>
    <row r="890">
      <c r="A890" s="26" t="s">
        <v>1557</v>
      </c>
      <c r="B890" s="26" t="s">
        <v>546</v>
      </c>
      <c r="C890" s="27">
        <v>45997.0</v>
      </c>
      <c r="D890" s="27">
        <v>45997.0</v>
      </c>
      <c r="E890" s="26" t="s">
        <v>1121</v>
      </c>
      <c r="F890" s="26" t="s">
        <v>1200</v>
      </c>
    </row>
    <row r="891">
      <c r="A891" s="26" t="s">
        <v>1557</v>
      </c>
      <c r="B891" s="26" t="s">
        <v>546</v>
      </c>
      <c r="C891" s="27">
        <v>45997.0</v>
      </c>
      <c r="D891" s="27">
        <v>45997.0</v>
      </c>
      <c r="E891" s="26" t="s">
        <v>1121</v>
      </c>
      <c r="F891" s="26" t="s">
        <v>1200</v>
      </c>
    </row>
    <row r="892">
      <c r="A892" s="26" t="s">
        <v>1557</v>
      </c>
      <c r="B892" s="26" t="s">
        <v>546</v>
      </c>
      <c r="C892" s="27">
        <v>45997.0</v>
      </c>
      <c r="D892" s="27">
        <v>45997.0</v>
      </c>
      <c r="E892" s="26" t="s">
        <v>1121</v>
      </c>
      <c r="F892" s="26" t="s">
        <v>1200</v>
      </c>
    </row>
    <row r="893">
      <c r="A893" s="26" t="s">
        <v>1558</v>
      </c>
      <c r="B893" s="26" t="s">
        <v>1559</v>
      </c>
      <c r="C893" s="27">
        <v>45997.0</v>
      </c>
      <c r="D893" s="27">
        <v>45997.0</v>
      </c>
      <c r="E893" s="26" t="s">
        <v>1121</v>
      </c>
      <c r="F893" s="26" t="s">
        <v>1200</v>
      </c>
    </row>
    <row r="894">
      <c r="A894" s="26" t="s">
        <v>1560</v>
      </c>
      <c r="B894" s="26" t="s">
        <v>383</v>
      </c>
      <c r="C894" s="27">
        <v>45996.0</v>
      </c>
      <c r="D894" s="27">
        <v>45996.0</v>
      </c>
      <c r="E894" s="26" t="s">
        <v>1121</v>
      </c>
      <c r="F894" s="26" t="s">
        <v>1200</v>
      </c>
    </row>
    <row r="895">
      <c r="A895" s="26" t="s">
        <v>1560</v>
      </c>
      <c r="B895" s="26" t="s">
        <v>383</v>
      </c>
      <c r="C895" s="27">
        <v>45996.0</v>
      </c>
      <c r="D895" s="27">
        <v>45996.0</v>
      </c>
      <c r="E895" s="26" t="s">
        <v>1121</v>
      </c>
      <c r="F895" s="26" t="s">
        <v>1200</v>
      </c>
    </row>
    <row r="896">
      <c r="A896" s="26" t="s">
        <v>1561</v>
      </c>
      <c r="B896" s="26" t="s">
        <v>668</v>
      </c>
      <c r="C896" s="27">
        <v>45996.0</v>
      </c>
      <c r="D896" s="27">
        <v>45996.0</v>
      </c>
      <c r="E896" s="26" t="s">
        <v>1121</v>
      </c>
      <c r="F896" s="26" t="s">
        <v>1200</v>
      </c>
    </row>
    <row r="897">
      <c r="A897" s="26" t="s">
        <v>1562</v>
      </c>
      <c r="B897" s="26" t="s">
        <v>432</v>
      </c>
      <c r="C897" s="27">
        <v>45996.0</v>
      </c>
      <c r="D897" s="27">
        <v>45996.0</v>
      </c>
      <c r="E897" s="26" t="s">
        <v>1121</v>
      </c>
      <c r="F897" s="26" t="s">
        <v>1200</v>
      </c>
    </row>
    <row r="898">
      <c r="A898" s="26" t="s">
        <v>1563</v>
      </c>
      <c r="B898" s="26" t="s">
        <v>512</v>
      </c>
      <c r="C898" s="27">
        <v>45995.0</v>
      </c>
      <c r="D898" s="27">
        <v>45995.0</v>
      </c>
      <c r="E898" s="26" t="s">
        <v>1121</v>
      </c>
      <c r="F898" s="26" t="s">
        <v>1200</v>
      </c>
    </row>
    <row r="899">
      <c r="A899" s="26" t="s">
        <v>1563</v>
      </c>
      <c r="B899" s="26" t="s">
        <v>512</v>
      </c>
      <c r="C899" s="27">
        <v>45995.0</v>
      </c>
      <c r="D899" s="27">
        <v>45995.0</v>
      </c>
      <c r="E899" s="26" t="s">
        <v>1121</v>
      </c>
      <c r="F899" s="26" t="s">
        <v>1200</v>
      </c>
    </row>
    <row r="900">
      <c r="A900" s="26" t="s">
        <v>1564</v>
      </c>
      <c r="B900" s="26" t="s">
        <v>483</v>
      </c>
      <c r="C900" s="27">
        <v>45994.0</v>
      </c>
      <c r="D900" s="27">
        <v>45994.0</v>
      </c>
      <c r="E900" s="26" t="s">
        <v>1121</v>
      </c>
      <c r="F900" s="26" t="s">
        <v>1200</v>
      </c>
    </row>
    <row r="901">
      <c r="A901" s="26" t="s">
        <v>1564</v>
      </c>
      <c r="B901" s="26" t="s">
        <v>483</v>
      </c>
      <c r="C901" s="27">
        <v>45994.0</v>
      </c>
      <c r="D901" s="27">
        <v>45994.0</v>
      </c>
      <c r="E901" s="26" t="s">
        <v>1121</v>
      </c>
      <c r="F901" s="26" t="s">
        <v>1200</v>
      </c>
    </row>
    <row r="902">
      <c r="A902" s="26" t="s">
        <v>1565</v>
      </c>
      <c r="B902" s="26" t="s">
        <v>604</v>
      </c>
      <c r="C902" s="27">
        <v>45994.0</v>
      </c>
      <c r="D902" s="27">
        <v>45994.0</v>
      </c>
      <c r="E902" s="26" t="s">
        <v>1121</v>
      </c>
      <c r="F902" s="26" t="s">
        <v>1200</v>
      </c>
    </row>
    <row r="903">
      <c r="A903" s="26" t="s">
        <v>1566</v>
      </c>
      <c r="B903" s="26" t="s">
        <v>546</v>
      </c>
      <c r="C903" s="27">
        <v>45994.0</v>
      </c>
      <c r="D903" s="27">
        <v>45994.0</v>
      </c>
      <c r="E903" s="26" t="s">
        <v>1121</v>
      </c>
      <c r="F903" s="26" t="s">
        <v>1200</v>
      </c>
    </row>
    <row r="904">
      <c r="A904" s="26" t="s">
        <v>1567</v>
      </c>
      <c r="B904" s="26" t="s">
        <v>435</v>
      </c>
      <c r="C904" s="27">
        <v>45994.0</v>
      </c>
      <c r="D904" s="27">
        <v>45994.0</v>
      </c>
      <c r="E904" s="26" t="s">
        <v>1121</v>
      </c>
      <c r="F904" s="26" t="s">
        <v>1200</v>
      </c>
    </row>
    <row r="905">
      <c r="A905" s="26" t="s">
        <v>1568</v>
      </c>
      <c r="B905" s="26" t="s">
        <v>1569</v>
      </c>
      <c r="C905" s="27">
        <v>45997.0</v>
      </c>
      <c r="D905" s="27">
        <v>45997.0</v>
      </c>
      <c r="E905" s="26" t="s">
        <v>1121</v>
      </c>
      <c r="F905" s="26" t="s">
        <v>1200</v>
      </c>
    </row>
    <row r="906">
      <c r="A906" s="26" t="s">
        <v>1568</v>
      </c>
      <c r="B906" s="26" t="s">
        <v>1569</v>
      </c>
      <c r="C906" s="27">
        <v>45997.0</v>
      </c>
      <c r="D906" s="27">
        <v>45997.0</v>
      </c>
      <c r="E906" s="26" t="s">
        <v>1121</v>
      </c>
      <c r="F906" s="26" t="s">
        <v>1200</v>
      </c>
    </row>
    <row r="907">
      <c r="A907" s="26" t="s">
        <v>1568</v>
      </c>
      <c r="B907" s="26" t="s">
        <v>1569</v>
      </c>
      <c r="C907" s="27">
        <v>45997.0</v>
      </c>
      <c r="D907" s="27">
        <v>45997.0</v>
      </c>
      <c r="E907" s="26" t="s">
        <v>1121</v>
      </c>
      <c r="F907" s="26" t="s">
        <v>1200</v>
      </c>
    </row>
    <row r="908">
      <c r="A908" s="26" t="s">
        <v>1568</v>
      </c>
      <c r="B908" s="26" t="s">
        <v>1569</v>
      </c>
      <c r="C908" s="27">
        <v>45997.0</v>
      </c>
      <c r="D908" s="27">
        <v>45997.0</v>
      </c>
      <c r="E908" s="26" t="s">
        <v>1121</v>
      </c>
      <c r="F908" s="26" t="s">
        <v>1200</v>
      </c>
    </row>
    <row r="909">
      <c r="A909" s="26" t="s">
        <v>1568</v>
      </c>
      <c r="B909" s="26" t="s">
        <v>1569</v>
      </c>
      <c r="C909" s="27">
        <v>45997.0</v>
      </c>
      <c r="D909" s="27">
        <v>45997.0</v>
      </c>
      <c r="E909" s="26" t="s">
        <v>1121</v>
      </c>
      <c r="F909" s="26" t="s">
        <v>1200</v>
      </c>
    </row>
    <row r="910">
      <c r="A910" s="26" t="s">
        <v>1568</v>
      </c>
      <c r="B910" s="26" t="s">
        <v>1569</v>
      </c>
      <c r="C910" s="27">
        <v>45997.0</v>
      </c>
      <c r="D910" s="27">
        <v>45997.0</v>
      </c>
      <c r="E910" s="26" t="s">
        <v>1121</v>
      </c>
      <c r="F910" s="26" t="s">
        <v>1200</v>
      </c>
    </row>
    <row r="911">
      <c r="A911" s="26" t="s">
        <v>1568</v>
      </c>
      <c r="B911" s="26" t="s">
        <v>1569</v>
      </c>
      <c r="C911" s="27">
        <v>45997.0</v>
      </c>
      <c r="D911" s="27">
        <v>45997.0</v>
      </c>
      <c r="E911" s="26" t="s">
        <v>1121</v>
      </c>
      <c r="F911" s="26" t="s">
        <v>1200</v>
      </c>
    </row>
    <row r="912">
      <c r="A912" s="26" t="s">
        <v>1568</v>
      </c>
      <c r="B912" s="26" t="s">
        <v>1569</v>
      </c>
      <c r="C912" s="27">
        <v>45997.0</v>
      </c>
      <c r="D912" s="27">
        <v>45997.0</v>
      </c>
      <c r="E912" s="26" t="s">
        <v>1121</v>
      </c>
      <c r="F912" s="26" t="s">
        <v>1200</v>
      </c>
    </row>
    <row r="913">
      <c r="A913" s="26" t="s">
        <v>1568</v>
      </c>
      <c r="B913" s="26" t="s">
        <v>1569</v>
      </c>
      <c r="C913" s="27">
        <v>45997.0</v>
      </c>
      <c r="D913" s="27">
        <v>45997.0</v>
      </c>
      <c r="E913" s="26" t="s">
        <v>1121</v>
      </c>
      <c r="F913" s="26" t="s">
        <v>1200</v>
      </c>
    </row>
    <row r="914">
      <c r="A914" s="26" t="s">
        <v>1568</v>
      </c>
      <c r="B914" s="26" t="s">
        <v>1569</v>
      </c>
      <c r="C914" s="27">
        <v>45997.0</v>
      </c>
      <c r="D914" s="27">
        <v>45997.0</v>
      </c>
      <c r="E914" s="26" t="s">
        <v>1121</v>
      </c>
      <c r="F914" s="26" t="s">
        <v>1200</v>
      </c>
    </row>
    <row r="915">
      <c r="A915" s="26" t="s">
        <v>1568</v>
      </c>
      <c r="B915" s="26" t="s">
        <v>1569</v>
      </c>
      <c r="C915" s="27">
        <v>45997.0</v>
      </c>
      <c r="D915" s="27">
        <v>45997.0</v>
      </c>
      <c r="E915" s="26" t="s">
        <v>1121</v>
      </c>
      <c r="F915" s="26" t="s">
        <v>1200</v>
      </c>
    </row>
    <row r="916">
      <c r="A916" s="26" t="s">
        <v>1568</v>
      </c>
      <c r="B916" s="26" t="s">
        <v>1569</v>
      </c>
      <c r="C916" s="27">
        <v>45997.0</v>
      </c>
      <c r="D916" s="27">
        <v>45997.0</v>
      </c>
      <c r="E916" s="26" t="s">
        <v>1121</v>
      </c>
      <c r="F916" s="26" t="s">
        <v>1200</v>
      </c>
    </row>
    <row r="917">
      <c r="A917" s="26" t="s">
        <v>1568</v>
      </c>
      <c r="B917" s="26" t="s">
        <v>1569</v>
      </c>
      <c r="C917" s="27">
        <v>45997.0</v>
      </c>
      <c r="D917" s="27">
        <v>45997.0</v>
      </c>
      <c r="E917" s="26" t="s">
        <v>1121</v>
      </c>
      <c r="F917" s="26" t="s">
        <v>1200</v>
      </c>
    </row>
    <row r="918">
      <c r="A918" s="26" t="s">
        <v>1568</v>
      </c>
      <c r="B918" s="26" t="s">
        <v>1569</v>
      </c>
      <c r="C918" s="27">
        <v>45997.0</v>
      </c>
      <c r="D918" s="27">
        <v>45997.0</v>
      </c>
      <c r="E918" s="26" t="s">
        <v>1121</v>
      </c>
      <c r="F918" s="26" t="s">
        <v>1200</v>
      </c>
    </row>
    <row r="919">
      <c r="A919" s="26" t="s">
        <v>1568</v>
      </c>
      <c r="B919" s="26" t="s">
        <v>1569</v>
      </c>
      <c r="C919" s="27">
        <v>45997.0</v>
      </c>
      <c r="D919" s="27">
        <v>45997.0</v>
      </c>
      <c r="E919" s="26" t="s">
        <v>1121</v>
      </c>
      <c r="F919" s="26" t="s">
        <v>1200</v>
      </c>
    </row>
    <row r="920">
      <c r="A920" s="26" t="s">
        <v>1568</v>
      </c>
      <c r="B920" s="26" t="s">
        <v>1569</v>
      </c>
      <c r="C920" s="27">
        <v>45997.0</v>
      </c>
      <c r="D920" s="27">
        <v>45997.0</v>
      </c>
      <c r="E920" s="26" t="s">
        <v>1121</v>
      </c>
      <c r="F920" s="26" t="s">
        <v>1200</v>
      </c>
    </row>
    <row r="921">
      <c r="A921" s="26" t="s">
        <v>1568</v>
      </c>
      <c r="B921" s="26" t="s">
        <v>1569</v>
      </c>
      <c r="C921" s="27">
        <v>45997.0</v>
      </c>
      <c r="D921" s="27">
        <v>45997.0</v>
      </c>
      <c r="E921" s="26" t="s">
        <v>1121</v>
      </c>
      <c r="F921" s="26" t="s">
        <v>1200</v>
      </c>
    </row>
    <row r="922">
      <c r="A922" s="26" t="s">
        <v>1568</v>
      </c>
      <c r="B922" s="26" t="s">
        <v>1569</v>
      </c>
      <c r="C922" s="27">
        <v>45997.0</v>
      </c>
      <c r="D922" s="27">
        <v>45997.0</v>
      </c>
      <c r="E922" s="26" t="s">
        <v>1121</v>
      </c>
      <c r="F922" s="26" t="s">
        <v>1200</v>
      </c>
    </row>
    <row r="923">
      <c r="A923" s="26" t="s">
        <v>1568</v>
      </c>
      <c r="B923" s="26" t="s">
        <v>1569</v>
      </c>
      <c r="C923" s="27">
        <v>45997.0</v>
      </c>
      <c r="D923" s="27">
        <v>45997.0</v>
      </c>
      <c r="E923" s="26" t="s">
        <v>1121</v>
      </c>
      <c r="F923" s="26" t="s">
        <v>1200</v>
      </c>
    </row>
    <row r="924">
      <c r="A924" s="26" t="s">
        <v>1568</v>
      </c>
      <c r="B924" s="26" t="s">
        <v>1569</v>
      </c>
      <c r="C924" s="27">
        <v>45997.0</v>
      </c>
      <c r="D924" s="27">
        <v>45997.0</v>
      </c>
      <c r="E924" s="26" t="s">
        <v>1121</v>
      </c>
      <c r="F924" s="26" t="s">
        <v>1200</v>
      </c>
    </row>
    <row r="925">
      <c r="A925" s="26" t="s">
        <v>1568</v>
      </c>
      <c r="B925" s="26" t="s">
        <v>1569</v>
      </c>
      <c r="C925" s="27">
        <v>45997.0</v>
      </c>
      <c r="D925" s="27">
        <v>45997.0</v>
      </c>
      <c r="E925" s="26" t="s">
        <v>1121</v>
      </c>
      <c r="F925" s="26" t="s">
        <v>1200</v>
      </c>
    </row>
    <row r="926">
      <c r="A926" s="26" t="s">
        <v>1568</v>
      </c>
      <c r="B926" s="26" t="s">
        <v>1569</v>
      </c>
      <c r="C926" s="27">
        <v>45997.0</v>
      </c>
      <c r="D926" s="27">
        <v>45997.0</v>
      </c>
      <c r="E926" s="26" t="s">
        <v>1121</v>
      </c>
      <c r="F926" s="26" t="s">
        <v>1200</v>
      </c>
    </row>
    <row r="927">
      <c r="A927" s="26" t="s">
        <v>1568</v>
      </c>
      <c r="B927" s="26" t="s">
        <v>1569</v>
      </c>
      <c r="C927" s="27">
        <v>45997.0</v>
      </c>
      <c r="D927" s="27">
        <v>45997.0</v>
      </c>
      <c r="E927" s="26" t="s">
        <v>1121</v>
      </c>
      <c r="F927" s="26" t="s">
        <v>1200</v>
      </c>
    </row>
    <row r="928">
      <c r="A928" s="26" t="s">
        <v>1568</v>
      </c>
      <c r="B928" s="26" t="s">
        <v>1569</v>
      </c>
      <c r="C928" s="27">
        <v>45997.0</v>
      </c>
      <c r="D928" s="27">
        <v>45997.0</v>
      </c>
      <c r="E928" s="26" t="s">
        <v>1121</v>
      </c>
      <c r="F928" s="26" t="s">
        <v>1200</v>
      </c>
    </row>
    <row r="929">
      <c r="A929" s="26" t="s">
        <v>1568</v>
      </c>
      <c r="B929" s="26" t="s">
        <v>1569</v>
      </c>
      <c r="C929" s="27">
        <v>45997.0</v>
      </c>
      <c r="D929" s="27">
        <v>45997.0</v>
      </c>
      <c r="E929" s="26" t="s">
        <v>1121</v>
      </c>
      <c r="F929" s="26" t="s">
        <v>1200</v>
      </c>
    </row>
    <row r="930">
      <c r="A930" s="26" t="s">
        <v>1568</v>
      </c>
      <c r="B930" s="26" t="s">
        <v>1569</v>
      </c>
      <c r="C930" s="27">
        <v>45997.0</v>
      </c>
      <c r="D930" s="27">
        <v>45997.0</v>
      </c>
      <c r="E930" s="26" t="s">
        <v>1121</v>
      </c>
      <c r="F930" s="26" t="s">
        <v>1200</v>
      </c>
    </row>
    <row r="931">
      <c r="A931" s="26" t="s">
        <v>1568</v>
      </c>
      <c r="B931" s="26" t="s">
        <v>1569</v>
      </c>
      <c r="C931" s="27">
        <v>45997.0</v>
      </c>
      <c r="D931" s="27">
        <v>45997.0</v>
      </c>
      <c r="E931" s="26" t="s">
        <v>1121</v>
      </c>
      <c r="F931" s="26" t="s">
        <v>1200</v>
      </c>
    </row>
    <row r="932">
      <c r="A932" s="26" t="s">
        <v>1568</v>
      </c>
      <c r="B932" s="26" t="s">
        <v>1569</v>
      </c>
      <c r="C932" s="27">
        <v>45997.0</v>
      </c>
      <c r="D932" s="27">
        <v>45997.0</v>
      </c>
      <c r="E932" s="26" t="s">
        <v>1121</v>
      </c>
      <c r="F932" s="26" t="s">
        <v>1200</v>
      </c>
    </row>
    <row r="933">
      <c r="A933" s="26" t="s">
        <v>1568</v>
      </c>
      <c r="B933" s="26" t="s">
        <v>1569</v>
      </c>
      <c r="C933" s="27">
        <v>45997.0</v>
      </c>
      <c r="D933" s="27">
        <v>45997.0</v>
      </c>
      <c r="E933" s="26" t="s">
        <v>1121</v>
      </c>
      <c r="F933" s="26" t="s">
        <v>1200</v>
      </c>
    </row>
    <row r="934">
      <c r="A934" s="26" t="s">
        <v>1570</v>
      </c>
      <c r="B934" s="26" t="s">
        <v>688</v>
      </c>
      <c r="C934" s="27">
        <v>45993.0</v>
      </c>
      <c r="D934" s="27">
        <v>45993.0</v>
      </c>
      <c r="E934" s="26" t="s">
        <v>1121</v>
      </c>
      <c r="F934" s="26" t="s">
        <v>1200</v>
      </c>
    </row>
    <row r="935">
      <c r="A935" s="26" t="s">
        <v>1571</v>
      </c>
      <c r="B935" s="26" t="s">
        <v>580</v>
      </c>
      <c r="C935" s="27">
        <v>45993.0</v>
      </c>
      <c r="D935" s="27">
        <v>45993.0</v>
      </c>
      <c r="E935" s="26" t="s">
        <v>1121</v>
      </c>
      <c r="F935" s="26" t="s">
        <v>1200</v>
      </c>
    </row>
    <row r="936">
      <c r="A936" s="26" t="s">
        <v>1571</v>
      </c>
      <c r="B936" s="26" t="s">
        <v>580</v>
      </c>
      <c r="C936" s="27">
        <v>45993.0</v>
      </c>
      <c r="D936" s="27">
        <v>45993.0</v>
      </c>
      <c r="E936" s="26" t="s">
        <v>1121</v>
      </c>
      <c r="F936" s="26" t="s">
        <v>1200</v>
      </c>
    </row>
    <row r="937">
      <c r="A937" s="26" t="s">
        <v>1571</v>
      </c>
      <c r="B937" s="26" t="s">
        <v>580</v>
      </c>
      <c r="C937" s="27">
        <v>45993.0</v>
      </c>
      <c r="D937" s="27">
        <v>45993.0</v>
      </c>
      <c r="E937" s="26" t="s">
        <v>1121</v>
      </c>
      <c r="F937" s="26" t="s">
        <v>1200</v>
      </c>
    </row>
    <row r="938">
      <c r="A938" s="26" t="s">
        <v>1572</v>
      </c>
      <c r="B938" s="26" t="s">
        <v>546</v>
      </c>
      <c r="C938" s="27">
        <v>45992.0</v>
      </c>
      <c r="D938" s="27">
        <v>45992.0</v>
      </c>
      <c r="E938" s="26" t="s">
        <v>1121</v>
      </c>
      <c r="F938" s="26" t="s">
        <v>1200</v>
      </c>
    </row>
    <row r="939">
      <c r="A939" s="26" t="s">
        <v>1572</v>
      </c>
      <c r="B939" s="26" t="s">
        <v>546</v>
      </c>
      <c r="C939" s="27">
        <v>45992.0</v>
      </c>
      <c r="D939" s="27">
        <v>45992.0</v>
      </c>
      <c r="E939" s="26" t="s">
        <v>1121</v>
      </c>
      <c r="F939" s="26" t="s">
        <v>1200</v>
      </c>
    </row>
    <row r="940">
      <c r="A940" s="26" t="s">
        <v>1572</v>
      </c>
      <c r="B940" s="26" t="s">
        <v>546</v>
      </c>
      <c r="C940" s="27">
        <v>45992.0</v>
      </c>
      <c r="D940" s="27">
        <v>45992.0</v>
      </c>
      <c r="E940" s="26" t="s">
        <v>1121</v>
      </c>
      <c r="F940" s="26" t="s">
        <v>1200</v>
      </c>
    </row>
    <row r="941">
      <c r="A941" s="26" t="s">
        <v>1573</v>
      </c>
      <c r="B941" s="26" t="s">
        <v>1574</v>
      </c>
      <c r="C941" s="27">
        <v>45992.0</v>
      </c>
      <c r="D941" s="27">
        <v>45992.0</v>
      </c>
      <c r="E941" s="26" t="s">
        <v>1121</v>
      </c>
      <c r="F941" s="26" t="s">
        <v>1200</v>
      </c>
    </row>
    <row r="942">
      <c r="A942" s="26" t="s">
        <v>1575</v>
      </c>
      <c r="B942" s="26" t="s">
        <v>512</v>
      </c>
      <c r="C942" s="27">
        <v>45992.0</v>
      </c>
      <c r="D942" s="27">
        <v>45992.0</v>
      </c>
      <c r="E942" s="26" t="s">
        <v>1121</v>
      </c>
      <c r="F942" s="26" t="s">
        <v>1200</v>
      </c>
    </row>
    <row r="943">
      <c r="A943" s="26" t="s">
        <v>1576</v>
      </c>
      <c r="B943" s="26" t="s">
        <v>599</v>
      </c>
      <c r="C943" s="27">
        <v>45990.0</v>
      </c>
      <c r="D943" s="27">
        <v>45990.0</v>
      </c>
      <c r="E943" s="26" t="s">
        <v>1121</v>
      </c>
      <c r="F943" s="26" t="s">
        <v>1200</v>
      </c>
    </row>
    <row r="944">
      <c r="A944" s="26" t="s">
        <v>1577</v>
      </c>
      <c r="B944" s="26" t="s">
        <v>1258</v>
      </c>
      <c r="C944" s="27">
        <v>45990.0</v>
      </c>
      <c r="D944" s="27">
        <v>45990.0</v>
      </c>
      <c r="E944" s="26" t="s">
        <v>1121</v>
      </c>
      <c r="F944" s="26" t="s">
        <v>1200</v>
      </c>
    </row>
    <row r="945">
      <c r="A945" s="26" t="s">
        <v>1577</v>
      </c>
      <c r="B945" s="26" t="s">
        <v>1258</v>
      </c>
      <c r="C945" s="27">
        <v>45990.0</v>
      </c>
      <c r="D945" s="27">
        <v>45990.0</v>
      </c>
      <c r="E945" s="26" t="s">
        <v>1121</v>
      </c>
      <c r="F945" s="26" t="s">
        <v>1200</v>
      </c>
    </row>
    <row r="946">
      <c r="A946" s="26" t="s">
        <v>1577</v>
      </c>
      <c r="B946" s="26" t="s">
        <v>1258</v>
      </c>
      <c r="C946" s="27">
        <v>45990.0</v>
      </c>
      <c r="D946" s="27">
        <v>45990.0</v>
      </c>
      <c r="E946" s="26" t="s">
        <v>1121</v>
      </c>
      <c r="F946" s="26" t="s">
        <v>1200</v>
      </c>
    </row>
    <row r="947">
      <c r="A947" s="26" t="s">
        <v>1577</v>
      </c>
      <c r="B947" s="26" t="s">
        <v>1258</v>
      </c>
      <c r="C947" s="27">
        <v>45990.0</v>
      </c>
      <c r="D947" s="27">
        <v>45990.0</v>
      </c>
      <c r="E947" s="26" t="s">
        <v>1121</v>
      </c>
      <c r="F947" s="26" t="s">
        <v>1200</v>
      </c>
    </row>
    <row r="948">
      <c r="A948" s="26" t="s">
        <v>1577</v>
      </c>
      <c r="B948" s="26" t="s">
        <v>1258</v>
      </c>
      <c r="C948" s="27">
        <v>45990.0</v>
      </c>
      <c r="D948" s="27">
        <v>45990.0</v>
      </c>
      <c r="E948" s="26" t="s">
        <v>1121</v>
      </c>
      <c r="F948" s="26" t="s">
        <v>1200</v>
      </c>
    </row>
    <row r="949">
      <c r="A949" s="26" t="s">
        <v>1577</v>
      </c>
      <c r="B949" s="26" t="s">
        <v>1258</v>
      </c>
      <c r="C949" s="27">
        <v>45990.0</v>
      </c>
      <c r="D949" s="27">
        <v>45990.0</v>
      </c>
      <c r="E949" s="26" t="s">
        <v>1121</v>
      </c>
      <c r="F949" s="26" t="s">
        <v>1200</v>
      </c>
    </row>
    <row r="950">
      <c r="A950" s="26" t="s">
        <v>1577</v>
      </c>
      <c r="B950" s="26" t="s">
        <v>1258</v>
      </c>
      <c r="C950" s="27">
        <v>45990.0</v>
      </c>
      <c r="D950" s="27">
        <v>45990.0</v>
      </c>
      <c r="E950" s="26" t="s">
        <v>1121</v>
      </c>
      <c r="F950" s="26" t="s">
        <v>1200</v>
      </c>
    </row>
    <row r="951">
      <c r="A951" s="26" t="s">
        <v>1577</v>
      </c>
      <c r="B951" s="26" t="s">
        <v>1258</v>
      </c>
      <c r="C951" s="27">
        <v>45990.0</v>
      </c>
      <c r="D951" s="27">
        <v>45990.0</v>
      </c>
      <c r="E951" s="26" t="s">
        <v>1121</v>
      </c>
      <c r="F951" s="26" t="s">
        <v>1200</v>
      </c>
    </row>
    <row r="952">
      <c r="A952" s="26" t="s">
        <v>1578</v>
      </c>
      <c r="B952" s="26" t="s">
        <v>1574</v>
      </c>
      <c r="C952" s="27">
        <v>45990.0</v>
      </c>
      <c r="D952" s="27">
        <v>45990.0</v>
      </c>
      <c r="E952" s="26" t="s">
        <v>1121</v>
      </c>
      <c r="F952" s="26" t="s">
        <v>1200</v>
      </c>
    </row>
    <row r="953">
      <c r="A953" s="26" t="s">
        <v>1578</v>
      </c>
      <c r="B953" s="26" t="s">
        <v>1574</v>
      </c>
      <c r="C953" s="27">
        <v>45990.0</v>
      </c>
      <c r="D953" s="27">
        <v>45990.0</v>
      </c>
      <c r="E953" s="26" t="s">
        <v>1121</v>
      </c>
      <c r="F953" s="26" t="s">
        <v>1200</v>
      </c>
    </row>
    <row r="954">
      <c r="A954" s="26" t="s">
        <v>1578</v>
      </c>
      <c r="B954" s="26" t="s">
        <v>1574</v>
      </c>
      <c r="C954" s="27">
        <v>45990.0</v>
      </c>
      <c r="D954" s="27">
        <v>45990.0</v>
      </c>
      <c r="E954" s="26" t="s">
        <v>1121</v>
      </c>
      <c r="F954" s="26" t="s">
        <v>1200</v>
      </c>
    </row>
    <row r="955">
      <c r="A955" s="26" t="s">
        <v>1578</v>
      </c>
      <c r="B955" s="26" t="s">
        <v>1574</v>
      </c>
      <c r="C955" s="27">
        <v>45990.0</v>
      </c>
      <c r="D955" s="27">
        <v>45990.0</v>
      </c>
      <c r="E955" s="26" t="s">
        <v>1121</v>
      </c>
      <c r="F955" s="26" t="s">
        <v>1200</v>
      </c>
    </row>
    <row r="956">
      <c r="A956" s="26" t="s">
        <v>1578</v>
      </c>
      <c r="B956" s="26" t="s">
        <v>1574</v>
      </c>
      <c r="C956" s="27">
        <v>45990.0</v>
      </c>
      <c r="D956" s="27">
        <v>45990.0</v>
      </c>
      <c r="E956" s="26" t="s">
        <v>1121</v>
      </c>
      <c r="F956" s="26" t="s">
        <v>1200</v>
      </c>
    </row>
    <row r="957">
      <c r="A957" s="26" t="s">
        <v>1578</v>
      </c>
      <c r="B957" s="26" t="s">
        <v>1574</v>
      </c>
      <c r="C957" s="27">
        <v>45990.0</v>
      </c>
      <c r="D957" s="27">
        <v>45990.0</v>
      </c>
      <c r="E957" s="26" t="s">
        <v>1121</v>
      </c>
      <c r="F957" s="26" t="s">
        <v>1200</v>
      </c>
    </row>
    <row r="958">
      <c r="A958" s="26" t="s">
        <v>1579</v>
      </c>
      <c r="B958" s="26" t="s">
        <v>444</v>
      </c>
      <c r="C958" s="27">
        <v>45990.0</v>
      </c>
      <c r="D958" s="27">
        <v>45990.0</v>
      </c>
      <c r="E958" s="26" t="s">
        <v>1121</v>
      </c>
      <c r="F958" s="26" t="s">
        <v>1200</v>
      </c>
    </row>
    <row r="959">
      <c r="A959" s="26" t="s">
        <v>1579</v>
      </c>
      <c r="B959" s="26" t="s">
        <v>444</v>
      </c>
      <c r="C959" s="27">
        <v>45990.0</v>
      </c>
      <c r="D959" s="27">
        <v>45990.0</v>
      </c>
      <c r="E959" s="26" t="s">
        <v>1121</v>
      </c>
      <c r="F959" s="26" t="s">
        <v>1200</v>
      </c>
    </row>
    <row r="960">
      <c r="A960" s="26" t="s">
        <v>1580</v>
      </c>
      <c r="B960" s="26" t="s">
        <v>546</v>
      </c>
      <c r="C960" s="27">
        <v>45990.0</v>
      </c>
      <c r="D960" s="27">
        <v>45990.0</v>
      </c>
      <c r="E960" s="26" t="s">
        <v>1121</v>
      </c>
      <c r="F960" s="26" t="s">
        <v>1200</v>
      </c>
    </row>
    <row r="961">
      <c r="A961" s="26" t="s">
        <v>1580</v>
      </c>
      <c r="B961" s="26" t="s">
        <v>546</v>
      </c>
      <c r="C961" s="27">
        <v>45990.0</v>
      </c>
      <c r="D961" s="27">
        <v>45990.0</v>
      </c>
      <c r="E961" s="26" t="s">
        <v>1121</v>
      </c>
      <c r="F961" s="26" t="s">
        <v>1200</v>
      </c>
    </row>
    <row r="962">
      <c r="A962" s="26" t="s">
        <v>1580</v>
      </c>
      <c r="B962" s="26" t="s">
        <v>546</v>
      </c>
      <c r="C962" s="27">
        <v>45990.0</v>
      </c>
      <c r="D962" s="27">
        <v>45990.0</v>
      </c>
      <c r="E962" s="26" t="s">
        <v>1121</v>
      </c>
      <c r="F962" s="26" t="s">
        <v>1200</v>
      </c>
    </row>
    <row r="963">
      <c r="A963" s="26" t="s">
        <v>1581</v>
      </c>
      <c r="B963" s="26" t="s">
        <v>432</v>
      </c>
      <c r="C963" s="27">
        <v>45989.0</v>
      </c>
      <c r="D963" s="27">
        <v>45989.0</v>
      </c>
      <c r="E963" s="26" t="s">
        <v>1121</v>
      </c>
      <c r="F963" s="26" t="s">
        <v>1200</v>
      </c>
    </row>
    <row r="964">
      <c r="A964" s="26" t="s">
        <v>1582</v>
      </c>
      <c r="B964" s="26" t="s">
        <v>639</v>
      </c>
      <c r="C964" s="27">
        <v>45988.0</v>
      </c>
      <c r="D964" s="27">
        <v>45988.0</v>
      </c>
      <c r="E964" s="26" t="s">
        <v>1121</v>
      </c>
      <c r="F964" s="26" t="s">
        <v>1200</v>
      </c>
    </row>
    <row r="965">
      <c r="A965" s="26" t="s">
        <v>1583</v>
      </c>
      <c r="B965" s="26" t="s">
        <v>739</v>
      </c>
      <c r="C965" s="27">
        <v>45986.0</v>
      </c>
      <c r="D965" s="27">
        <v>45986.0</v>
      </c>
      <c r="E965" s="26" t="s">
        <v>1121</v>
      </c>
      <c r="F965" s="26" t="s">
        <v>1200</v>
      </c>
    </row>
    <row r="966">
      <c r="A966" s="26" t="s">
        <v>1584</v>
      </c>
      <c r="B966" s="26" t="s">
        <v>435</v>
      </c>
      <c r="C966" s="27">
        <v>45986.0</v>
      </c>
      <c r="D966" s="27">
        <v>45986.0</v>
      </c>
      <c r="E966" s="26" t="s">
        <v>1121</v>
      </c>
      <c r="F966" s="26" t="s">
        <v>1200</v>
      </c>
    </row>
    <row r="967">
      <c r="A967" s="26" t="s">
        <v>1585</v>
      </c>
      <c r="B967" s="26" t="s">
        <v>546</v>
      </c>
      <c r="C967" s="27">
        <v>45985.0</v>
      </c>
      <c r="D967" s="27">
        <v>45985.0</v>
      </c>
      <c r="E967" s="26" t="s">
        <v>1121</v>
      </c>
      <c r="F967" s="26" t="s">
        <v>1200</v>
      </c>
    </row>
    <row r="968">
      <c r="A968" s="26" t="s">
        <v>1585</v>
      </c>
      <c r="B968" s="26" t="s">
        <v>546</v>
      </c>
      <c r="C968" s="27">
        <v>45985.0</v>
      </c>
      <c r="D968" s="27">
        <v>45985.0</v>
      </c>
      <c r="E968" s="26" t="s">
        <v>1121</v>
      </c>
      <c r="F968" s="26" t="s">
        <v>1200</v>
      </c>
    </row>
    <row r="969">
      <c r="A969" s="26" t="s">
        <v>1585</v>
      </c>
      <c r="B969" s="26" t="s">
        <v>546</v>
      </c>
      <c r="C969" s="27">
        <v>45985.0</v>
      </c>
      <c r="D969" s="27">
        <v>45985.0</v>
      </c>
      <c r="E969" s="26" t="s">
        <v>1121</v>
      </c>
      <c r="F969" s="26" t="s">
        <v>1200</v>
      </c>
    </row>
    <row r="970">
      <c r="A970" s="26" t="s">
        <v>1585</v>
      </c>
      <c r="B970" s="26" t="s">
        <v>546</v>
      </c>
      <c r="C970" s="27">
        <v>45985.0</v>
      </c>
      <c r="D970" s="27">
        <v>45985.0</v>
      </c>
      <c r="E970" s="26" t="s">
        <v>1121</v>
      </c>
      <c r="F970" s="26" t="s">
        <v>1200</v>
      </c>
    </row>
    <row r="971">
      <c r="A971" s="26" t="s">
        <v>1586</v>
      </c>
      <c r="B971" s="26" t="s">
        <v>1515</v>
      </c>
      <c r="C971" s="27">
        <v>45985.0</v>
      </c>
      <c r="D971" s="27">
        <v>45985.0</v>
      </c>
      <c r="E971" s="26" t="s">
        <v>1121</v>
      </c>
      <c r="F971" s="26" t="s">
        <v>1200</v>
      </c>
    </row>
    <row r="972">
      <c r="A972" s="26" t="s">
        <v>1587</v>
      </c>
      <c r="B972" s="26" t="s">
        <v>497</v>
      </c>
      <c r="C972" s="27">
        <v>45985.0</v>
      </c>
      <c r="D972" s="27">
        <v>45985.0</v>
      </c>
      <c r="E972" s="26" t="s">
        <v>1121</v>
      </c>
      <c r="F972" s="26" t="s">
        <v>1200</v>
      </c>
    </row>
    <row r="973">
      <c r="A973" s="26" t="s">
        <v>1588</v>
      </c>
      <c r="B973" s="26" t="s">
        <v>505</v>
      </c>
      <c r="C973" s="27">
        <v>45985.0</v>
      </c>
      <c r="D973" s="27">
        <v>45985.0</v>
      </c>
      <c r="E973" s="26" t="s">
        <v>1121</v>
      </c>
      <c r="F973" s="26" t="s">
        <v>1200</v>
      </c>
    </row>
    <row r="974">
      <c r="A974" s="26" t="s">
        <v>1589</v>
      </c>
      <c r="B974" s="26" t="s">
        <v>444</v>
      </c>
      <c r="C974" s="27">
        <v>45985.0</v>
      </c>
      <c r="D974" s="27">
        <v>45985.0</v>
      </c>
      <c r="E974" s="26" t="s">
        <v>1121</v>
      </c>
      <c r="F974" s="26" t="s">
        <v>1200</v>
      </c>
    </row>
    <row r="975">
      <c r="A975" s="26" t="s">
        <v>1590</v>
      </c>
      <c r="B975" s="26" t="s">
        <v>512</v>
      </c>
      <c r="C975" s="27">
        <v>45983.0</v>
      </c>
      <c r="D975" s="27">
        <v>45983.0</v>
      </c>
      <c r="E975" s="26" t="s">
        <v>1121</v>
      </c>
      <c r="F975" s="26" t="s">
        <v>1200</v>
      </c>
    </row>
    <row r="976">
      <c r="A976" s="26" t="s">
        <v>1590</v>
      </c>
      <c r="B976" s="26" t="s">
        <v>512</v>
      </c>
      <c r="C976" s="27">
        <v>45983.0</v>
      </c>
      <c r="D976" s="27">
        <v>45983.0</v>
      </c>
      <c r="E976" s="26" t="s">
        <v>1121</v>
      </c>
      <c r="F976" s="26" t="s">
        <v>1200</v>
      </c>
    </row>
    <row r="977">
      <c r="A977" s="26" t="s">
        <v>1591</v>
      </c>
      <c r="B977" s="26" t="s">
        <v>1179</v>
      </c>
      <c r="C977" s="27">
        <v>45983.0</v>
      </c>
      <c r="D977" s="27">
        <v>45983.0</v>
      </c>
      <c r="E977" s="26" t="s">
        <v>1121</v>
      </c>
      <c r="F977" s="26" t="s">
        <v>1200</v>
      </c>
    </row>
    <row r="978">
      <c r="A978" s="26" t="s">
        <v>1591</v>
      </c>
      <c r="B978" s="26" t="s">
        <v>1179</v>
      </c>
      <c r="C978" s="27">
        <v>45983.0</v>
      </c>
      <c r="D978" s="27">
        <v>45983.0</v>
      </c>
      <c r="E978" s="26" t="s">
        <v>1121</v>
      </c>
      <c r="F978" s="26" t="s">
        <v>1200</v>
      </c>
    </row>
    <row r="979">
      <c r="A979" s="26" t="s">
        <v>1592</v>
      </c>
      <c r="B979" s="26" t="s">
        <v>516</v>
      </c>
      <c r="C979" s="27">
        <v>45983.0</v>
      </c>
      <c r="D979" s="27">
        <v>45983.0</v>
      </c>
      <c r="E979" s="26" t="s">
        <v>1121</v>
      </c>
      <c r="F979" s="26" t="s">
        <v>1200</v>
      </c>
    </row>
    <row r="980">
      <c r="A980" s="26" t="s">
        <v>1592</v>
      </c>
      <c r="B980" s="26" t="s">
        <v>516</v>
      </c>
      <c r="C980" s="27">
        <v>45983.0</v>
      </c>
      <c r="D980" s="27">
        <v>45983.0</v>
      </c>
      <c r="E980" s="26" t="s">
        <v>1121</v>
      </c>
      <c r="F980" s="26" t="s">
        <v>1200</v>
      </c>
    </row>
    <row r="981">
      <c r="A981" s="26" t="s">
        <v>1592</v>
      </c>
      <c r="B981" s="26" t="s">
        <v>516</v>
      </c>
      <c r="C981" s="27">
        <v>45983.0</v>
      </c>
      <c r="D981" s="27">
        <v>45983.0</v>
      </c>
      <c r="E981" s="26" t="s">
        <v>1121</v>
      </c>
      <c r="F981" s="26" t="s">
        <v>1200</v>
      </c>
    </row>
    <row r="982">
      <c r="A982" s="26" t="s">
        <v>1593</v>
      </c>
      <c r="B982" s="26" t="s">
        <v>736</v>
      </c>
      <c r="C982" s="27">
        <v>45983.0</v>
      </c>
      <c r="D982" s="27">
        <v>45983.0</v>
      </c>
      <c r="E982" s="26" t="s">
        <v>1121</v>
      </c>
      <c r="F982" s="26" t="s">
        <v>1200</v>
      </c>
    </row>
    <row r="983">
      <c r="A983" s="26" t="s">
        <v>1593</v>
      </c>
      <c r="B983" s="26" t="s">
        <v>736</v>
      </c>
      <c r="C983" s="27">
        <v>45983.0</v>
      </c>
      <c r="D983" s="27">
        <v>45983.0</v>
      </c>
      <c r="E983" s="26" t="s">
        <v>1121</v>
      </c>
      <c r="F983" s="26" t="s">
        <v>1200</v>
      </c>
    </row>
    <row r="984">
      <c r="A984" s="26" t="s">
        <v>1593</v>
      </c>
      <c r="B984" s="26" t="s">
        <v>736</v>
      </c>
      <c r="C984" s="27">
        <v>45983.0</v>
      </c>
      <c r="D984" s="27">
        <v>45983.0</v>
      </c>
      <c r="E984" s="26" t="s">
        <v>1121</v>
      </c>
      <c r="F984" s="26" t="s">
        <v>1200</v>
      </c>
    </row>
    <row r="985">
      <c r="A985" s="26" t="s">
        <v>1593</v>
      </c>
      <c r="B985" s="26" t="s">
        <v>736</v>
      </c>
      <c r="C985" s="27">
        <v>45983.0</v>
      </c>
      <c r="D985" s="27">
        <v>45983.0</v>
      </c>
      <c r="E985" s="26" t="s">
        <v>1121</v>
      </c>
      <c r="F985" s="26" t="s">
        <v>1200</v>
      </c>
    </row>
    <row r="986">
      <c r="A986" s="26" t="s">
        <v>1593</v>
      </c>
      <c r="B986" s="26" t="s">
        <v>736</v>
      </c>
      <c r="C986" s="27">
        <v>45983.0</v>
      </c>
      <c r="D986" s="27">
        <v>45983.0</v>
      </c>
      <c r="E986" s="26" t="s">
        <v>1121</v>
      </c>
      <c r="F986" s="26" t="s">
        <v>1200</v>
      </c>
    </row>
    <row r="987">
      <c r="A987" s="26" t="s">
        <v>1593</v>
      </c>
      <c r="B987" s="26" t="s">
        <v>736</v>
      </c>
      <c r="C987" s="27">
        <v>45983.0</v>
      </c>
      <c r="D987" s="27">
        <v>45983.0</v>
      </c>
      <c r="E987" s="26" t="s">
        <v>1121</v>
      </c>
      <c r="F987" s="26" t="s">
        <v>1200</v>
      </c>
    </row>
    <row r="988">
      <c r="A988" s="26" t="s">
        <v>1593</v>
      </c>
      <c r="B988" s="26" t="s">
        <v>736</v>
      </c>
      <c r="C988" s="27">
        <v>45983.0</v>
      </c>
      <c r="D988" s="27">
        <v>45983.0</v>
      </c>
      <c r="E988" s="26" t="s">
        <v>1121</v>
      </c>
      <c r="F988" s="26" t="s">
        <v>1200</v>
      </c>
    </row>
    <row r="989">
      <c r="A989" s="26" t="s">
        <v>1593</v>
      </c>
      <c r="B989" s="26" t="s">
        <v>736</v>
      </c>
      <c r="C989" s="27">
        <v>45983.0</v>
      </c>
      <c r="D989" s="27">
        <v>45983.0</v>
      </c>
      <c r="E989" s="26" t="s">
        <v>1121</v>
      </c>
      <c r="F989" s="26" t="s">
        <v>1200</v>
      </c>
    </row>
    <row r="990">
      <c r="A990" s="26" t="s">
        <v>1593</v>
      </c>
      <c r="B990" s="26" t="s">
        <v>736</v>
      </c>
      <c r="C990" s="27">
        <v>45983.0</v>
      </c>
      <c r="D990" s="27">
        <v>45983.0</v>
      </c>
      <c r="E990" s="26" t="s">
        <v>1121</v>
      </c>
      <c r="F990" s="26" t="s">
        <v>1200</v>
      </c>
    </row>
    <row r="991">
      <c r="A991" s="26" t="s">
        <v>1594</v>
      </c>
      <c r="B991" s="26" t="s">
        <v>439</v>
      </c>
      <c r="C991" s="27">
        <v>45982.0</v>
      </c>
      <c r="D991" s="27">
        <v>45982.0</v>
      </c>
      <c r="E991" s="26" t="s">
        <v>1121</v>
      </c>
      <c r="F991" s="26" t="s">
        <v>1200</v>
      </c>
    </row>
    <row r="992">
      <c r="A992" s="26" t="s">
        <v>1595</v>
      </c>
      <c r="B992" s="26" t="s">
        <v>478</v>
      </c>
      <c r="C992" s="27">
        <v>45982.0</v>
      </c>
      <c r="D992" s="27">
        <v>45982.0</v>
      </c>
      <c r="E992" s="26" t="s">
        <v>1121</v>
      </c>
      <c r="F992" s="26" t="s">
        <v>1200</v>
      </c>
    </row>
    <row r="993">
      <c r="A993" s="26" t="s">
        <v>1596</v>
      </c>
      <c r="B993" s="26" t="s">
        <v>546</v>
      </c>
      <c r="C993" s="27">
        <v>45981.0</v>
      </c>
      <c r="D993" s="27">
        <v>45981.0</v>
      </c>
      <c r="E993" s="26" t="s">
        <v>1121</v>
      </c>
      <c r="F993" s="26" t="s">
        <v>1200</v>
      </c>
    </row>
    <row r="994">
      <c r="A994" s="26" t="s">
        <v>1596</v>
      </c>
      <c r="B994" s="26" t="s">
        <v>546</v>
      </c>
      <c r="C994" s="27">
        <v>45981.0</v>
      </c>
      <c r="D994" s="27">
        <v>45981.0</v>
      </c>
      <c r="E994" s="26" t="s">
        <v>1121</v>
      </c>
      <c r="F994" s="26" t="s">
        <v>1200</v>
      </c>
    </row>
    <row r="995">
      <c r="A995" s="26" t="s">
        <v>1596</v>
      </c>
      <c r="B995" s="26" t="s">
        <v>546</v>
      </c>
      <c r="C995" s="27">
        <v>45981.0</v>
      </c>
      <c r="D995" s="27">
        <v>45981.0</v>
      </c>
      <c r="E995" s="26" t="s">
        <v>1121</v>
      </c>
      <c r="F995" s="26" t="s">
        <v>1200</v>
      </c>
    </row>
    <row r="996">
      <c r="A996" s="26" t="s">
        <v>1597</v>
      </c>
      <c r="B996" s="26" t="s">
        <v>1598</v>
      </c>
      <c r="C996" s="27">
        <v>45981.0</v>
      </c>
      <c r="D996" s="27">
        <v>45981.0</v>
      </c>
      <c r="E996" s="26" t="s">
        <v>1121</v>
      </c>
      <c r="F996" s="26" t="s">
        <v>1200</v>
      </c>
    </row>
    <row r="997">
      <c r="A997" s="26" t="s">
        <v>1599</v>
      </c>
      <c r="B997" s="26" t="s">
        <v>428</v>
      </c>
      <c r="C997" s="27">
        <v>45979.0</v>
      </c>
      <c r="D997" s="27">
        <v>45979.0</v>
      </c>
      <c r="E997" s="26" t="s">
        <v>1121</v>
      </c>
      <c r="F997" s="26" t="s">
        <v>1200</v>
      </c>
    </row>
    <row r="998">
      <c r="A998" s="26" t="s">
        <v>1600</v>
      </c>
      <c r="B998" s="26" t="s">
        <v>444</v>
      </c>
      <c r="C998" s="27">
        <v>45978.0</v>
      </c>
      <c r="D998" s="27">
        <v>45978.0</v>
      </c>
      <c r="E998" s="26" t="s">
        <v>1121</v>
      </c>
      <c r="F998" s="26" t="s">
        <v>1200</v>
      </c>
    </row>
    <row r="999">
      <c r="A999" s="26" t="s">
        <v>1601</v>
      </c>
      <c r="B999" s="26" t="s">
        <v>383</v>
      </c>
      <c r="C999" s="27">
        <v>45978.0</v>
      </c>
      <c r="D999" s="27">
        <v>45978.0</v>
      </c>
      <c r="E999" s="26" t="s">
        <v>1121</v>
      </c>
      <c r="F999" s="26" t="s">
        <v>1200</v>
      </c>
    </row>
    <row r="1000">
      <c r="A1000" s="26" t="s">
        <v>1601</v>
      </c>
      <c r="B1000" s="26" t="s">
        <v>383</v>
      </c>
      <c r="C1000" s="27">
        <v>45978.0</v>
      </c>
      <c r="D1000" s="27">
        <v>45978.0</v>
      </c>
      <c r="E1000" s="26" t="s">
        <v>1121</v>
      </c>
      <c r="F1000" s="26" t="s">
        <v>1200</v>
      </c>
    </row>
    <row r="1001">
      <c r="A1001" s="26" t="s">
        <v>1602</v>
      </c>
      <c r="B1001" s="26" t="s">
        <v>512</v>
      </c>
      <c r="C1001" s="27">
        <v>45978.0</v>
      </c>
      <c r="D1001" s="27">
        <v>45978.0</v>
      </c>
      <c r="E1001" s="26" t="s">
        <v>1121</v>
      </c>
      <c r="F1001" s="26" t="s">
        <v>1200</v>
      </c>
    </row>
    <row r="1002">
      <c r="A1002" s="26" t="s">
        <v>1603</v>
      </c>
      <c r="B1002" s="26" t="s">
        <v>786</v>
      </c>
      <c r="C1002" s="27">
        <v>45978.0</v>
      </c>
      <c r="D1002" s="27">
        <v>45978.0</v>
      </c>
      <c r="E1002" s="26" t="s">
        <v>1121</v>
      </c>
      <c r="F1002" s="26" t="s">
        <v>1200</v>
      </c>
    </row>
    <row r="1003">
      <c r="A1003" s="26" t="s">
        <v>1603</v>
      </c>
      <c r="B1003" s="26" t="s">
        <v>786</v>
      </c>
      <c r="C1003" s="27">
        <v>45978.0</v>
      </c>
      <c r="D1003" s="27">
        <v>45978.0</v>
      </c>
      <c r="E1003" s="26" t="s">
        <v>1121</v>
      </c>
      <c r="F1003" s="26" t="s">
        <v>1200</v>
      </c>
    </row>
    <row r="1004">
      <c r="A1004" s="26" t="s">
        <v>1603</v>
      </c>
      <c r="B1004" s="26" t="s">
        <v>786</v>
      </c>
      <c r="C1004" s="27">
        <v>45978.0</v>
      </c>
      <c r="D1004" s="27">
        <v>45978.0</v>
      </c>
      <c r="E1004" s="26" t="s">
        <v>1121</v>
      </c>
      <c r="F1004" s="26" t="s">
        <v>1200</v>
      </c>
    </row>
    <row r="1005">
      <c r="A1005" s="26" t="s">
        <v>1603</v>
      </c>
      <c r="B1005" s="26" t="s">
        <v>786</v>
      </c>
      <c r="C1005" s="27">
        <v>45978.0</v>
      </c>
      <c r="D1005" s="27">
        <v>45978.0</v>
      </c>
      <c r="E1005" s="26" t="s">
        <v>1121</v>
      </c>
      <c r="F1005" s="26" t="s">
        <v>1200</v>
      </c>
    </row>
    <row r="1006">
      <c r="A1006" s="26" t="s">
        <v>1604</v>
      </c>
      <c r="B1006" s="26" t="s">
        <v>546</v>
      </c>
      <c r="C1006" s="27">
        <v>45978.0</v>
      </c>
      <c r="D1006" s="27">
        <v>45978.0</v>
      </c>
      <c r="E1006" s="26" t="s">
        <v>1121</v>
      </c>
      <c r="F1006" s="26" t="s">
        <v>1200</v>
      </c>
    </row>
    <row r="1007">
      <c r="A1007" s="26" t="s">
        <v>1604</v>
      </c>
      <c r="B1007" s="26" t="s">
        <v>546</v>
      </c>
      <c r="C1007" s="27">
        <v>45978.0</v>
      </c>
      <c r="D1007" s="27">
        <v>45978.0</v>
      </c>
      <c r="E1007" s="26" t="s">
        <v>1121</v>
      </c>
      <c r="F1007" s="26" t="s">
        <v>1200</v>
      </c>
    </row>
    <row r="1008">
      <c r="A1008" s="26" t="s">
        <v>1605</v>
      </c>
      <c r="B1008" s="26" t="s">
        <v>467</v>
      </c>
      <c r="C1008" s="27">
        <v>45978.0</v>
      </c>
      <c r="D1008" s="27">
        <v>45978.0</v>
      </c>
      <c r="E1008" s="26" t="s">
        <v>1121</v>
      </c>
      <c r="F1008" s="26" t="s">
        <v>1200</v>
      </c>
    </row>
    <row r="1009">
      <c r="A1009" s="26" t="s">
        <v>1605</v>
      </c>
      <c r="B1009" s="26" t="s">
        <v>467</v>
      </c>
      <c r="C1009" s="27">
        <v>45978.0</v>
      </c>
      <c r="D1009" s="27">
        <v>45978.0</v>
      </c>
      <c r="E1009" s="26" t="s">
        <v>1121</v>
      </c>
      <c r="F1009" s="26" t="s">
        <v>1200</v>
      </c>
    </row>
    <row r="1010">
      <c r="A1010" s="26" t="s">
        <v>1606</v>
      </c>
      <c r="B1010" s="26" t="s">
        <v>1308</v>
      </c>
      <c r="C1010" s="27">
        <v>45975.0</v>
      </c>
      <c r="D1010" s="27">
        <v>45975.0</v>
      </c>
      <c r="E1010" s="26" t="s">
        <v>1121</v>
      </c>
      <c r="F1010" s="26" t="s">
        <v>1200</v>
      </c>
    </row>
    <row r="1011">
      <c r="A1011" s="26" t="s">
        <v>1606</v>
      </c>
      <c r="B1011" s="26" t="s">
        <v>1308</v>
      </c>
      <c r="C1011" s="27">
        <v>45975.0</v>
      </c>
      <c r="D1011" s="27">
        <v>45975.0</v>
      </c>
      <c r="E1011" s="26" t="s">
        <v>1121</v>
      </c>
      <c r="F1011" s="26" t="s">
        <v>1200</v>
      </c>
    </row>
    <row r="1012">
      <c r="A1012" s="26" t="s">
        <v>1606</v>
      </c>
      <c r="B1012" s="26" t="s">
        <v>1308</v>
      </c>
      <c r="C1012" s="27">
        <v>45975.0</v>
      </c>
      <c r="D1012" s="27">
        <v>45975.0</v>
      </c>
      <c r="E1012" s="26" t="s">
        <v>1121</v>
      </c>
      <c r="F1012" s="26" t="s">
        <v>1200</v>
      </c>
    </row>
    <row r="1013">
      <c r="A1013" s="26" t="s">
        <v>1607</v>
      </c>
      <c r="B1013" s="26" t="s">
        <v>739</v>
      </c>
      <c r="C1013" s="27">
        <v>45975.0</v>
      </c>
      <c r="D1013" s="27">
        <v>45975.0</v>
      </c>
      <c r="E1013" s="26" t="s">
        <v>1121</v>
      </c>
      <c r="F1013" s="26" t="s">
        <v>1200</v>
      </c>
    </row>
    <row r="1014">
      <c r="A1014" s="26" t="s">
        <v>1608</v>
      </c>
      <c r="B1014" s="26" t="s">
        <v>546</v>
      </c>
      <c r="C1014" s="27">
        <v>45975.0</v>
      </c>
      <c r="D1014" s="27">
        <v>45975.0</v>
      </c>
      <c r="E1014" s="26" t="s">
        <v>1121</v>
      </c>
      <c r="F1014" s="26" t="s">
        <v>1200</v>
      </c>
    </row>
    <row r="1015">
      <c r="A1015" s="26" t="s">
        <v>1609</v>
      </c>
      <c r="B1015" s="26" t="s">
        <v>461</v>
      </c>
      <c r="C1015" s="27">
        <v>45975.0</v>
      </c>
      <c r="D1015" s="27">
        <v>45975.0</v>
      </c>
      <c r="E1015" s="26" t="s">
        <v>1121</v>
      </c>
      <c r="F1015" s="26" t="s">
        <v>1200</v>
      </c>
    </row>
    <row r="1016">
      <c r="A1016" s="26" t="s">
        <v>1610</v>
      </c>
      <c r="B1016" s="26" t="s">
        <v>432</v>
      </c>
      <c r="C1016" s="27">
        <v>45975.0</v>
      </c>
      <c r="D1016" s="27">
        <v>45975.0</v>
      </c>
      <c r="E1016" s="26" t="s">
        <v>1121</v>
      </c>
      <c r="F1016" s="26" t="s">
        <v>1200</v>
      </c>
    </row>
    <row r="1017">
      <c r="A1017" s="26" t="s">
        <v>1610</v>
      </c>
      <c r="B1017" s="26" t="s">
        <v>432</v>
      </c>
      <c r="C1017" s="27">
        <v>45975.0</v>
      </c>
      <c r="D1017" s="27">
        <v>45975.0</v>
      </c>
      <c r="E1017" s="26" t="s">
        <v>1121</v>
      </c>
      <c r="F1017" s="26" t="s">
        <v>1200</v>
      </c>
    </row>
    <row r="1018">
      <c r="A1018" s="26" t="s">
        <v>1611</v>
      </c>
      <c r="B1018" s="26" t="s">
        <v>713</v>
      </c>
      <c r="C1018" s="27">
        <v>45974.0</v>
      </c>
      <c r="D1018" s="27">
        <v>45974.0</v>
      </c>
      <c r="E1018" s="26" t="s">
        <v>1121</v>
      </c>
      <c r="F1018" s="26" t="s">
        <v>1200</v>
      </c>
    </row>
    <row r="1019">
      <c r="A1019" s="26" t="s">
        <v>1611</v>
      </c>
      <c r="B1019" s="26" t="s">
        <v>713</v>
      </c>
      <c r="C1019" s="27">
        <v>45974.0</v>
      </c>
      <c r="D1019" s="27">
        <v>45974.0</v>
      </c>
      <c r="E1019" s="26" t="s">
        <v>1121</v>
      </c>
      <c r="F1019" s="26" t="s">
        <v>1200</v>
      </c>
    </row>
    <row r="1020">
      <c r="A1020" s="26" t="s">
        <v>1611</v>
      </c>
      <c r="B1020" s="26" t="s">
        <v>713</v>
      </c>
      <c r="C1020" s="27">
        <v>45974.0</v>
      </c>
      <c r="D1020" s="27">
        <v>45974.0</v>
      </c>
      <c r="E1020" s="26" t="s">
        <v>1121</v>
      </c>
      <c r="F1020" s="26" t="s">
        <v>1200</v>
      </c>
    </row>
    <row r="1021">
      <c r="A1021" s="26" t="s">
        <v>1612</v>
      </c>
      <c r="B1021" s="26" t="s">
        <v>624</v>
      </c>
      <c r="C1021" s="27">
        <v>45974.0</v>
      </c>
      <c r="D1021" s="27">
        <v>45974.0</v>
      </c>
      <c r="E1021" s="26" t="s">
        <v>1121</v>
      </c>
      <c r="F1021" s="26" t="s">
        <v>1200</v>
      </c>
    </row>
    <row r="1022">
      <c r="A1022" s="26" t="s">
        <v>1612</v>
      </c>
      <c r="B1022" s="26" t="s">
        <v>624</v>
      </c>
      <c r="C1022" s="27">
        <v>45974.0</v>
      </c>
      <c r="D1022" s="27">
        <v>45974.0</v>
      </c>
      <c r="E1022" s="26" t="s">
        <v>1121</v>
      </c>
      <c r="F1022" s="26" t="s">
        <v>1200</v>
      </c>
    </row>
    <row r="1023">
      <c r="A1023" s="26" t="s">
        <v>1613</v>
      </c>
      <c r="B1023" s="26" t="s">
        <v>512</v>
      </c>
      <c r="C1023" s="27">
        <v>45973.0</v>
      </c>
      <c r="D1023" s="27">
        <v>45973.0</v>
      </c>
      <c r="E1023" s="26" t="s">
        <v>1121</v>
      </c>
      <c r="F1023" s="26" t="s">
        <v>1200</v>
      </c>
    </row>
    <row r="1024">
      <c r="A1024" s="26" t="s">
        <v>1614</v>
      </c>
      <c r="B1024" s="26" t="s">
        <v>546</v>
      </c>
      <c r="C1024" s="27">
        <v>45973.0</v>
      </c>
      <c r="D1024" s="27">
        <v>45973.0</v>
      </c>
      <c r="E1024" s="26" t="s">
        <v>1121</v>
      </c>
      <c r="F1024" s="26" t="s">
        <v>1200</v>
      </c>
    </row>
    <row r="1025">
      <c r="A1025" s="26" t="s">
        <v>1615</v>
      </c>
      <c r="B1025" s="26" t="s">
        <v>745</v>
      </c>
      <c r="C1025" s="27">
        <v>45971.0</v>
      </c>
      <c r="D1025" s="27">
        <v>45971.0</v>
      </c>
      <c r="E1025" s="26" t="s">
        <v>1121</v>
      </c>
      <c r="F1025" s="26" t="s">
        <v>1200</v>
      </c>
    </row>
    <row r="1026">
      <c r="A1026" s="26" t="s">
        <v>1615</v>
      </c>
      <c r="B1026" s="26" t="s">
        <v>745</v>
      </c>
      <c r="C1026" s="27">
        <v>45971.0</v>
      </c>
      <c r="D1026" s="27">
        <v>45971.0</v>
      </c>
      <c r="E1026" s="26" t="s">
        <v>1121</v>
      </c>
      <c r="F1026" s="26" t="s">
        <v>1200</v>
      </c>
    </row>
    <row r="1027">
      <c r="A1027" s="26" t="s">
        <v>1615</v>
      </c>
      <c r="B1027" s="26" t="s">
        <v>745</v>
      </c>
      <c r="C1027" s="27">
        <v>45971.0</v>
      </c>
      <c r="D1027" s="27">
        <v>45971.0</v>
      </c>
      <c r="E1027" s="26" t="s">
        <v>1121</v>
      </c>
      <c r="F1027" s="26" t="s">
        <v>1200</v>
      </c>
    </row>
    <row r="1028">
      <c r="A1028" s="26" t="s">
        <v>1615</v>
      </c>
      <c r="B1028" s="26" t="s">
        <v>745</v>
      </c>
      <c r="C1028" s="27">
        <v>45971.0</v>
      </c>
      <c r="D1028" s="27">
        <v>45971.0</v>
      </c>
      <c r="E1028" s="26" t="s">
        <v>1121</v>
      </c>
      <c r="F1028" s="26" t="s">
        <v>1200</v>
      </c>
    </row>
    <row r="1029">
      <c r="A1029" s="26" t="s">
        <v>1615</v>
      </c>
      <c r="B1029" s="26" t="s">
        <v>745</v>
      </c>
      <c r="C1029" s="27">
        <v>45971.0</v>
      </c>
      <c r="D1029" s="27">
        <v>45971.0</v>
      </c>
      <c r="E1029" s="26" t="s">
        <v>1121</v>
      </c>
      <c r="F1029" s="26" t="s">
        <v>1200</v>
      </c>
    </row>
    <row r="1030">
      <c r="A1030" s="26" t="s">
        <v>1615</v>
      </c>
      <c r="B1030" s="26" t="s">
        <v>745</v>
      </c>
      <c r="C1030" s="27">
        <v>45971.0</v>
      </c>
      <c r="D1030" s="27">
        <v>45971.0</v>
      </c>
      <c r="E1030" s="26" t="s">
        <v>1121</v>
      </c>
      <c r="F1030" s="26" t="s">
        <v>1200</v>
      </c>
    </row>
    <row r="1031">
      <c r="A1031" s="26" t="s">
        <v>1615</v>
      </c>
      <c r="B1031" s="26" t="s">
        <v>745</v>
      </c>
      <c r="C1031" s="27">
        <v>45971.0</v>
      </c>
      <c r="D1031" s="27">
        <v>45971.0</v>
      </c>
      <c r="E1031" s="26" t="s">
        <v>1121</v>
      </c>
      <c r="F1031" s="26" t="s">
        <v>1200</v>
      </c>
    </row>
    <row r="1032">
      <c r="A1032" s="26" t="s">
        <v>1615</v>
      </c>
      <c r="B1032" s="26" t="s">
        <v>745</v>
      </c>
      <c r="C1032" s="27">
        <v>45971.0</v>
      </c>
      <c r="D1032" s="27">
        <v>45971.0</v>
      </c>
      <c r="E1032" s="26" t="s">
        <v>1121</v>
      </c>
      <c r="F1032" s="26" t="s">
        <v>1200</v>
      </c>
    </row>
    <row r="1033">
      <c r="A1033" s="26" t="s">
        <v>1615</v>
      </c>
      <c r="B1033" s="26" t="s">
        <v>745</v>
      </c>
      <c r="C1033" s="27">
        <v>45971.0</v>
      </c>
      <c r="D1033" s="27">
        <v>45971.0</v>
      </c>
      <c r="E1033" s="26" t="s">
        <v>1121</v>
      </c>
      <c r="F1033" s="26" t="s">
        <v>1200</v>
      </c>
    </row>
    <row r="1034">
      <c r="A1034" s="26" t="s">
        <v>1615</v>
      </c>
      <c r="B1034" s="26" t="s">
        <v>745</v>
      </c>
      <c r="C1034" s="27">
        <v>45971.0</v>
      </c>
      <c r="D1034" s="27">
        <v>45971.0</v>
      </c>
      <c r="E1034" s="26" t="s">
        <v>1121</v>
      </c>
      <c r="F1034" s="26" t="s">
        <v>1200</v>
      </c>
    </row>
    <row r="1035">
      <c r="A1035" s="26" t="s">
        <v>1615</v>
      </c>
      <c r="B1035" s="26" t="s">
        <v>745</v>
      </c>
      <c r="C1035" s="27">
        <v>45971.0</v>
      </c>
      <c r="D1035" s="27">
        <v>45971.0</v>
      </c>
      <c r="E1035" s="26" t="s">
        <v>1121</v>
      </c>
      <c r="F1035" s="26" t="s">
        <v>1200</v>
      </c>
    </row>
    <row r="1036">
      <c r="A1036" s="26" t="s">
        <v>1615</v>
      </c>
      <c r="B1036" s="26" t="s">
        <v>745</v>
      </c>
      <c r="C1036" s="27">
        <v>45971.0</v>
      </c>
      <c r="D1036" s="27">
        <v>45971.0</v>
      </c>
      <c r="E1036" s="26" t="s">
        <v>1121</v>
      </c>
      <c r="F1036" s="26" t="s">
        <v>1200</v>
      </c>
    </row>
    <row r="1037">
      <c r="A1037" s="26" t="s">
        <v>1615</v>
      </c>
      <c r="B1037" s="26" t="s">
        <v>745</v>
      </c>
      <c r="C1037" s="27">
        <v>45971.0</v>
      </c>
      <c r="D1037" s="27">
        <v>45971.0</v>
      </c>
      <c r="E1037" s="26" t="s">
        <v>1121</v>
      </c>
      <c r="F1037" s="26" t="s">
        <v>1200</v>
      </c>
    </row>
    <row r="1038">
      <c r="A1038" s="26" t="s">
        <v>1615</v>
      </c>
      <c r="B1038" s="26" t="s">
        <v>745</v>
      </c>
      <c r="C1038" s="27">
        <v>45971.0</v>
      </c>
      <c r="D1038" s="27">
        <v>45971.0</v>
      </c>
      <c r="E1038" s="26" t="s">
        <v>1121</v>
      </c>
      <c r="F1038" s="26" t="s">
        <v>1200</v>
      </c>
    </row>
    <row r="1039">
      <c r="A1039" s="26" t="s">
        <v>1615</v>
      </c>
      <c r="B1039" s="26" t="s">
        <v>745</v>
      </c>
      <c r="C1039" s="27">
        <v>45971.0</v>
      </c>
      <c r="D1039" s="27">
        <v>45971.0</v>
      </c>
      <c r="E1039" s="26" t="s">
        <v>1121</v>
      </c>
      <c r="F1039" s="26" t="s">
        <v>1200</v>
      </c>
    </row>
    <row r="1040">
      <c r="A1040" s="26" t="s">
        <v>1615</v>
      </c>
      <c r="B1040" s="26" t="s">
        <v>745</v>
      </c>
      <c r="C1040" s="27">
        <v>45971.0</v>
      </c>
      <c r="D1040" s="27">
        <v>45971.0</v>
      </c>
      <c r="E1040" s="26" t="s">
        <v>1121</v>
      </c>
      <c r="F1040" s="26" t="s">
        <v>1200</v>
      </c>
    </row>
    <row r="1041">
      <c r="A1041" s="26" t="s">
        <v>1615</v>
      </c>
      <c r="B1041" s="26" t="s">
        <v>745</v>
      </c>
      <c r="C1041" s="27">
        <v>45971.0</v>
      </c>
      <c r="D1041" s="27">
        <v>45971.0</v>
      </c>
      <c r="E1041" s="26" t="s">
        <v>1121</v>
      </c>
      <c r="F1041" s="26" t="s">
        <v>1200</v>
      </c>
    </row>
    <row r="1042">
      <c r="A1042" s="26" t="s">
        <v>1615</v>
      </c>
      <c r="B1042" s="26" t="s">
        <v>745</v>
      </c>
      <c r="C1042" s="27">
        <v>45971.0</v>
      </c>
      <c r="D1042" s="27">
        <v>45971.0</v>
      </c>
      <c r="E1042" s="26" t="s">
        <v>1121</v>
      </c>
      <c r="F1042" s="26" t="s">
        <v>1200</v>
      </c>
    </row>
    <row r="1043">
      <c r="A1043" s="26" t="s">
        <v>1615</v>
      </c>
      <c r="B1043" s="26" t="s">
        <v>745</v>
      </c>
      <c r="C1043" s="27">
        <v>45971.0</v>
      </c>
      <c r="D1043" s="27">
        <v>45971.0</v>
      </c>
      <c r="E1043" s="26" t="s">
        <v>1121</v>
      </c>
      <c r="F1043" s="26" t="s">
        <v>1200</v>
      </c>
    </row>
    <row r="1044">
      <c r="A1044" s="26" t="s">
        <v>1615</v>
      </c>
      <c r="B1044" s="26" t="s">
        <v>745</v>
      </c>
      <c r="C1044" s="27">
        <v>45971.0</v>
      </c>
      <c r="D1044" s="27">
        <v>45971.0</v>
      </c>
      <c r="E1044" s="26" t="s">
        <v>1121</v>
      </c>
      <c r="F1044" s="26" t="s">
        <v>1200</v>
      </c>
    </row>
    <row r="1045">
      <c r="A1045" s="26" t="s">
        <v>1615</v>
      </c>
      <c r="B1045" s="26" t="s">
        <v>745</v>
      </c>
      <c r="C1045" s="27">
        <v>45971.0</v>
      </c>
      <c r="D1045" s="27">
        <v>45971.0</v>
      </c>
      <c r="E1045" s="26" t="s">
        <v>1121</v>
      </c>
      <c r="F1045" s="26" t="s">
        <v>1200</v>
      </c>
    </row>
    <row r="1046">
      <c r="A1046" s="26" t="s">
        <v>1615</v>
      </c>
      <c r="B1046" s="26" t="s">
        <v>745</v>
      </c>
      <c r="C1046" s="27">
        <v>45971.0</v>
      </c>
      <c r="D1046" s="27">
        <v>45971.0</v>
      </c>
      <c r="E1046" s="26" t="s">
        <v>1121</v>
      </c>
      <c r="F1046" s="26" t="s">
        <v>1200</v>
      </c>
    </row>
    <row r="1047">
      <c r="A1047" s="26" t="s">
        <v>1615</v>
      </c>
      <c r="B1047" s="26" t="s">
        <v>745</v>
      </c>
      <c r="C1047" s="27">
        <v>45971.0</v>
      </c>
      <c r="D1047" s="27">
        <v>45971.0</v>
      </c>
      <c r="E1047" s="26" t="s">
        <v>1121</v>
      </c>
      <c r="F1047" s="26" t="s">
        <v>1200</v>
      </c>
    </row>
    <row r="1048">
      <c r="A1048" s="26" t="s">
        <v>1615</v>
      </c>
      <c r="B1048" s="26" t="s">
        <v>745</v>
      </c>
      <c r="C1048" s="27">
        <v>45971.0</v>
      </c>
      <c r="D1048" s="27">
        <v>45971.0</v>
      </c>
      <c r="E1048" s="26" t="s">
        <v>1121</v>
      </c>
      <c r="F1048" s="26" t="s">
        <v>1200</v>
      </c>
    </row>
    <row r="1049">
      <c r="A1049" s="26" t="s">
        <v>1615</v>
      </c>
      <c r="B1049" s="26" t="s">
        <v>745</v>
      </c>
      <c r="C1049" s="27">
        <v>45971.0</v>
      </c>
      <c r="D1049" s="27">
        <v>45971.0</v>
      </c>
      <c r="E1049" s="26" t="s">
        <v>1121</v>
      </c>
      <c r="F1049" s="26" t="s">
        <v>1200</v>
      </c>
    </row>
    <row r="1050">
      <c r="A1050" s="26" t="s">
        <v>1615</v>
      </c>
      <c r="B1050" s="26" t="s">
        <v>745</v>
      </c>
      <c r="C1050" s="27">
        <v>45971.0</v>
      </c>
      <c r="D1050" s="27">
        <v>45971.0</v>
      </c>
      <c r="E1050" s="26" t="s">
        <v>1121</v>
      </c>
      <c r="F1050" s="26" t="s">
        <v>1200</v>
      </c>
    </row>
    <row r="1051">
      <c r="A1051" s="26" t="s">
        <v>1615</v>
      </c>
      <c r="B1051" s="26" t="s">
        <v>745</v>
      </c>
      <c r="C1051" s="27">
        <v>45971.0</v>
      </c>
      <c r="D1051" s="27">
        <v>45971.0</v>
      </c>
      <c r="E1051" s="26" t="s">
        <v>1121</v>
      </c>
      <c r="F1051" s="26" t="s">
        <v>1200</v>
      </c>
    </row>
    <row r="1052">
      <c r="A1052" s="26" t="s">
        <v>1616</v>
      </c>
      <c r="B1052" s="26" t="s">
        <v>546</v>
      </c>
      <c r="C1052" s="27">
        <v>45971.0</v>
      </c>
      <c r="D1052" s="27">
        <v>45971.0</v>
      </c>
      <c r="E1052" s="26" t="s">
        <v>1121</v>
      </c>
      <c r="F1052" s="26" t="s">
        <v>1200</v>
      </c>
    </row>
    <row r="1053">
      <c r="A1053" s="26" t="s">
        <v>1617</v>
      </c>
      <c r="B1053" s="26" t="s">
        <v>639</v>
      </c>
      <c r="C1053" s="27">
        <v>45971.0</v>
      </c>
      <c r="D1053" s="27">
        <v>45971.0</v>
      </c>
      <c r="E1053" s="26" t="s">
        <v>1121</v>
      </c>
      <c r="F1053" s="26" t="s">
        <v>1200</v>
      </c>
    </row>
    <row r="1054">
      <c r="A1054" s="26" t="s">
        <v>1618</v>
      </c>
      <c r="B1054" s="26" t="s">
        <v>483</v>
      </c>
      <c r="C1054" s="27">
        <v>45971.0</v>
      </c>
      <c r="D1054" s="27">
        <v>45971.0</v>
      </c>
      <c r="E1054" s="26" t="s">
        <v>1121</v>
      </c>
      <c r="F1054" s="26" t="s">
        <v>1200</v>
      </c>
    </row>
    <row r="1055">
      <c r="A1055" s="26" t="s">
        <v>1619</v>
      </c>
      <c r="B1055" s="26" t="s">
        <v>574</v>
      </c>
      <c r="C1055" s="27">
        <v>45971.0</v>
      </c>
      <c r="D1055" s="27">
        <v>45971.0</v>
      </c>
      <c r="E1055" s="26" t="s">
        <v>1121</v>
      </c>
      <c r="F1055" s="26" t="s">
        <v>1200</v>
      </c>
    </row>
    <row r="1056">
      <c r="A1056" s="26" t="s">
        <v>1620</v>
      </c>
      <c r="B1056" s="26" t="s">
        <v>595</v>
      </c>
      <c r="C1056" s="27">
        <v>45971.0</v>
      </c>
      <c r="D1056" s="27">
        <v>45971.0</v>
      </c>
      <c r="E1056" s="26" t="s">
        <v>1121</v>
      </c>
      <c r="F1056" s="26" t="s">
        <v>1200</v>
      </c>
    </row>
    <row r="1057">
      <c r="A1057" s="26" t="s">
        <v>1621</v>
      </c>
      <c r="B1057" s="26" t="s">
        <v>516</v>
      </c>
      <c r="C1057" s="27">
        <v>45971.0</v>
      </c>
      <c r="D1057" s="27">
        <v>45971.0</v>
      </c>
      <c r="E1057" s="26" t="s">
        <v>1121</v>
      </c>
      <c r="F1057" s="26" t="s">
        <v>1200</v>
      </c>
    </row>
    <row r="1058">
      <c r="A1058" s="26" t="s">
        <v>1622</v>
      </c>
      <c r="B1058" s="26" t="s">
        <v>542</v>
      </c>
      <c r="C1058" s="27">
        <v>45971.0</v>
      </c>
      <c r="D1058" s="27">
        <v>45971.0</v>
      </c>
      <c r="E1058" s="26" t="s">
        <v>1121</v>
      </c>
      <c r="F1058" s="26" t="s">
        <v>1200</v>
      </c>
    </row>
    <row r="1059">
      <c r="A1059" s="26" t="s">
        <v>1622</v>
      </c>
      <c r="B1059" s="26" t="s">
        <v>542</v>
      </c>
      <c r="C1059" s="27">
        <v>45971.0</v>
      </c>
      <c r="D1059" s="27">
        <v>45971.0</v>
      </c>
      <c r="E1059" s="26" t="s">
        <v>1121</v>
      </c>
      <c r="F1059" s="26" t="s">
        <v>1200</v>
      </c>
    </row>
    <row r="1060">
      <c r="A1060" s="26" t="s">
        <v>1623</v>
      </c>
      <c r="B1060" s="26" t="s">
        <v>634</v>
      </c>
      <c r="C1060" s="27">
        <v>45969.0</v>
      </c>
      <c r="D1060" s="27">
        <v>45969.0</v>
      </c>
      <c r="E1060" s="26" t="s">
        <v>1121</v>
      </c>
      <c r="F1060" s="26" t="s">
        <v>1200</v>
      </c>
    </row>
    <row r="1061">
      <c r="A1061" s="26" t="s">
        <v>1623</v>
      </c>
      <c r="B1061" s="26" t="s">
        <v>634</v>
      </c>
      <c r="C1061" s="27">
        <v>45969.0</v>
      </c>
      <c r="D1061" s="27">
        <v>45969.0</v>
      </c>
      <c r="E1061" s="26" t="s">
        <v>1121</v>
      </c>
      <c r="F1061" s="26" t="s">
        <v>1200</v>
      </c>
    </row>
    <row r="1062">
      <c r="A1062" s="26" t="s">
        <v>1624</v>
      </c>
      <c r="B1062" s="26" t="s">
        <v>546</v>
      </c>
      <c r="C1062" s="27">
        <v>45969.0</v>
      </c>
      <c r="D1062" s="27">
        <v>45969.0</v>
      </c>
      <c r="E1062" s="26" t="s">
        <v>1121</v>
      </c>
      <c r="F1062" s="26" t="s">
        <v>1200</v>
      </c>
    </row>
    <row r="1063">
      <c r="A1063" s="26" t="s">
        <v>1625</v>
      </c>
      <c r="B1063" s="26" t="s">
        <v>458</v>
      </c>
      <c r="C1063" s="27">
        <v>45969.0</v>
      </c>
      <c r="D1063" s="27">
        <v>45969.0</v>
      </c>
      <c r="E1063" s="26" t="s">
        <v>1121</v>
      </c>
      <c r="F1063" s="26" t="s">
        <v>1200</v>
      </c>
    </row>
    <row r="1064">
      <c r="A1064" s="26" t="s">
        <v>1626</v>
      </c>
      <c r="B1064" s="26" t="s">
        <v>467</v>
      </c>
      <c r="C1064" s="27">
        <v>45969.0</v>
      </c>
      <c r="D1064" s="27">
        <v>45969.0</v>
      </c>
      <c r="E1064" s="26" t="s">
        <v>1121</v>
      </c>
      <c r="F1064" s="26" t="s">
        <v>1200</v>
      </c>
    </row>
    <row r="1065">
      <c r="A1065" s="26" t="s">
        <v>1626</v>
      </c>
      <c r="B1065" s="26" t="s">
        <v>467</v>
      </c>
      <c r="C1065" s="27">
        <v>45969.0</v>
      </c>
      <c r="D1065" s="27">
        <v>45969.0</v>
      </c>
      <c r="E1065" s="26" t="s">
        <v>1121</v>
      </c>
      <c r="F1065" s="26" t="s">
        <v>1200</v>
      </c>
    </row>
    <row r="1066">
      <c r="A1066" s="26" t="s">
        <v>1627</v>
      </c>
      <c r="B1066" s="26" t="s">
        <v>444</v>
      </c>
      <c r="C1066" s="27">
        <v>45969.0</v>
      </c>
      <c r="D1066" s="27">
        <v>45969.0</v>
      </c>
      <c r="E1066" s="26" t="s">
        <v>1121</v>
      </c>
      <c r="F1066" s="26" t="s">
        <v>1200</v>
      </c>
    </row>
    <row r="1067">
      <c r="A1067" s="26" t="s">
        <v>1628</v>
      </c>
      <c r="B1067" s="26" t="s">
        <v>736</v>
      </c>
      <c r="C1067" s="27">
        <v>45969.0</v>
      </c>
      <c r="D1067" s="27">
        <v>45969.0</v>
      </c>
      <c r="E1067" s="26" t="s">
        <v>1121</v>
      </c>
      <c r="F1067" s="26" t="s">
        <v>1200</v>
      </c>
    </row>
    <row r="1068">
      <c r="A1068" s="26" t="s">
        <v>1628</v>
      </c>
      <c r="B1068" s="26" t="s">
        <v>736</v>
      </c>
      <c r="C1068" s="27">
        <v>45969.0</v>
      </c>
      <c r="D1068" s="27">
        <v>45969.0</v>
      </c>
      <c r="E1068" s="26" t="s">
        <v>1121</v>
      </c>
      <c r="F1068" s="26" t="s">
        <v>1200</v>
      </c>
    </row>
    <row r="1069">
      <c r="A1069" s="26" t="s">
        <v>1628</v>
      </c>
      <c r="B1069" s="26" t="s">
        <v>736</v>
      </c>
      <c r="C1069" s="27">
        <v>45969.0</v>
      </c>
      <c r="D1069" s="27">
        <v>45969.0</v>
      </c>
      <c r="E1069" s="26" t="s">
        <v>1121</v>
      </c>
      <c r="F1069" s="26" t="s">
        <v>1200</v>
      </c>
    </row>
    <row r="1070">
      <c r="A1070" s="26" t="s">
        <v>1628</v>
      </c>
      <c r="B1070" s="26" t="s">
        <v>736</v>
      </c>
      <c r="C1070" s="27">
        <v>45969.0</v>
      </c>
      <c r="D1070" s="27">
        <v>45969.0</v>
      </c>
      <c r="E1070" s="26" t="s">
        <v>1121</v>
      </c>
      <c r="F1070" s="26" t="s">
        <v>1200</v>
      </c>
    </row>
    <row r="1071">
      <c r="A1071" s="26" t="s">
        <v>1628</v>
      </c>
      <c r="B1071" s="26" t="s">
        <v>736</v>
      </c>
      <c r="C1071" s="27">
        <v>45969.0</v>
      </c>
      <c r="D1071" s="27">
        <v>45969.0</v>
      </c>
      <c r="E1071" s="26" t="s">
        <v>1121</v>
      </c>
      <c r="F1071" s="26" t="s">
        <v>1200</v>
      </c>
    </row>
    <row r="1072">
      <c r="A1072" s="26" t="s">
        <v>1628</v>
      </c>
      <c r="B1072" s="26" t="s">
        <v>736</v>
      </c>
      <c r="C1072" s="27">
        <v>45969.0</v>
      </c>
      <c r="D1072" s="27">
        <v>45969.0</v>
      </c>
      <c r="E1072" s="26" t="s">
        <v>1121</v>
      </c>
      <c r="F1072" s="26" t="s">
        <v>1200</v>
      </c>
    </row>
    <row r="1073">
      <c r="A1073" s="26" t="s">
        <v>1629</v>
      </c>
      <c r="B1073" s="26" t="s">
        <v>546</v>
      </c>
      <c r="C1073" s="27">
        <v>45968.0</v>
      </c>
      <c r="D1073" s="27">
        <v>45968.0</v>
      </c>
      <c r="E1073" s="26" t="s">
        <v>1121</v>
      </c>
      <c r="F1073" s="26" t="s">
        <v>1200</v>
      </c>
    </row>
    <row r="1074">
      <c r="A1074" s="26" t="s">
        <v>1629</v>
      </c>
      <c r="B1074" s="26" t="s">
        <v>546</v>
      </c>
      <c r="C1074" s="27">
        <v>45968.0</v>
      </c>
      <c r="D1074" s="27">
        <v>45968.0</v>
      </c>
      <c r="E1074" s="26" t="s">
        <v>1121</v>
      </c>
      <c r="F1074" s="26" t="s">
        <v>1200</v>
      </c>
    </row>
    <row r="1075">
      <c r="A1075" s="26" t="s">
        <v>1629</v>
      </c>
      <c r="B1075" s="26" t="s">
        <v>546</v>
      </c>
      <c r="C1075" s="27">
        <v>45968.0</v>
      </c>
      <c r="D1075" s="27">
        <v>45968.0</v>
      </c>
      <c r="E1075" s="26" t="s">
        <v>1121</v>
      </c>
      <c r="F1075" s="26" t="s">
        <v>1200</v>
      </c>
    </row>
    <row r="1076">
      <c r="A1076" s="26" t="s">
        <v>1630</v>
      </c>
      <c r="B1076" s="26" t="s">
        <v>483</v>
      </c>
      <c r="C1076" s="27">
        <v>45968.0</v>
      </c>
      <c r="D1076" s="27">
        <v>45968.0</v>
      </c>
      <c r="E1076" s="26" t="s">
        <v>1121</v>
      </c>
      <c r="F1076" s="26" t="s">
        <v>1200</v>
      </c>
    </row>
    <row r="1077">
      <c r="A1077" s="26" t="s">
        <v>1631</v>
      </c>
      <c r="B1077" s="26" t="s">
        <v>493</v>
      </c>
      <c r="C1077" s="27">
        <v>45968.0</v>
      </c>
      <c r="D1077" s="27">
        <v>45968.0</v>
      </c>
      <c r="E1077" s="26" t="s">
        <v>1121</v>
      </c>
      <c r="F1077" s="26" t="s">
        <v>1200</v>
      </c>
    </row>
    <row r="1078">
      <c r="A1078" s="26" t="s">
        <v>1632</v>
      </c>
      <c r="B1078" s="26" t="s">
        <v>467</v>
      </c>
      <c r="C1078" s="27">
        <v>45966.0</v>
      </c>
      <c r="D1078" s="27">
        <v>45966.0</v>
      </c>
      <c r="E1078" s="26" t="s">
        <v>1121</v>
      </c>
      <c r="F1078" s="26" t="s">
        <v>1200</v>
      </c>
    </row>
    <row r="1079">
      <c r="A1079" s="26" t="s">
        <v>1633</v>
      </c>
      <c r="B1079" s="26" t="s">
        <v>546</v>
      </c>
      <c r="C1079" s="27">
        <v>45965.0</v>
      </c>
      <c r="D1079" s="27">
        <v>45965.0</v>
      </c>
      <c r="E1079" s="26" t="s">
        <v>1121</v>
      </c>
      <c r="F1079" s="26" t="s">
        <v>1200</v>
      </c>
    </row>
    <row r="1080">
      <c r="A1080" s="26" t="s">
        <v>1634</v>
      </c>
      <c r="B1080" s="26" t="s">
        <v>428</v>
      </c>
      <c r="C1080" s="27">
        <v>45965.0</v>
      </c>
      <c r="D1080" s="27">
        <v>45965.0</v>
      </c>
      <c r="E1080" s="26" t="s">
        <v>1121</v>
      </c>
      <c r="F1080" s="26" t="s">
        <v>1200</v>
      </c>
    </row>
    <row r="1081">
      <c r="A1081" s="26" t="s">
        <v>1635</v>
      </c>
      <c r="B1081" s="26" t="s">
        <v>1636</v>
      </c>
      <c r="C1081" s="27">
        <v>45964.0</v>
      </c>
      <c r="D1081" s="27">
        <v>45964.0</v>
      </c>
      <c r="E1081" s="26" t="s">
        <v>1121</v>
      </c>
      <c r="F1081" s="26" t="s">
        <v>1200</v>
      </c>
    </row>
    <row r="1082">
      <c r="A1082" s="26" t="s">
        <v>1635</v>
      </c>
      <c r="B1082" s="26" t="s">
        <v>1636</v>
      </c>
      <c r="C1082" s="27">
        <v>45964.0</v>
      </c>
      <c r="D1082" s="27">
        <v>45964.0</v>
      </c>
      <c r="E1082" s="26" t="s">
        <v>1121</v>
      </c>
      <c r="F1082" s="26" t="s">
        <v>1200</v>
      </c>
    </row>
    <row r="1083">
      <c r="A1083" s="26" t="s">
        <v>1635</v>
      </c>
      <c r="B1083" s="26" t="s">
        <v>1636</v>
      </c>
      <c r="C1083" s="27">
        <v>45964.0</v>
      </c>
      <c r="D1083" s="27">
        <v>45964.0</v>
      </c>
      <c r="E1083" s="26" t="s">
        <v>1121</v>
      </c>
      <c r="F1083" s="26" t="s">
        <v>1200</v>
      </c>
    </row>
    <row r="1084">
      <c r="A1084" s="26" t="s">
        <v>1637</v>
      </c>
      <c r="B1084" s="26" t="s">
        <v>516</v>
      </c>
      <c r="C1084" s="27">
        <v>45964.0</v>
      </c>
      <c r="D1084" s="27">
        <v>45964.0</v>
      </c>
      <c r="E1084" s="26" t="s">
        <v>1121</v>
      </c>
      <c r="F1084" s="26" t="s">
        <v>1200</v>
      </c>
    </row>
    <row r="1085">
      <c r="A1085" s="26" t="s">
        <v>1638</v>
      </c>
      <c r="B1085" s="26" t="s">
        <v>688</v>
      </c>
      <c r="C1085" s="27">
        <v>45964.0</v>
      </c>
      <c r="D1085" s="27">
        <v>45964.0</v>
      </c>
      <c r="E1085" s="26" t="s">
        <v>1121</v>
      </c>
      <c r="F1085" s="26" t="s">
        <v>1200</v>
      </c>
    </row>
    <row r="1086">
      <c r="A1086" s="26" t="s">
        <v>1639</v>
      </c>
      <c r="B1086" s="26" t="s">
        <v>505</v>
      </c>
      <c r="C1086" s="27">
        <v>45964.0</v>
      </c>
      <c r="D1086" s="27">
        <v>45964.0</v>
      </c>
      <c r="E1086" s="26" t="s">
        <v>1121</v>
      </c>
      <c r="F1086" s="26" t="s">
        <v>1200</v>
      </c>
    </row>
    <row r="1087">
      <c r="A1087" s="26" t="s">
        <v>1640</v>
      </c>
      <c r="B1087" s="26" t="s">
        <v>444</v>
      </c>
      <c r="C1087" s="27">
        <v>45962.0</v>
      </c>
      <c r="D1087" s="27">
        <v>45962.0</v>
      </c>
      <c r="E1087" s="26" t="s">
        <v>1121</v>
      </c>
      <c r="F1087" s="26" t="s">
        <v>1200</v>
      </c>
    </row>
    <row r="1088">
      <c r="A1088" s="26" t="s">
        <v>1641</v>
      </c>
      <c r="B1088" s="26" t="s">
        <v>432</v>
      </c>
      <c r="C1088" s="27">
        <v>45961.0</v>
      </c>
      <c r="D1088" s="27">
        <v>45961.0</v>
      </c>
      <c r="E1088" s="26" t="s">
        <v>1121</v>
      </c>
      <c r="F1088" s="26" t="s">
        <v>1200</v>
      </c>
    </row>
    <row r="1089">
      <c r="A1089" s="26" t="s">
        <v>1641</v>
      </c>
      <c r="B1089" s="26" t="s">
        <v>432</v>
      </c>
      <c r="C1089" s="27">
        <v>45961.0</v>
      </c>
      <c r="D1089" s="27">
        <v>45961.0</v>
      </c>
      <c r="E1089" s="26" t="s">
        <v>1121</v>
      </c>
      <c r="F1089" s="26" t="s">
        <v>1200</v>
      </c>
    </row>
    <row r="1090">
      <c r="A1090" s="26" t="s">
        <v>1642</v>
      </c>
      <c r="B1090" s="26" t="s">
        <v>483</v>
      </c>
      <c r="C1090" s="27">
        <v>45961.0</v>
      </c>
      <c r="D1090" s="27">
        <v>45961.0</v>
      </c>
      <c r="E1090" s="26" t="s">
        <v>1121</v>
      </c>
      <c r="F1090" s="26" t="s">
        <v>1200</v>
      </c>
    </row>
    <row r="1091">
      <c r="A1091" s="26" t="s">
        <v>1643</v>
      </c>
      <c r="B1091" s="26" t="s">
        <v>546</v>
      </c>
      <c r="C1091" s="27">
        <v>45961.0</v>
      </c>
      <c r="D1091" s="27">
        <v>45961.0</v>
      </c>
      <c r="E1091" s="26" t="s">
        <v>1121</v>
      </c>
      <c r="F1091" s="26" t="s">
        <v>1200</v>
      </c>
    </row>
    <row r="1092">
      <c r="A1092" s="26" t="s">
        <v>1643</v>
      </c>
      <c r="B1092" s="26" t="s">
        <v>546</v>
      </c>
      <c r="C1092" s="27">
        <v>45961.0</v>
      </c>
      <c r="D1092" s="27">
        <v>45961.0</v>
      </c>
      <c r="E1092" s="26" t="s">
        <v>1121</v>
      </c>
      <c r="F1092" s="26" t="s">
        <v>1200</v>
      </c>
    </row>
    <row r="1093">
      <c r="A1093" s="26" t="s">
        <v>1644</v>
      </c>
      <c r="B1093" s="26" t="s">
        <v>361</v>
      </c>
      <c r="C1093" s="27">
        <v>45961.0</v>
      </c>
      <c r="D1093" s="27">
        <v>45961.0</v>
      </c>
      <c r="E1093" s="26" t="s">
        <v>1121</v>
      </c>
      <c r="F1093" s="26" t="s">
        <v>1200</v>
      </c>
    </row>
    <row r="1094">
      <c r="A1094" s="26" t="s">
        <v>1644</v>
      </c>
      <c r="B1094" s="26" t="s">
        <v>361</v>
      </c>
      <c r="C1094" s="27">
        <v>45961.0</v>
      </c>
      <c r="D1094" s="27">
        <v>45961.0</v>
      </c>
      <c r="E1094" s="26" t="s">
        <v>1121</v>
      </c>
      <c r="F1094" s="26" t="s">
        <v>1200</v>
      </c>
    </row>
    <row r="1095">
      <c r="A1095" s="26" t="s">
        <v>1644</v>
      </c>
      <c r="B1095" s="26" t="s">
        <v>361</v>
      </c>
      <c r="C1095" s="27">
        <v>45961.0</v>
      </c>
      <c r="D1095" s="27">
        <v>45961.0</v>
      </c>
      <c r="E1095" s="26" t="s">
        <v>1121</v>
      </c>
      <c r="F1095" s="26" t="s">
        <v>1200</v>
      </c>
    </row>
    <row r="1096">
      <c r="A1096" s="26" t="s">
        <v>1645</v>
      </c>
      <c r="B1096" s="26" t="s">
        <v>505</v>
      </c>
      <c r="C1096" s="27">
        <v>45960.0</v>
      </c>
      <c r="D1096" s="27">
        <v>45960.0</v>
      </c>
      <c r="E1096" s="26" t="s">
        <v>1121</v>
      </c>
      <c r="F1096" s="26" t="s">
        <v>1200</v>
      </c>
    </row>
    <row r="1097">
      <c r="A1097" s="26" t="s">
        <v>1646</v>
      </c>
      <c r="B1097" s="26" t="s">
        <v>472</v>
      </c>
      <c r="C1097" s="27">
        <v>45960.0</v>
      </c>
      <c r="D1097" s="27">
        <v>45960.0</v>
      </c>
      <c r="E1097" s="26" t="s">
        <v>1121</v>
      </c>
      <c r="F1097" s="26" t="s">
        <v>1200</v>
      </c>
    </row>
    <row r="1098">
      <c r="A1098" s="26" t="s">
        <v>1647</v>
      </c>
      <c r="B1098" s="26" t="s">
        <v>455</v>
      </c>
      <c r="C1098" s="27">
        <v>45959.0</v>
      </c>
      <c r="D1098" s="27">
        <v>45959.0</v>
      </c>
      <c r="E1098" s="26" t="s">
        <v>1121</v>
      </c>
      <c r="F1098" s="26" t="s">
        <v>1200</v>
      </c>
    </row>
    <row r="1099">
      <c r="A1099" s="26" t="s">
        <v>1648</v>
      </c>
      <c r="B1099" s="26" t="s">
        <v>776</v>
      </c>
      <c r="C1099" s="27">
        <v>45958.0</v>
      </c>
      <c r="D1099" s="27">
        <v>45958.0</v>
      </c>
      <c r="E1099" s="26" t="s">
        <v>1121</v>
      </c>
      <c r="F1099" s="26" t="s">
        <v>1200</v>
      </c>
    </row>
    <row r="1100">
      <c r="A1100" s="26" t="s">
        <v>1648</v>
      </c>
      <c r="B1100" s="26" t="s">
        <v>776</v>
      </c>
      <c r="C1100" s="27">
        <v>45958.0</v>
      </c>
      <c r="D1100" s="27">
        <v>45958.0</v>
      </c>
      <c r="E1100" s="26" t="s">
        <v>1121</v>
      </c>
      <c r="F1100" s="26" t="s">
        <v>1200</v>
      </c>
    </row>
    <row r="1101">
      <c r="A1101" s="26" t="s">
        <v>1648</v>
      </c>
      <c r="B1101" s="26" t="s">
        <v>776</v>
      </c>
      <c r="C1101" s="27">
        <v>45958.0</v>
      </c>
      <c r="D1101" s="27">
        <v>45958.0</v>
      </c>
      <c r="E1101" s="26" t="s">
        <v>1121</v>
      </c>
      <c r="F1101" s="26" t="s">
        <v>1200</v>
      </c>
    </row>
    <row r="1102">
      <c r="A1102" s="26" t="s">
        <v>1649</v>
      </c>
      <c r="B1102" s="26" t="s">
        <v>546</v>
      </c>
      <c r="C1102" s="27">
        <v>45958.0</v>
      </c>
      <c r="D1102" s="27">
        <v>45958.0</v>
      </c>
      <c r="E1102" s="26" t="s">
        <v>1121</v>
      </c>
      <c r="F1102" s="26" t="s">
        <v>1200</v>
      </c>
    </row>
    <row r="1103">
      <c r="A1103" s="26" t="s">
        <v>1649</v>
      </c>
      <c r="B1103" s="26" t="s">
        <v>546</v>
      </c>
      <c r="C1103" s="27">
        <v>45958.0</v>
      </c>
      <c r="D1103" s="27">
        <v>45958.0</v>
      </c>
      <c r="E1103" s="26" t="s">
        <v>1121</v>
      </c>
      <c r="F1103" s="26" t="s">
        <v>1200</v>
      </c>
    </row>
    <row r="1104">
      <c r="A1104" s="26" t="s">
        <v>1650</v>
      </c>
      <c r="B1104" s="26" t="s">
        <v>604</v>
      </c>
      <c r="C1104" s="27">
        <v>45958.0</v>
      </c>
      <c r="D1104" s="27">
        <v>45958.0</v>
      </c>
      <c r="E1104" s="26" t="s">
        <v>1121</v>
      </c>
      <c r="F1104" s="26" t="s">
        <v>1200</v>
      </c>
    </row>
    <row r="1105">
      <c r="A1105" s="26" t="s">
        <v>1650</v>
      </c>
      <c r="B1105" s="26" t="s">
        <v>604</v>
      </c>
      <c r="C1105" s="27">
        <v>45958.0</v>
      </c>
      <c r="D1105" s="27">
        <v>45958.0</v>
      </c>
      <c r="E1105" s="26" t="s">
        <v>1121</v>
      </c>
      <c r="F1105" s="26" t="s">
        <v>1200</v>
      </c>
    </row>
    <row r="1106">
      <c r="A1106" s="26" t="s">
        <v>1650</v>
      </c>
      <c r="B1106" s="26" t="s">
        <v>604</v>
      </c>
      <c r="C1106" s="27">
        <v>45958.0</v>
      </c>
      <c r="D1106" s="27">
        <v>45958.0</v>
      </c>
      <c r="E1106" s="26" t="s">
        <v>1121</v>
      </c>
      <c r="F1106" s="26" t="s">
        <v>1200</v>
      </c>
    </row>
    <row r="1107">
      <c r="A1107" s="26" t="s">
        <v>1650</v>
      </c>
      <c r="B1107" s="26" t="s">
        <v>604</v>
      </c>
      <c r="C1107" s="27">
        <v>45958.0</v>
      </c>
      <c r="D1107" s="27">
        <v>45958.0</v>
      </c>
      <c r="E1107" s="26" t="s">
        <v>1121</v>
      </c>
      <c r="F1107" s="26" t="s">
        <v>1200</v>
      </c>
    </row>
    <row r="1108">
      <c r="A1108" s="26" t="s">
        <v>1651</v>
      </c>
      <c r="B1108" s="26" t="s">
        <v>467</v>
      </c>
      <c r="C1108" s="27">
        <v>45957.0</v>
      </c>
      <c r="D1108" s="27">
        <v>45957.0</v>
      </c>
      <c r="E1108" s="26" t="s">
        <v>1121</v>
      </c>
      <c r="F1108" s="26" t="s">
        <v>1200</v>
      </c>
    </row>
    <row r="1109">
      <c r="A1109" s="26" t="s">
        <v>1652</v>
      </c>
      <c r="B1109" s="26" t="s">
        <v>599</v>
      </c>
      <c r="C1109" s="27">
        <v>45957.0</v>
      </c>
      <c r="D1109" s="27">
        <v>45957.0</v>
      </c>
      <c r="E1109" s="26" t="s">
        <v>1121</v>
      </c>
      <c r="F1109" s="26" t="s">
        <v>1200</v>
      </c>
    </row>
    <row r="1110">
      <c r="A1110" s="26" t="s">
        <v>1652</v>
      </c>
      <c r="B1110" s="26" t="s">
        <v>599</v>
      </c>
      <c r="C1110" s="27">
        <v>45957.0</v>
      </c>
      <c r="D1110" s="27">
        <v>45957.0</v>
      </c>
      <c r="E1110" s="26" t="s">
        <v>1121</v>
      </c>
      <c r="F1110" s="26" t="s">
        <v>1200</v>
      </c>
    </row>
    <row r="1111">
      <c r="A1111" s="26" t="s">
        <v>1653</v>
      </c>
      <c r="B1111" s="26" t="s">
        <v>516</v>
      </c>
      <c r="C1111" s="27">
        <v>45957.0</v>
      </c>
      <c r="D1111" s="27">
        <v>45957.0</v>
      </c>
      <c r="E1111" s="26" t="s">
        <v>1121</v>
      </c>
      <c r="F1111" s="26" t="s">
        <v>1200</v>
      </c>
    </row>
    <row r="1112">
      <c r="A1112" s="26" t="s">
        <v>1654</v>
      </c>
      <c r="B1112" s="26" t="s">
        <v>483</v>
      </c>
      <c r="C1112" s="27">
        <v>45955.0</v>
      </c>
      <c r="D1112" s="27">
        <v>45955.0</v>
      </c>
      <c r="E1112" s="26" t="s">
        <v>1121</v>
      </c>
      <c r="F1112" s="26" t="s">
        <v>1200</v>
      </c>
    </row>
    <row r="1113">
      <c r="A1113" s="26" t="s">
        <v>1654</v>
      </c>
      <c r="B1113" s="26" t="s">
        <v>483</v>
      </c>
      <c r="C1113" s="27">
        <v>45955.0</v>
      </c>
      <c r="D1113" s="27">
        <v>45955.0</v>
      </c>
      <c r="E1113" s="26" t="s">
        <v>1121</v>
      </c>
      <c r="F1113" s="26" t="s">
        <v>1200</v>
      </c>
    </row>
    <row r="1114">
      <c r="A1114" s="26" t="s">
        <v>1655</v>
      </c>
      <c r="B1114" s="26" t="s">
        <v>546</v>
      </c>
      <c r="C1114" s="27">
        <v>45955.0</v>
      </c>
      <c r="D1114" s="27">
        <v>45955.0</v>
      </c>
      <c r="E1114" s="26" t="s">
        <v>1121</v>
      </c>
      <c r="F1114" s="26" t="s">
        <v>1200</v>
      </c>
    </row>
    <row r="1115">
      <c r="A1115" s="26" t="s">
        <v>1656</v>
      </c>
      <c r="B1115" s="26" t="s">
        <v>379</v>
      </c>
      <c r="C1115" s="27">
        <v>45954.0</v>
      </c>
      <c r="D1115" s="27">
        <v>45954.0</v>
      </c>
      <c r="E1115" s="26" t="s">
        <v>1121</v>
      </c>
      <c r="F1115" s="26" t="s">
        <v>1200</v>
      </c>
    </row>
    <row r="1116">
      <c r="A1116" s="26" t="s">
        <v>1656</v>
      </c>
      <c r="B1116" s="26" t="s">
        <v>379</v>
      </c>
      <c r="C1116" s="27">
        <v>45954.0</v>
      </c>
      <c r="D1116" s="27">
        <v>45954.0</v>
      </c>
      <c r="E1116" s="26" t="s">
        <v>1121</v>
      </c>
      <c r="F1116" s="26" t="s">
        <v>1200</v>
      </c>
    </row>
    <row r="1117">
      <c r="A1117" s="26" t="s">
        <v>1656</v>
      </c>
      <c r="B1117" s="26" t="s">
        <v>379</v>
      </c>
      <c r="C1117" s="27">
        <v>45954.0</v>
      </c>
      <c r="D1117" s="27">
        <v>45954.0</v>
      </c>
      <c r="E1117" s="26" t="s">
        <v>1121</v>
      </c>
      <c r="F1117" s="26" t="s">
        <v>1200</v>
      </c>
    </row>
    <row r="1118">
      <c r="A1118" s="26" t="s">
        <v>1656</v>
      </c>
      <c r="B1118" s="26" t="s">
        <v>379</v>
      </c>
      <c r="C1118" s="27">
        <v>45954.0</v>
      </c>
      <c r="D1118" s="27">
        <v>45954.0</v>
      </c>
      <c r="E1118" s="26" t="s">
        <v>1121</v>
      </c>
      <c r="F1118" s="26" t="s">
        <v>1200</v>
      </c>
    </row>
    <row r="1119">
      <c r="A1119" s="26" t="s">
        <v>1656</v>
      </c>
      <c r="B1119" s="26" t="s">
        <v>379</v>
      </c>
      <c r="C1119" s="27">
        <v>45954.0</v>
      </c>
      <c r="D1119" s="27">
        <v>45954.0</v>
      </c>
      <c r="E1119" s="26" t="s">
        <v>1121</v>
      </c>
      <c r="F1119" s="26" t="s">
        <v>1200</v>
      </c>
    </row>
    <row r="1120">
      <c r="A1120" s="26" t="s">
        <v>1657</v>
      </c>
      <c r="B1120" s="26" t="s">
        <v>546</v>
      </c>
      <c r="C1120" s="27">
        <v>45954.0</v>
      </c>
      <c r="D1120" s="27">
        <v>45954.0</v>
      </c>
      <c r="E1120" s="26" t="s">
        <v>1121</v>
      </c>
      <c r="F1120" s="26" t="s">
        <v>1200</v>
      </c>
    </row>
    <row r="1121">
      <c r="A1121" s="26" t="s">
        <v>1657</v>
      </c>
      <c r="B1121" s="26" t="s">
        <v>546</v>
      </c>
      <c r="C1121" s="27">
        <v>45954.0</v>
      </c>
      <c r="D1121" s="27">
        <v>45954.0</v>
      </c>
      <c r="E1121" s="26" t="s">
        <v>1121</v>
      </c>
      <c r="F1121" s="26" t="s">
        <v>1200</v>
      </c>
    </row>
    <row r="1122">
      <c r="A1122" s="26" t="s">
        <v>1657</v>
      </c>
      <c r="B1122" s="26" t="s">
        <v>546</v>
      </c>
      <c r="C1122" s="27">
        <v>45954.0</v>
      </c>
      <c r="D1122" s="27">
        <v>45954.0</v>
      </c>
      <c r="E1122" s="26" t="s">
        <v>1121</v>
      </c>
      <c r="F1122" s="26" t="s">
        <v>1200</v>
      </c>
    </row>
    <row r="1123">
      <c r="A1123" s="26" t="s">
        <v>1658</v>
      </c>
      <c r="B1123" s="26" t="s">
        <v>1659</v>
      </c>
      <c r="C1123" s="27">
        <v>45953.0</v>
      </c>
      <c r="D1123" s="27">
        <v>45953.0</v>
      </c>
      <c r="E1123" s="26" t="s">
        <v>1121</v>
      </c>
      <c r="F1123" s="26" t="s">
        <v>1200</v>
      </c>
    </row>
    <row r="1124">
      <c r="A1124" s="26" t="s">
        <v>1658</v>
      </c>
      <c r="B1124" s="26" t="s">
        <v>1659</v>
      </c>
      <c r="C1124" s="27">
        <v>45953.0</v>
      </c>
      <c r="D1124" s="27">
        <v>45953.0</v>
      </c>
      <c r="E1124" s="26" t="s">
        <v>1121</v>
      </c>
      <c r="F1124" s="26" t="s">
        <v>1200</v>
      </c>
    </row>
    <row r="1125">
      <c r="A1125" s="26" t="s">
        <v>1658</v>
      </c>
      <c r="B1125" s="26" t="s">
        <v>1659</v>
      </c>
      <c r="C1125" s="27">
        <v>45953.0</v>
      </c>
      <c r="D1125" s="27">
        <v>45953.0</v>
      </c>
      <c r="E1125" s="26" t="s">
        <v>1121</v>
      </c>
      <c r="F1125" s="26" t="s">
        <v>1200</v>
      </c>
    </row>
    <row r="1126">
      <c r="A1126" s="26" t="s">
        <v>1658</v>
      </c>
      <c r="B1126" s="26" t="s">
        <v>1659</v>
      </c>
      <c r="C1126" s="27">
        <v>45953.0</v>
      </c>
      <c r="D1126" s="27">
        <v>45953.0</v>
      </c>
      <c r="E1126" s="26" t="s">
        <v>1121</v>
      </c>
      <c r="F1126" s="26" t="s">
        <v>1200</v>
      </c>
    </row>
    <row r="1127">
      <c r="A1127" s="26" t="s">
        <v>1660</v>
      </c>
      <c r="B1127" s="26" t="s">
        <v>634</v>
      </c>
      <c r="C1127" s="27">
        <v>45953.0</v>
      </c>
      <c r="D1127" s="27">
        <v>45953.0</v>
      </c>
      <c r="E1127" s="26" t="s">
        <v>1121</v>
      </c>
      <c r="F1127" s="26" t="s">
        <v>1200</v>
      </c>
    </row>
    <row r="1128">
      <c r="A1128" s="26" t="s">
        <v>1661</v>
      </c>
      <c r="B1128" s="26" t="s">
        <v>448</v>
      </c>
      <c r="C1128" s="27">
        <v>45952.0</v>
      </c>
      <c r="D1128" s="27">
        <v>45952.0</v>
      </c>
      <c r="E1128" s="26" t="s">
        <v>1121</v>
      </c>
      <c r="F1128" s="26" t="s">
        <v>1200</v>
      </c>
    </row>
    <row r="1129">
      <c r="A1129" s="26" t="s">
        <v>1662</v>
      </c>
      <c r="B1129" s="26" t="s">
        <v>688</v>
      </c>
      <c r="C1129" s="27">
        <v>45951.0</v>
      </c>
      <c r="D1129" s="27">
        <v>45951.0</v>
      </c>
      <c r="E1129" s="26" t="s">
        <v>1121</v>
      </c>
      <c r="F1129" s="26" t="s">
        <v>1200</v>
      </c>
    </row>
    <row r="1130">
      <c r="A1130" s="26" t="s">
        <v>1663</v>
      </c>
      <c r="B1130" s="26" t="s">
        <v>432</v>
      </c>
      <c r="C1130" s="27">
        <v>45951.0</v>
      </c>
      <c r="D1130" s="27">
        <v>45951.0</v>
      </c>
      <c r="E1130" s="26" t="s">
        <v>1121</v>
      </c>
      <c r="F1130" s="26" t="s">
        <v>1200</v>
      </c>
    </row>
    <row r="1131">
      <c r="A1131" s="26" t="s">
        <v>1664</v>
      </c>
      <c r="B1131" s="26" t="s">
        <v>435</v>
      </c>
      <c r="C1131" s="27">
        <v>45951.0</v>
      </c>
      <c r="D1131" s="27">
        <v>45951.0</v>
      </c>
      <c r="E1131" s="26" t="s">
        <v>1121</v>
      </c>
      <c r="F1131" s="26" t="s">
        <v>1200</v>
      </c>
    </row>
    <row r="1132">
      <c r="A1132" s="26" t="s">
        <v>1665</v>
      </c>
      <c r="B1132" s="26" t="s">
        <v>639</v>
      </c>
      <c r="C1132" s="27">
        <v>45950.0</v>
      </c>
      <c r="D1132" s="27">
        <v>45950.0</v>
      </c>
      <c r="E1132" s="26" t="s">
        <v>1121</v>
      </c>
      <c r="F1132" s="26" t="s">
        <v>1200</v>
      </c>
    </row>
    <row r="1133">
      <c r="A1133" s="26" t="s">
        <v>1666</v>
      </c>
      <c r="B1133" s="26" t="s">
        <v>708</v>
      </c>
      <c r="C1133" s="27">
        <v>45950.0</v>
      </c>
      <c r="D1133" s="27">
        <v>45950.0</v>
      </c>
      <c r="E1133" s="26" t="s">
        <v>1121</v>
      </c>
      <c r="F1133" s="26" t="s">
        <v>1200</v>
      </c>
    </row>
    <row r="1134">
      <c r="A1134" s="26" t="s">
        <v>1666</v>
      </c>
      <c r="B1134" s="26" t="s">
        <v>708</v>
      </c>
      <c r="C1134" s="27">
        <v>45950.0</v>
      </c>
      <c r="D1134" s="27">
        <v>45950.0</v>
      </c>
      <c r="E1134" s="26" t="s">
        <v>1121</v>
      </c>
      <c r="F1134" s="26" t="s">
        <v>1200</v>
      </c>
    </row>
    <row r="1135">
      <c r="A1135" s="26" t="s">
        <v>1666</v>
      </c>
      <c r="B1135" s="26" t="s">
        <v>708</v>
      </c>
      <c r="C1135" s="27">
        <v>45950.0</v>
      </c>
      <c r="D1135" s="27">
        <v>45950.0</v>
      </c>
      <c r="E1135" s="26" t="s">
        <v>1121</v>
      </c>
      <c r="F1135" s="26" t="s">
        <v>1200</v>
      </c>
    </row>
    <row r="1136">
      <c r="A1136" s="26" t="s">
        <v>1666</v>
      </c>
      <c r="B1136" s="26" t="s">
        <v>708</v>
      </c>
      <c r="C1136" s="27">
        <v>45950.0</v>
      </c>
      <c r="D1136" s="27">
        <v>45950.0</v>
      </c>
      <c r="E1136" s="26" t="s">
        <v>1121</v>
      </c>
      <c r="F1136" s="26" t="s">
        <v>1200</v>
      </c>
    </row>
    <row r="1137">
      <c r="A1137" s="26" t="s">
        <v>1667</v>
      </c>
      <c r="B1137" s="26" t="s">
        <v>546</v>
      </c>
      <c r="C1137" s="27">
        <v>45948.0</v>
      </c>
      <c r="D1137" s="27">
        <v>45948.0</v>
      </c>
      <c r="E1137" s="26" t="s">
        <v>1121</v>
      </c>
      <c r="F1137" s="26" t="s">
        <v>1200</v>
      </c>
    </row>
    <row r="1138">
      <c r="A1138" s="26" t="s">
        <v>1667</v>
      </c>
      <c r="B1138" s="26" t="s">
        <v>546</v>
      </c>
      <c r="C1138" s="27">
        <v>45948.0</v>
      </c>
      <c r="D1138" s="27">
        <v>45948.0</v>
      </c>
      <c r="E1138" s="26" t="s">
        <v>1121</v>
      </c>
      <c r="F1138" s="26" t="s">
        <v>1200</v>
      </c>
    </row>
    <row r="1139">
      <c r="A1139" s="26" t="s">
        <v>1667</v>
      </c>
      <c r="B1139" s="26" t="s">
        <v>546</v>
      </c>
      <c r="C1139" s="27">
        <v>45948.0</v>
      </c>
      <c r="D1139" s="27">
        <v>45948.0</v>
      </c>
      <c r="E1139" s="26" t="s">
        <v>1121</v>
      </c>
      <c r="F1139" s="26" t="s">
        <v>1200</v>
      </c>
    </row>
    <row r="1140">
      <c r="A1140" s="26" t="s">
        <v>1668</v>
      </c>
      <c r="B1140" s="26" t="s">
        <v>736</v>
      </c>
      <c r="C1140" s="27">
        <v>45948.0</v>
      </c>
      <c r="D1140" s="27">
        <v>45948.0</v>
      </c>
      <c r="E1140" s="26" t="s">
        <v>1121</v>
      </c>
      <c r="F1140" s="26" t="s">
        <v>1200</v>
      </c>
    </row>
    <row r="1141">
      <c r="A1141" s="26" t="s">
        <v>1668</v>
      </c>
      <c r="B1141" s="26" t="s">
        <v>736</v>
      </c>
      <c r="C1141" s="27">
        <v>45948.0</v>
      </c>
      <c r="D1141" s="27">
        <v>45948.0</v>
      </c>
      <c r="E1141" s="26" t="s">
        <v>1121</v>
      </c>
      <c r="F1141" s="26" t="s">
        <v>1200</v>
      </c>
    </row>
    <row r="1142">
      <c r="A1142" s="26" t="s">
        <v>1668</v>
      </c>
      <c r="B1142" s="26" t="s">
        <v>736</v>
      </c>
      <c r="C1142" s="27">
        <v>45948.0</v>
      </c>
      <c r="D1142" s="27">
        <v>45948.0</v>
      </c>
      <c r="E1142" s="26" t="s">
        <v>1121</v>
      </c>
      <c r="F1142" s="26" t="s">
        <v>1200</v>
      </c>
    </row>
    <row r="1143">
      <c r="A1143" s="26" t="s">
        <v>1668</v>
      </c>
      <c r="B1143" s="26" t="s">
        <v>736</v>
      </c>
      <c r="C1143" s="27">
        <v>45948.0</v>
      </c>
      <c r="D1143" s="27">
        <v>45948.0</v>
      </c>
      <c r="E1143" s="26" t="s">
        <v>1121</v>
      </c>
      <c r="F1143" s="26" t="s">
        <v>1200</v>
      </c>
    </row>
    <row r="1144">
      <c r="A1144" s="26" t="s">
        <v>1668</v>
      </c>
      <c r="B1144" s="26" t="s">
        <v>736</v>
      </c>
      <c r="C1144" s="27">
        <v>45948.0</v>
      </c>
      <c r="D1144" s="27">
        <v>45948.0</v>
      </c>
      <c r="E1144" s="26" t="s">
        <v>1121</v>
      </c>
      <c r="F1144" s="26" t="s">
        <v>1200</v>
      </c>
    </row>
    <row r="1145">
      <c r="A1145" s="26" t="s">
        <v>1669</v>
      </c>
      <c r="B1145" s="26" t="s">
        <v>483</v>
      </c>
      <c r="C1145" s="27">
        <v>45947.0</v>
      </c>
      <c r="D1145" s="27">
        <v>45947.0</v>
      </c>
      <c r="E1145" s="26" t="s">
        <v>1121</v>
      </c>
      <c r="F1145" s="26" t="s">
        <v>1200</v>
      </c>
    </row>
    <row r="1146">
      <c r="A1146" s="26" t="s">
        <v>1670</v>
      </c>
      <c r="B1146" s="26" t="s">
        <v>444</v>
      </c>
      <c r="C1146" s="27">
        <v>45947.0</v>
      </c>
      <c r="D1146" s="27">
        <v>45947.0</v>
      </c>
      <c r="E1146" s="26" t="s">
        <v>1121</v>
      </c>
      <c r="F1146" s="26" t="s">
        <v>1200</v>
      </c>
    </row>
    <row r="1147">
      <c r="A1147" s="26" t="s">
        <v>1670</v>
      </c>
      <c r="B1147" s="26" t="s">
        <v>444</v>
      </c>
      <c r="C1147" s="27">
        <v>45947.0</v>
      </c>
      <c r="D1147" s="27">
        <v>45947.0</v>
      </c>
      <c r="E1147" s="26" t="s">
        <v>1121</v>
      </c>
      <c r="F1147" s="26" t="s">
        <v>1200</v>
      </c>
    </row>
    <row r="1148">
      <c r="A1148" s="26" t="s">
        <v>1671</v>
      </c>
      <c r="B1148" s="26" t="s">
        <v>467</v>
      </c>
      <c r="C1148" s="27">
        <v>45947.0</v>
      </c>
      <c r="D1148" s="27">
        <v>45947.0</v>
      </c>
      <c r="E1148" s="26" t="s">
        <v>1121</v>
      </c>
      <c r="F1148" s="26" t="s">
        <v>1200</v>
      </c>
    </row>
    <row r="1149">
      <c r="A1149" s="26" t="s">
        <v>1671</v>
      </c>
      <c r="B1149" s="26" t="s">
        <v>467</v>
      </c>
      <c r="C1149" s="27">
        <v>45947.0</v>
      </c>
      <c r="D1149" s="27">
        <v>45947.0</v>
      </c>
      <c r="E1149" s="26" t="s">
        <v>1121</v>
      </c>
      <c r="F1149" s="26" t="s">
        <v>1200</v>
      </c>
    </row>
    <row r="1150">
      <c r="A1150" s="26" t="s">
        <v>1672</v>
      </c>
      <c r="B1150" s="26" t="s">
        <v>505</v>
      </c>
      <c r="C1150" s="27">
        <v>45946.0</v>
      </c>
      <c r="D1150" s="27">
        <v>45946.0</v>
      </c>
      <c r="E1150" s="26" t="s">
        <v>1121</v>
      </c>
      <c r="F1150" s="26" t="s">
        <v>1200</v>
      </c>
    </row>
    <row r="1151">
      <c r="A1151" s="26" t="s">
        <v>1673</v>
      </c>
      <c r="B1151" s="26" t="s">
        <v>704</v>
      </c>
      <c r="C1151" s="27">
        <v>45945.0</v>
      </c>
      <c r="D1151" s="27">
        <v>45945.0</v>
      </c>
      <c r="E1151" s="26" t="s">
        <v>1121</v>
      </c>
      <c r="F1151" s="26" t="s">
        <v>1200</v>
      </c>
    </row>
    <row r="1152">
      <c r="A1152" s="26" t="s">
        <v>1673</v>
      </c>
      <c r="B1152" s="26" t="s">
        <v>704</v>
      </c>
      <c r="C1152" s="27">
        <v>45945.0</v>
      </c>
      <c r="D1152" s="27">
        <v>45945.0</v>
      </c>
      <c r="E1152" s="26" t="s">
        <v>1121</v>
      </c>
      <c r="F1152" s="26" t="s">
        <v>1200</v>
      </c>
    </row>
    <row r="1153">
      <c r="A1153" s="26" t="s">
        <v>1673</v>
      </c>
      <c r="B1153" s="26" t="s">
        <v>704</v>
      </c>
      <c r="C1153" s="27">
        <v>45945.0</v>
      </c>
      <c r="D1153" s="27">
        <v>45945.0</v>
      </c>
      <c r="E1153" s="26" t="s">
        <v>1121</v>
      </c>
      <c r="F1153" s="26" t="s">
        <v>1200</v>
      </c>
    </row>
    <row r="1154">
      <c r="A1154" s="26" t="s">
        <v>1674</v>
      </c>
      <c r="B1154" s="26" t="s">
        <v>516</v>
      </c>
      <c r="C1154" s="27">
        <v>45945.0</v>
      </c>
      <c r="D1154" s="27">
        <v>45945.0</v>
      </c>
      <c r="E1154" s="26" t="s">
        <v>1121</v>
      </c>
      <c r="F1154" s="26" t="s">
        <v>1200</v>
      </c>
    </row>
    <row r="1155">
      <c r="A1155" s="26" t="s">
        <v>1675</v>
      </c>
      <c r="B1155" s="26" t="s">
        <v>444</v>
      </c>
      <c r="C1155" s="27">
        <v>45945.0</v>
      </c>
      <c r="D1155" s="27">
        <v>45945.0</v>
      </c>
      <c r="E1155" s="26" t="s">
        <v>1121</v>
      </c>
      <c r="F1155" s="26" t="s">
        <v>1200</v>
      </c>
    </row>
    <row r="1156">
      <c r="A1156" s="26" t="s">
        <v>1675</v>
      </c>
      <c r="B1156" s="26" t="s">
        <v>444</v>
      </c>
      <c r="C1156" s="27">
        <v>45945.0</v>
      </c>
      <c r="D1156" s="27">
        <v>45945.0</v>
      </c>
      <c r="E1156" s="26" t="s">
        <v>1121</v>
      </c>
      <c r="F1156" s="26" t="s">
        <v>1200</v>
      </c>
    </row>
    <row r="1157">
      <c r="A1157" s="26" t="s">
        <v>1676</v>
      </c>
      <c r="B1157" s="26" t="s">
        <v>432</v>
      </c>
      <c r="C1157" s="27">
        <v>45945.0</v>
      </c>
      <c r="D1157" s="27">
        <v>45945.0</v>
      </c>
      <c r="E1157" s="26" t="s">
        <v>1121</v>
      </c>
      <c r="F1157" s="26" t="s">
        <v>1200</v>
      </c>
    </row>
    <row r="1158">
      <c r="A1158" s="26" t="s">
        <v>1677</v>
      </c>
      <c r="B1158" s="26" t="s">
        <v>435</v>
      </c>
      <c r="C1158" s="27">
        <v>45944.0</v>
      </c>
      <c r="D1158" s="27">
        <v>45944.0</v>
      </c>
      <c r="E1158" s="26" t="s">
        <v>1121</v>
      </c>
      <c r="F1158" s="26" t="s">
        <v>1200</v>
      </c>
    </row>
    <row r="1159">
      <c r="A1159" s="26" t="s">
        <v>1678</v>
      </c>
      <c r="B1159" s="26" t="s">
        <v>432</v>
      </c>
      <c r="C1159" s="27">
        <v>45944.0</v>
      </c>
      <c r="D1159" s="27">
        <v>45944.0</v>
      </c>
      <c r="E1159" s="26" t="s">
        <v>1121</v>
      </c>
      <c r="F1159" s="26" t="s">
        <v>1200</v>
      </c>
    </row>
    <row r="1160">
      <c r="A1160" s="26" t="s">
        <v>1679</v>
      </c>
      <c r="B1160" s="26" t="s">
        <v>684</v>
      </c>
      <c r="C1160" s="27">
        <v>45944.0</v>
      </c>
      <c r="D1160" s="27">
        <v>45944.0</v>
      </c>
      <c r="E1160" s="26" t="s">
        <v>1121</v>
      </c>
      <c r="F1160" s="26" t="s">
        <v>1200</v>
      </c>
    </row>
    <row r="1161">
      <c r="A1161" s="26" t="s">
        <v>1679</v>
      </c>
      <c r="B1161" s="26" t="s">
        <v>684</v>
      </c>
      <c r="C1161" s="27">
        <v>45944.0</v>
      </c>
      <c r="D1161" s="27">
        <v>45944.0</v>
      </c>
      <c r="E1161" s="26" t="s">
        <v>1121</v>
      </c>
      <c r="F1161" s="26" t="s">
        <v>1200</v>
      </c>
    </row>
    <row r="1162">
      <c r="A1162" s="26" t="s">
        <v>1679</v>
      </c>
      <c r="B1162" s="26" t="s">
        <v>684</v>
      </c>
      <c r="C1162" s="27">
        <v>45944.0</v>
      </c>
      <c r="D1162" s="27">
        <v>45944.0</v>
      </c>
      <c r="E1162" s="26" t="s">
        <v>1121</v>
      </c>
      <c r="F1162" s="26" t="s">
        <v>1200</v>
      </c>
    </row>
    <row r="1163">
      <c r="A1163" s="26" t="s">
        <v>1679</v>
      </c>
      <c r="B1163" s="26" t="s">
        <v>684</v>
      </c>
      <c r="C1163" s="27">
        <v>45944.0</v>
      </c>
      <c r="D1163" s="27">
        <v>45944.0</v>
      </c>
      <c r="E1163" s="26" t="s">
        <v>1121</v>
      </c>
      <c r="F1163" s="26" t="s">
        <v>1200</v>
      </c>
    </row>
    <row r="1164">
      <c r="A1164" s="26" t="s">
        <v>1679</v>
      </c>
      <c r="B1164" s="26" t="s">
        <v>684</v>
      </c>
      <c r="C1164" s="27">
        <v>45944.0</v>
      </c>
      <c r="D1164" s="27">
        <v>45944.0</v>
      </c>
      <c r="E1164" s="26" t="s">
        <v>1121</v>
      </c>
      <c r="F1164" s="26" t="s">
        <v>1200</v>
      </c>
    </row>
    <row r="1165">
      <c r="A1165" s="26" t="s">
        <v>1679</v>
      </c>
      <c r="B1165" s="26" t="s">
        <v>684</v>
      </c>
      <c r="C1165" s="27">
        <v>45944.0</v>
      </c>
      <c r="D1165" s="27">
        <v>45944.0</v>
      </c>
      <c r="E1165" s="26" t="s">
        <v>1121</v>
      </c>
      <c r="F1165" s="26" t="s">
        <v>1200</v>
      </c>
    </row>
    <row r="1166">
      <c r="A1166" s="26" t="s">
        <v>1680</v>
      </c>
      <c r="B1166" s="26" t="s">
        <v>574</v>
      </c>
      <c r="C1166" s="27">
        <v>45943.0</v>
      </c>
      <c r="D1166" s="27">
        <v>45943.0</v>
      </c>
      <c r="E1166" s="26" t="s">
        <v>1121</v>
      </c>
      <c r="F1166" s="26" t="s">
        <v>1200</v>
      </c>
    </row>
    <row r="1167">
      <c r="A1167" s="26" t="s">
        <v>1681</v>
      </c>
      <c r="B1167" s="26" t="s">
        <v>546</v>
      </c>
      <c r="C1167" s="27">
        <v>45943.0</v>
      </c>
      <c r="D1167" s="27">
        <v>45943.0</v>
      </c>
      <c r="E1167" s="26" t="s">
        <v>1121</v>
      </c>
      <c r="F1167" s="26" t="s">
        <v>1200</v>
      </c>
    </row>
    <row r="1168">
      <c r="A1168" s="26" t="s">
        <v>1681</v>
      </c>
      <c r="B1168" s="26" t="s">
        <v>546</v>
      </c>
      <c r="C1168" s="27">
        <v>45943.0</v>
      </c>
      <c r="D1168" s="27">
        <v>45943.0</v>
      </c>
      <c r="E1168" s="26" t="s">
        <v>1121</v>
      </c>
      <c r="F1168" s="26" t="s">
        <v>1200</v>
      </c>
    </row>
    <row r="1169">
      <c r="A1169" s="26" t="s">
        <v>1682</v>
      </c>
      <c r="B1169" s="26" t="s">
        <v>483</v>
      </c>
      <c r="C1169" s="27">
        <v>45941.0</v>
      </c>
      <c r="D1169" s="27">
        <v>45941.0</v>
      </c>
      <c r="E1169" s="26" t="s">
        <v>1121</v>
      </c>
      <c r="F1169" s="26" t="s">
        <v>1200</v>
      </c>
    </row>
    <row r="1170">
      <c r="A1170" s="26" t="s">
        <v>1683</v>
      </c>
      <c r="B1170" s="26" t="s">
        <v>699</v>
      </c>
      <c r="C1170" s="27">
        <v>45941.0</v>
      </c>
      <c r="D1170" s="27">
        <v>45941.0</v>
      </c>
      <c r="E1170" s="26" t="s">
        <v>1121</v>
      </c>
      <c r="F1170" s="26" t="s">
        <v>1200</v>
      </c>
    </row>
    <row r="1171">
      <c r="A1171" s="26" t="s">
        <v>1683</v>
      </c>
      <c r="B1171" s="26" t="s">
        <v>699</v>
      </c>
      <c r="C1171" s="27">
        <v>45941.0</v>
      </c>
      <c r="D1171" s="27">
        <v>45941.0</v>
      </c>
      <c r="E1171" s="26" t="s">
        <v>1121</v>
      </c>
      <c r="F1171" s="26" t="s">
        <v>1200</v>
      </c>
    </row>
    <row r="1172">
      <c r="A1172" s="26" t="s">
        <v>1683</v>
      </c>
      <c r="B1172" s="26" t="s">
        <v>699</v>
      </c>
      <c r="C1172" s="27">
        <v>45941.0</v>
      </c>
      <c r="D1172" s="27">
        <v>45941.0</v>
      </c>
      <c r="E1172" s="26" t="s">
        <v>1121</v>
      </c>
      <c r="F1172" s="26" t="s">
        <v>1200</v>
      </c>
    </row>
    <row r="1173">
      <c r="A1173" s="26" t="s">
        <v>1683</v>
      </c>
      <c r="B1173" s="26" t="s">
        <v>699</v>
      </c>
      <c r="C1173" s="27">
        <v>45941.0</v>
      </c>
      <c r="D1173" s="27">
        <v>45941.0</v>
      </c>
      <c r="E1173" s="26" t="s">
        <v>1121</v>
      </c>
      <c r="F1173" s="26" t="s">
        <v>1200</v>
      </c>
    </row>
    <row r="1174">
      <c r="A1174" s="26" t="s">
        <v>1683</v>
      </c>
      <c r="B1174" s="26" t="s">
        <v>699</v>
      </c>
      <c r="C1174" s="27">
        <v>45941.0</v>
      </c>
      <c r="D1174" s="27">
        <v>45941.0</v>
      </c>
      <c r="E1174" s="26" t="s">
        <v>1121</v>
      </c>
      <c r="F1174" s="26" t="s">
        <v>1200</v>
      </c>
    </row>
    <row r="1175">
      <c r="A1175" s="26" t="s">
        <v>1684</v>
      </c>
      <c r="B1175" s="26" t="s">
        <v>546</v>
      </c>
      <c r="C1175" s="27">
        <v>45940.0</v>
      </c>
      <c r="D1175" s="27">
        <v>45940.0</v>
      </c>
      <c r="E1175" s="26" t="s">
        <v>1121</v>
      </c>
      <c r="F1175" s="26" t="s">
        <v>1200</v>
      </c>
    </row>
    <row r="1176">
      <c r="A1176" s="26" t="s">
        <v>1684</v>
      </c>
      <c r="B1176" s="26" t="s">
        <v>546</v>
      </c>
      <c r="C1176" s="27">
        <v>45940.0</v>
      </c>
      <c r="D1176" s="27">
        <v>45940.0</v>
      </c>
      <c r="E1176" s="26" t="s">
        <v>1121</v>
      </c>
      <c r="F1176" s="26" t="s">
        <v>1200</v>
      </c>
    </row>
    <row r="1177">
      <c r="A1177" s="26" t="s">
        <v>1684</v>
      </c>
      <c r="B1177" s="26" t="s">
        <v>546</v>
      </c>
      <c r="C1177" s="27">
        <v>45940.0</v>
      </c>
      <c r="D1177" s="27">
        <v>45940.0</v>
      </c>
      <c r="E1177" s="26" t="s">
        <v>1121</v>
      </c>
      <c r="F1177" s="26" t="s">
        <v>1200</v>
      </c>
    </row>
    <row r="1178">
      <c r="A1178" s="26" t="s">
        <v>1685</v>
      </c>
      <c r="B1178" s="26" t="s">
        <v>335</v>
      </c>
      <c r="C1178" s="27">
        <v>45940.0</v>
      </c>
      <c r="D1178" s="27">
        <v>45940.0</v>
      </c>
      <c r="E1178" s="26" t="s">
        <v>1121</v>
      </c>
      <c r="F1178" s="26" t="s">
        <v>1200</v>
      </c>
    </row>
    <row r="1179">
      <c r="A1179" s="26" t="s">
        <v>1686</v>
      </c>
      <c r="B1179" s="26" t="s">
        <v>444</v>
      </c>
      <c r="C1179" s="27">
        <v>45938.0</v>
      </c>
      <c r="D1179" s="27">
        <v>45938.0</v>
      </c>
      <c r="E1179" s="26" t="s">
        <v>1121</v>
      </c>
      <c r="F1179" s="26" t="s">
        <v>1200</v>
      </c>
    </row>
    <row r="1180">
      <c r="A1180" s="26" t="s">
        <v>1687</v>
      </c>
      <c r="B1180" s="26" t="s">
        <v>483</v>
      </c>
      <c r="C1180" s="27">
        <v>45938.0</v>
      </c>
      <c r="D1180" s="27">
        <v>45938.0</v>
      </c>
      <c r="E1180" s="26" t="s">
        <v>1121</v>
      </c>
      <c r="F1180" s="26" t="s">
        <v>1200</v>
      </c>
    </row>
    <row r="1181">
      <c r="A1181" s="26" t="s">
        <v>1688</v>
      </c>
      <c r="B1181" s="26" t="s">
        <v>467</v>
      </c>
      <c r="C1181" s="27">
        <v>45938.0</v>
      </c>
      <c r="D1181" s="27">
        <v>45938.0</v>
      </c>
      <c r="E1181" s="26" t="s">
        <v>1121</v>
      </c>
      <c r="F1181" s="26" t="s">
        <v>1200</v>
      </c>
    </row>
    <row r="1182">
      <c r="A1182" s="26" t="s">
        <v>1689</v>
      </c>
      <c r="B1182" s="26" t="s">
        <v>693</v>
      </c>
      <c r="C1182" s="27">
        <v>45937.0</v>
      </c>
      <c r="D1182" s="27">
        <v>45937.0</v>
      </c>
      <c r="E1182" s="26" t="s">
        <v>1121</v>
      </c>
      <c r="F1182" s="26" t="s">
        <v>1200</v>
      </c>
    </row>
    <row r="1183">
      <c r="A1183" s="26" t="s">
        <v>1689</v>
      </c>
      <c r="B1183" s="26" t="s">
        <v>693</v>
      </c>
      <c r="C1183" s="27">
        <v>45937.0</v>
      </c>
      <c r="D1183" s="27">
        <v>45937.0</v>
      </c>
      <c r="E1183" s="26" t="s">
        <v>1121</v>
      </c>
      <c r="F1183" s="26" t="s">
        <v>1200</v>
      </c>
    </row>
    <row r="1184">
      <c r="A1184" s="26" t="s">
        <v>1690</v>
      </c>
      <c r="B1184" s="26" t="s">
        <v>634</v>
      </c>
      <c r="C1184" s="27">
        <v>45937.0</v>
      </c>
      <c r="D1184" s="27">
        <v>45937.0</v>
      </c>
      <c r="E1184" s="26" t="s">
        <v>1121</v>
      </c>
      <c r="F1184" s="26" t="s">
        <v>1200</v>
      </c>
    </row>
    <row r="1185">
      <c r="A1185" s="26" t="s">
        <v>1690</v>
      </c>
      <c r="B1185" s="26" t="s">
        <v>634</v>
      </c>
      <c r="C1185" s="27">
        <v>45937.0</v>
      </c>
      <c r="D1185" s="27">
        <v>45937.0</v>
      </c>
      <c r="E1185" s="26" t="s">
        <v>1121</v>
      </c>
      <c r="F1185" s="26" t="s">
        <v>1200</v>
      </c>
    </row>
    <row r="1186">
      <c r="A1186" s="26" t="s">
        <v>1690</v>
      </c>
      <c r="B1186" s="26" t="s">
        <v>634</v>
      </c>
      <c r="C1186" s="27">
        <v>45937.0</v>
      </c>
      <c r="D1186" s="27">
        <v>45937.0</v>
      </c>
      <c r="E1186" s="26" t="s">
        <v>1121</v>
      </c>
      <c r="F1186" s="26" t="s">
        <v>1200</v>
      </c>
    </row>
    <row r="1187">
      <c r="A1187" s="26" t="s">
        <v>1691</v>
      </c>
      <c r="B1187" s="26" t="s">
        <v>428</v>
      </c>
      <c r="C1187" s="27">
        <v>45937.0</v>
      </c>
      <c r="D1187" s="27">
        <v>45937.0</v>
      </c>
      <c r="E1187" s="26" t="s">
        <v>1121</v>
      </c>
      <c r="F1187" s="26" t="s">
        <v>1200</v>
      </c>
    </row>
    <row r="1188">
      <c r="A1188" s="26" t="s">
        <v>1692</v>
      </c>
      <c r="B1188" s="26" t="s">
        <v>1693</v>
      </c>
      <c r="C1188" s="27">
        <v>45936.0</v>
      </c>
      <c r="D1188" s="27">
        <v>45936.0</v>
      </c>
      <c r="E1188" s="26" t="s">
        <v>1121</v>
      </c>
      <c r="F1188" s="26" t="s">
        <v>1200</v>
      </c>
    </row>
    <row r="1189">
      <c r="A1189" s="26" t="s">
        <v>1694</v>
      </c>
      <c r="B1189" s="26" t="s">
        <v>528</v>
      </c>
      <c r="C1189" s="27">
        <v>45936.0</v>
      </c>
      <c r="D1189" s="27">
        <v>45936.0</v>
      </c>
      <c r="E1189" s="26" t="s">
        <v>1121</v>
      </c>
      <c r="F1189" s="26" t="s">
        <v>1200</v>
      </c>
    </row>
    <row r="1190">
      <c r="A1190" s="26" t="s">
        <v>1695</v>
      </c>
      <c r="B1190" s="26" t="s">
        <v>776</v>
      </c>
      <c r="C1190" s="27">
        <v>45934.0</v>
      </c>
      <c r="D1190" s="27">
        <v>45934.0</v>
      </c>
      <c r="E1190" s="26" t="s">
        <v>1121</v>
      </c>
      <c r="F1190" s="26" t="s">
        <v>1200</v>
      </c>
    </row>
    <row r="1191">
      <c r="A1191" s="26" t="s">
        <v>1695</v>
      </c>
      <c r="B1191" s="26" t="s">
        <v>776</v>
      </c>
      <c r="C1191" s="27">
        <v>45934.0</v>
      </c>
      <c r="D1191" s="27">
        <v>45934.0</v>
      </c>
      <c r="E1191" s="26" t="s">
        <v>1121</v>
      </c>
      <c r="F1191" s="26" t="s">
        <v>1200</v>
      </c>
    </row>
    <row r="1192">
      <c r="A1192" s="26" t="s">
        <v>1695</v>
      </c>
      <c r="B1192" s="26" t="s">
        <v>776</v>
      </c>
      <c r="C1192" s="27">
        <v>45934.0</v>
      </c>
      <c r="D1192" s="27">
        <v>45934.0</v>
      </c>
      <c r="E1192" s="26" t="s">
        <v>1121</v>
      </c>
      <c r="F1192" s="26" t="s">
        <v>1200</v>
      </c>
    </row>
    <row r="1193">
      <c r="A1193" s="26" t="s">
        <v>1696</v>
      </c>
      <c r="B1193" s="26" t="s">
        <v>472</v>
      </c>
      <c r="C1193" s="27">
        <v>45933.0</v>
      </c>
      <c r="D1193" s="27">
        <v>45933.0</v>
      </c>
      <c r="E1193" s="26" t="s">
        <v>1121</v>
      </c>
      <c r="F1193" s="26" t="s">
        <v>1200</v>
      </c>
    </row>
    <row r="1194">
      <c r="A1194" s="26" t="s">
        <v>1697</v>
      </c>
      <c r="B1194" s="26" t="s">
        <v>546</v>
      </c>
      <c r="C1194" s="27">
        <v>45933.0</v>
      </c>
      <c r="D1194" s="27">
        <v>45933.0</v>
      </c>
      <c r="E1194" s="26" t="s">
        <v>1121</v>
      </c>
      <c r="F1194" s="26" t="s">
        <v>1200</v>
      </c>
    </row>
    <row r="1195">
      <c r="A1195" s="26" t="s">
        <v>1697</v>
      </c>
      <c r="B1195" s="26" t="s">
        <v>546</v>
      </c>
      <c r="C1195" s="27">
        <v>45933.0</v>
      </c>
      <c r="D1195" s="27">
        <v>45933.0</v>
      </c>
      <c r="E1195" s="26" t="s">
        <v>1121</v>
      </c>
      <c r="F1195" s="26" t="s">
        <v>1200</v>
      </c>
    </row>
    <row r="1196">
      <c r="A1196" s="26" t="s">
        <v>1697</v>
      </c>
      <c r="B1196" s="26" t="s">
        <v>546</v>
      </c>
      <c r="C1196" s="27">
        <v>45933.0</v>
      </c>
      <c r="D1196" s="27">
        <v>45933.0</v>
      </c>
      <c r="E1196" s="26" t="s">
        <v>1121</v>
      </c>
      <c r="F1196" s="26" t="s">
        <v>1200</v>
      </c>
    </row>
    <row r="1197">
      <c r="A1197" s="26" t="s">
        <v>1698</v>
      </c>
      <c r="B1197" s="26" t="s">
        <v>1335</v>
      </c>
      <c r="C1197" s="27">
        <v>45933.0</v>
      </c>
      <c r="D1197" s="27">
        <v>45933.0</v>
      </c>
      <c r="E1197" s="26" t="s">
        <v>1121</v>
      </c>
      <c r="F1197" s="26" t="s">
        <v>1200</v>
      </c>
    </row>
    <row r="1198">
      <c r="A1198" s="26" t="s">
        <v>1698</v>
      </c>
      <c r="B1198" s="26" t="s">
        <v>1335</v>
      </c>
      <c r="C1198" s="27">
        <v>45933.0</v>
      </c>
      <c r="D1198" s="27">
        <v>45933.0</v>
      </c>
      <c r="E1198" s="26" t="s">
        <v>1121</v>
      </c>
      <c r="F1198" s="26" t="s">
        <v>1200</v>
      </c>
    </row>
    <row r="1199">
      <c r="A1199" s="26" t="s">
        <v>1698</v>
      </c>
      <c r="B1199" s="26" t="s">
        <v>1335</v>
      </c>
      <c r="C1199" s="27">
        <v>45933.0</v>
      </c>
      <c r="D1199" s="27">
        <v>45933.0</v>
      </c>
      <c r="E1199" s="26" t="s">
        <v>1121</v>
      </c>
      <c r="F1199" s="26" t="s">
        <v>1200</v>
      </c>
    </row>
    <row r="1200">
      <c r="A1200" s="26" t="s">
        <v>1698</v>
      </c>
      <c r="B1200" s="26" t="s">
        <v>1335</v>
      </c>
      <c r="C1200" s="27">
        <v>45933.0</v>
      </c>
      <c r="D1200" s="27">
        <v>45933.0</v>
      </c>
      <c r="E1200" s="26" t="s">
        <v>1121</v>
      </c>
      <c r="F1200" s="26" t="s">
        <v>1200</v>
      </c>
    </row>
    <row r="1201">
      <c r="A1201" s="26" t="s">
        <v>1698</v>
      </c>
      <c r="B1201" s="26" t="s">
        <v>1335</v>
      </c>
      <c r="C1201" s="27">
        <v>45933.0</v>
      </c>
      <c r="D1201" s="27">
        <v>45933.0</v>
      </c>
      <c r="E1201" s="26" t="s">
        <v>1121</v>
      </c>
      <c r="F1201" s="26" t="s">
        <v>1200</v>
      </c>
    </row>
    <row r="1202">
      <c r="A1202" s="26" t="s">
        <v>1699</v>
      </c>
      <c r="B1202" s="26" t="s">
        <v>439</v>
      </c>
      <c r="C1202" s="27">
        <v>45933.0</v>
      </c>
      <c r="D1202" s="27">
        <v>45933.0</v>
      </c>
      <c r="E1202" s="26" t="s">
        <v>1121</v>
      </c>
      <c r="F1202" s="26" t="s">
        <v>1200</v>
      </c>
    </row>
    <row r="1203">
      <c r="A1203" s="26" t="s">
        <v>1700</v>
      </c>
      <c r="B1203" s="26" t="s">
        <v>432</v>
      </c>
      <c r="C1203" s="27">
        <v>45933.0</v>
      </c>
      <c r="D1203" s="27">
        <v>45933.0</v>
      </c>
      <c r="E1203" s="26" t="s">
        <v>1121</v>
      </c>
      <c r="F1203" s="26" t="s">
        <v>1200</v>
      </c>
    </row>
    <row r="1204">
      <c r="A1204" s="26" t="s">
        <v>1701</v>
      </c>
      <c r="B1204" s="26" t="s">
        <v>444</v>
      </c>
      <c r="C1204" s="27">
        <v>45933.0</v>
      </c>
      <c r="D1204" s="27">
        <v>45933.0</v>
      </c>
      <c r="E1204" s="26" t="s">
        <v>1121</v>
      </c>
      <c r="F1204" s="26" t="s">
        <v>1200</v>
      </c>
    </row>
    <row r="1205">
      <c r="A1205" s="26" t="s">
        <v>1701</v>
      </c>
      <c r="B1205" s="26" t="s">
        <v>444</v>
      </c>
      <c r="C1205" s="27">
        <v>45933.0</v>
      </c>
      <c r="D1205" s="27">
        <v>45933.0</v>
      </c>
      <c r="E1205" s="26" t="s">
        <v>1121</v>
      </c>
      <c r="F1205" s="26" t="s">
        <v>1200</v>
      </c>
    </row>
    <row r="1206">
      <c r="A1206" s="26" t="s">
        <v>1701</v>
      </c>
      <c r="B1206" s="26" t="s">
        <v>444</v>
      </c>
      <c r="C1206" s="27">
        <v>45933.0</v>
      </c>
      <c r="D1206" s="27">
        <v>45933.0</v>
      </c>
      <c r="E1206" s="26" t="s">
        <v>1121</v>
      </c>
      <c r="F1206" s="26" t="s">
        <v>1200</v>
      </c>
    </row>
    <row r="1207">
      <c r="A1207" s="26" t="s">
        <v>1702</v>
      </c>
      <c r="B1207" s="26" t="s">
        <v>383</v>
      </c>
      <c r="C1207" s="27">
        <v>45933.0</v>
      </c>
      <c r="D1207" s="27">
        <v>45933.0</v>
      </c>
      <c r="E1207" s="26" t="s">
        <v>1121</v>
      </c>
      <c r="F1207" s="26" t="s">
        <v>1200</v>
      </c>
    </row>
    <row r="1208">
      <c r="A1208" s="26" t="s">
        <v>1703</v>
      </c>
      <c r="B1208" s="26" t="s">
        <v>739</v>
      </c>
      <c r="C1208" s="27">
        <v>45933.0</v>
      </c>
      <c r="D1208" s="27">
        <v>45933.0</v>
      </c>
      <c r="E1208" s="26" t="s">
        <v>1121</v>
      </c>
      <c r="F1208" s="26" t="s">
        <v>1200</v>
      </c>
    </row>
    <row r="1209">
      <c r="A1209" s="26" t="s">
        <v>1704</v>
      </c>
      <c r="B1209" s="26" t="s">
        <v>688</v>
      </c>
      <c r="C1209" s="27">
        <v>45932.0</v>
      </c>
      <c r="D1209" s="27">
        <v>45932.0</v>
      </c>
      <c r="E1209" s="26" t="s">
        <v>1121</v>
      </c>
      <c r="F1209" s="26" t="s">
        <v>1200</v>
      </c>
    </row>
    <row r="1210">
      <c r="A1210" s="26" t="s">
        <v>1704</v>
      </c>
      <c r="B1210" s="26" t="s">
        <v>688</v>
      </c>
      <c r="C1210" s="27">
        <v>45932.0</v>
      </c>
      <c r="D1210" s="27">
        <v>45932.0</v>
      </c>
      <c r="E1210" s="26" t="s">
        <v>1121</v>
      </c>
      <c r="F1210" s="26" t="s">
        <v>1200</v>
      </c>
    </row>
    <row r="1211">
      <c r="A1211" s="26" t="s">
        <v>1704</v>
      </c>
      <c r="B1211" s="26" t="s">
        <v>688</v>
      </c>
      <c r="C1211" s="27">
        <v>45932.0</v>
      </c>
      <c r="D1211" s="27">
        <v>45932.0</v>
      </c>
      <c r="E1211" s="26" t="s">
        <v>1121</v>
      </c>
      <c r="F1211" s="26" t="s">
        <v>1200</v>
      </c>
    </row>
    <row r="1212">
      <c r="A1212" s="26" t="s">
        <v>1704</v>
      </c>
      <c r="B1212" s="26" t="s">
        <v>688</v>
      </c>
      <c r="C1212" s="27">
        <v>45932.0</v>
      </c>
      <c r="D1212" s="27">
        <v>45932.0</v>
      </c>
      <c r="E1212" s="26" t="s">
        <v>1121</v>
      </c>
      <c r="F1212" s="26" t="s">
        <v>1200</v>
      </c>
    </row>
    <row r="1213">
      <c r="A1213" s="26" t="s">
        <v>1705</v>
      </c>
      <c r="B1213" s="26" t="s">
        <v>542</v>
      </c>
      <c r="C1213" s="27">
        <v>45933.0</v>
      </c>
      <c r="D1213" s="27">
        <v>45933.0</v>
      </c>
      <c r="E1213" s="26" t="s">
        <v>1121</v>
      </c>
      <c r="F1213" s="26" t="s">
        <v>1200</v>
      </c>
    </row>
    <row r="1214">
      <c r="A1214" s="26" t="s">
        <v>1705</v>
      </c>
      <c r="B1214" s="26" t="s">
        <v>542</v>
      </c>
      <c r="C1214" s="27">
        <v>45933.0</v>
      </c>
      <c r="D1214" s="27">
        <v>45933.0</v>
      </c>
      <c r="E1214" s="26" t="s">
        <v>1121</v>
      </c>
      <c r="F1214" s="26" t="s">
        <v>1200</v>
      </c>
    </row>
    <row r="1215">
      <c r="A1215" s="26" t="s">
        <v>1706</v>
      </c>
      <c r="B1215" s="26" t="s">
        <v>461</v>
      </c>
      <c r="C1215" s="27">
        <v>45932.0</v>
      </c>
      <c r="D1215" s="27">
        <v>45932.0</v>
      </c>
      <c r="E1215" s="26" t="s">
        <v>1121</v>
      </c>
      <c r="F1215" s="26" t="s">
        <v>1200</v>
      </c>
    </row>
    <row r="1216">
      <c r="A1216" s="26" t="s">
        <v>1707</v>
      </c>
      <c r="B1216" s="26" t="s">
        <v>467</v>
      </c>
      <c r="C1216" s="27">
        <v>45931.0</v>
      </c>
      <c r="D1216" s="27">
        <v>45931.0</v>
      </c>
      <c r="E1216" s="26" t="s">
        <v>1121</v>
      </c>
      <c r="F1216" s="26" t="s">
        <v>1200</v>
      </c>
    </row>
    <row r="1217">
      <c r="A1217" s="26" t="s">
        <v>1708</v>
      </c>
      <c r="B1217" s="26" t="s">
        <v>444</v>
      </c>
      <c r="C1217" s="27">
        <v>45931.0</v>
      </c>
      <c r="D1217" s="27">
        <v>45931.0</v>
      </c>
      <c r="E1217" s="26" t="s">
        <v>1121</v>
      </c>
      <c r="F1217" s="26" t="s">
        <v>1200</v>
      </c>
    </row>
    <row r="1218">
      <c r="A1218" s="26" t="s">
        <v>1708</v>
      </c>
      <c r="B1218" s="26" t="s">
        <v>444</v>
      </c>
      <c r="C1218" s="27">
        <v>45931.0</v>
      </c>
      <c r="D1218" s="27">
        <v>45931.0</v>
      </c>
      <c r="E1218" s="26" t="s">
        <v>1121</v>
      </c>
      <c r="F1218" s="26" t="s">
        <v>1200</v>
      </c>
    </row>
    <row r="1219">
      <c r="A1219" s="26" t="s">
        <v>1709</v>
      </c>
      <c r="B1219" s="26" t="s">
        <v>745</v>
      </c>
      <c r="C1219" s="27">
        <v>45931.0</v>
      </c>
      <c r="D1219" s="27">
        <v>45931.0</v>
      </c>
      <c r="E1219" s="26" t="s">
        <v>1121</v>
      </c>
      <c r="F1219" s="26" t="s">
        <v>1200</v>
      </c>
    </row>
    <row r="1220">
      <c r="A1220" s="26" t="s">
        <v>1709</v>
      </c>
      <c r="B1220" s="26" t="s">
        <v>745</v>
      </c>
      <c r="C1220" s="27">
        <v>45931.0</v>
      </c>
      <c r="D1220" s="27">
        <v>45931.0</v>
      </c>
      <c r="E1220" s="26" t="s">
        <v>1121</v>
      </c>
      <c r="F1220" s="26" t="s">
        <v>1200</v>
      </c>
    </row>
    <row r="1221">
      <c r="A1221" s="26" t="s">
        <v>1709</v>
      </c>
      <c r="B1221" s="26" t="s">
        <v>745</v>
      </c>
      <c r="C1221" s="27">
        <v>45931.0</v>
      </c>
      <c r="D1221" s="27">
        <v>45931.0</v>
      </c>
      <c r="E1221" s="26" t="s">
        <v>1121</v>
      </c>
      <c r="F1221" s="26" t="s">
        <v>1200</v>
      </c>
    </row>
    <row r="1222">
      <c r="A1222" s="26" t="s">
        <v>1709</v>
      </c>
      <c r="B1222" s="26" t="s">
        <v>745</v>
      </c>
      <c r="C1222" s="27">
        <v>45931.0</v>
      </c>
      <c r="D1222" s="27">
        <v>45931.0</v>
      </c>
      <c r="E1222" s="26" t="s">
        <v>1121</v>
      </c>
      <c r="F1222" s="26" t="s">
        <v>1200</v>
      </c>
    </row>
    <row r="1223">
      <c r="A1223" s="26" t="s">
        <v>1709</v>
      </c>
      <c r="B1223" s="26" t="s">
        <v>745</v>
      </c>
      <c r="C1223" s="27">
        <v>45931.0</v>
      </c>
      <c r="D1223" s="27">
        <v>45931.0</v>
      </c>
      <c r="E1223" s="26" t="s">
        <v>1121</v>
      </c>
      <c r="F1223" s="26" t="s">
        <v>1200</v>
      </c>
    </row>
    <row r="1224">
      <c r="A1224" s="26" t="s">
        <v>1709</v>
      </c>
      <c r="B1224" s="26" t="s">
        <v>745</v>
      </c>
      <c r="C1224" s="27">
        <v>45931.0</v>
      </c>
      <c r="D1224" s="27">
        <v>45931.0</v>
      </c>
      <c r="E1224" s="26" t="s">
        <v>1121</v>
      </c>
      <c r="F1224" s="26" t="s">
        <v>1200</v>
      </c>
    </row>
    <row r="1225">
      <c r="A1225" s="26" t="s">
        <v>1709</v>
      </c>
      <c r="B1225" s="26" t="s">
        <v>745</v>
      </c>
      <c r="C1225" s="27">
        <v>45931.0</v>
      </c>
      <c r="D1225" s="27">
        <v>45931.0</v>
      </c>
      <c r="E1225" s="26" t="s">
        <v>1121</v>
      </c>
      <c r="F1225" s="26" t="s">
        <v>1200</v>
      </c>
    </row>
    <row r="1226">
      <c r="A1226" s="26" t="s">
        <v>1709</v>
      </c>
      <c r="B1226" s="26" t="s">
        <v>745</v>
      </c>
      <c r="C1226" s="27">
        <v>45931.0</v>
      </c>
      <c r="D1226" s="27">
        <v>45931.0</v>
      </c>
      <c r="E1226" s="26" t="s">
        <v>1121</v>
      </c>
      <c r="F1226" s="26" t="s">
        <v>1200</v>
      </c>
    </row>
    <row r="1227">
      <c r="A1227" s="26" t="s">
        <v>1709</v>
      </c>
      <c r="B1227" s="26" t="s">
        <v>745</v>
      </c>
      <c r="C1227" s="27">
        <v>45931.0</v>
      </c>
      <c r="D1227" s="27">
        <v>45931.0</v>
      </c>
      <c r="E1227" s="26" t="s">
        <v>1121</v>
      </c>
      <c r="F1227" s="26" t="s">
        <v>1200</v>
      </c>
    </row>
    <row r="1228">
      <c r="A1228" s="26" t="s">
        <v>1709</v>
      </c>
      <c r="B1228" s="26" t="s">
        <v>745</v>
      </c>
      <c r="C1228" s="27">
        <v>45931.0</v>
      </c>
      <c r="D1228" s="27">
        <v>45931.0</v>
      </c>
      <c r="E1228" s="26" t="s">
        <v>1121</v>
      </c>
      <c r="F1228" s="26" t="s">
        <v>1200</v>
      </c>
    </row>
    <row r="1229">
      <c r="A1229" s="26" t="s">
        <v>1709</v>
      </c>
      <c r="B1229" s="26" t="s">
        <v>745</v>
      </c>
      <c r="C1229" s="27">
        <v>45931.0</v>
      </c>
      <c r="D1229" s="27">
        <v>45931.0</v>
      </c>
      <c r="E1229" s="26" t="s">
        <v>1121</v>
      </c>
      <c r="F1229" s="26" t="s">
        <v>1200</v>
      </c>
    </row>
    <row r="1230">
      <c r="A1230" s="26" t="s">
        <v>1709</v>
      </c>
      <c r="B1230" s="26" t="s">
        <v>745</v>
      </c>
      <c r="C1230" s="27">
        <v>45931.0</v>
      </c>
      <c r="D1230" s="27">
        <v>45931.0</v>
      </c>
      <c r="E1230" s="26" t="s">
        <v>1121</v>
      </c>
      <c r="F1230" s="26" t="s">
        <v>1200</v>
      </c>
    </row>
    <row r="1231">
      <c r="A1231" s="26" t="s">
        <v>1709</v>
      </c>
      <c r="B1231" s="26" t="s">
        <v>745</v>
      </c>
      <c r="C1231" s="27">
        <v>45931.0</v>
      </c>
      <c r="D1231" s="27">
        <v>45931.0</v>
      </c>
      <c r="E1231" s="26" t="s">
        <v>1121</v>
      </c>
      <c r="F1231" s="26" t="s">
        <v>1200</v>
      </c>
    </row>
    <row r="1232">
      <c r="A1232" s="26" t="s">
        <v>1709</v>
      </c>
      <c r="B1232" s="26" t="s">
        <v>745</v>
      </c>
      <c r="C1232" s="27">
        <v>45931.0</v>
      </c>
      <c r="D1232" s="27">
        <v>45931.0</v>
      </c>
      <c r="E1232" s="26" t="s">
        <v>1121</v>
      </c>
      <c r="F1232" s="26" t="s">
        <v>1200</v>
      </c>
    </row>
    <row r="1233">
      <c r="A1233" s="26" t="s">
        <v>1709</v>
      </c>
      <c r="B1233" s="26" t="s">
        <v>745</v>
      </c>
      <c r="C1233" s="27">
        <v>45931.0</v>
      </c>
      <c r="D1233" s="27">
        <v>45931.0</v>
      </c>
      <c r="E1233" s="26" t="s">
        <v>1121</v>
      </c>
      <c r="F1233" s="26" t="s">
        <v>1200</v>
      </c>
    </row>
    <row r="1234">
      <c r="A1234" s="26" t="s">
        <v>1709</v>
      </c>
      <c r="B1234" s="26" t="s">
        <v>745</v>
      </c>
      <c r="C1234" s="27">
        <v>45931.0</v>
      </c>
      <c r="D1234" s="27">
        <v>45931.0</v>
      </c>
      <c r="E1234" s="26" t="s">
        <v>1121</v>
      </c>
      <c r="F1234" s="26" t="s">
        <v>1200</v>
      </c>
    </row>
    <row r="1235">
      <c r="A1235" s="26" t="s">
        <v>1709</v>
      </c>
      <c r="B1235" s="26" t="s">
        <v>745</v>
      </c>
      <c r="C1235" s="27">
        <v>45931.0</v>
      </c>
      <c r="D1235" s="27">
        <v>45931.0</v>
      </c>
      <c r="E1235" s="26" t="s">
        <v>1121</v>
      </c>
      <c r="F1235" s="26" t="s">
        <v>1200</v>
      </c>
    </row>
    <row r="1236">
      <c r="A1236" s="26" t="s">
        <v>1709</v>
      </c>
      <c r="B1236" s="26" t="s">
        <v>745</v>
      </c>
      <c r="C1236" s="27">
        <v>45931.0</v>
      </c>
      <c r="D1236" s="27">
        <v>45931.0</v>
      </c>
      <c r="E1236" s="26" t="s">
        <v>1121</v>
      </c>
      <c r="F1236" s="26" t="s">
        <v>1200</v>
      </c>
    </row>
    <row r="1237">
      <c r="A1237" s="26" t="s">
        <v>1710</v>
      </c>
      <c r="B1237" s="26" t="s">
        <v>736</v>
      </c>
      <c r="C1237" s="27">
        <v>45930.0</v>
      </c>
      <c r="D1237" s="27">
        <v>45930.0</v>
      </c>
      <c r="E1237" s="26" t="s">
        <v>1121</v>
      </c>
      <c r="F1237" s="26" t="s">
        <v>1200</v>
      </c>
    </row>
    <row r="1238">
      <c r="A1238" s="26" t="s">
        <v>1710</v>
      </c>
      <c r="B1238" s="26" t="s">
        <v>736</v>
      </c>
      <c r="C1238" s="27">
        <v>45930.0</v>
      </c>
      <c r="D1238" s="27">
        <v>45930.0</v>
      </c>
      <c r="E1238" s="26" t="s">
        <v>1121</v>
      </c>
      <c r="F1238" s="26" t="s">
        <v>1200</v>
      </c>
    </row>
    <row r="1239">
      <c r="A1239" s="26" t="s">
        <v>1710</v>
      </c>
      <c r="B1239" s="26" t="s">
        <v>736</v>
      </c>
      <c r="C1239" s="27">
        <v>45930.0</v>
      </c>
      <c r="D1239" s="27">
        <v>45930.0</v>
      </c>
      <c r="E1239" s="26" t="s">
        <v>1121</v>
      </c>
      <c r="F1239" s="26" t="s">
        <v>1200</v>
      </c>
    </row>
    <row r="1240">
      <c r="A1240" s="26" t="s">
        <v>1710</v>
      </c>
      <c r="B1240" s="26" t="s">
        <v>736</v>
      </c>
      <c r="C1240" s="27">
        <v>45930.0</v>
      </c>
      <c r="D1240" s="27">
        <v>45930.0</v>
      </c>
      <c r="E1240" s="26" t="s">
        <v>1121</v>
      </c>
      <c r="F1240" s="26" t="s">
        <v>1200</v>
      </c>
    </row>
    <row r="1241">
      <c r="A1241" s="26" t="s">
        <v>1711</v>
      </c>
      <c r="B1241" s="26" t="s">
        <v>1712</v>
      </c>
      <c r="C1241" s="27">
        <v>45929.0</v>
      </c>
      <c r="D1241" s="27">
        <v>45929.0</v>
      </c>
      <c r="E1241" s="26" t="s">
        <v>1121</v>
      </c>
      <c r="F1241" s="26" t="s">
        <v>1200</v>
      </c>
    </row>
    <row r="1242">
      <c r="A1242" s="26" t="s">
        <v>1713</v>
      </c>
      <c r="B1242" s="26" t="s">
        <v>483</v>
      </c>
      <c r="C1242" s="27">
        <v>45929.0</v>
      </c>
      <c r="D1242" s="27">
        <v>45929.0</v>
      </c>
      <c r="E1242" s="26" t="s">
        <v>1121</v>
      </c>
      <c r="F1242" s="26" t="s">
        <v>1200</v>
      </c>
    </row>
    <row r="1243">
      <c r="A1243" s="26" t="s">
        <v>1714</v>
      </c>
      <c r="B1243" s="26" t="s">
        <v>739</v>
      </c>
      <c r="C1243" s="27">
        <v>45929.0</v>
      </c>
      <c r="D1243" s="27">
        <v>45929.0</v>
      </c>
      <c r="E1243" s="26" t="s">
        <v>1121</v>
      </c>
      <c r="F1243" s="26" t="s">
        <v>1200</v>
      </c>
    </row>
    <row r="1244">
      <c r="A1244" s="26" t="s">
        <v>1715</v>
      </c>
      <c r="B1244" s="26" t="s">
        <v>1716</v>
      </c>
      <c r="C1244" s="27">
        <v>45929.0</v>
      </c>
      <c r="D1244" s="27">
        <v>45929.0</v>
      </c>
      <c r="E1244" s="26" t="s">
        <v>1121</v>
      </c>
      <c r="F1244" s="26" t="s">
        <v>1200</v>
      </c>
    </row>
    <row r="1245">
      <c r="A1245" s="26" t="s">
        <v>1715</v>
      </c>
      <c r="B1245" s="26" t="s">
        <v>1716</v>
      </c>
      <c r="C1245" s="27">
        <v>45929.0</v>
      </c>
      <c r="D1245" s="27">
        <v>45929.0</v>
      </c>
      <c r="E1245" s="26" t="s">
        <v>1121</v>
      </c>
      <c r="F1245" s="26" t="s">
        <v>1200</v>
      </c>
    </row>
    <row r="1246">
      <c r="A1246" s="26" t="s">
        <v>1715</v>
      </c>
      <c r="B1246" s="26" t="s">
        <v>1716</v>
      </c>
      <c r="C1246" s="27">
        <v>45929.0</v>
      </c>
      <c r="D1246" s="27">
        <v>45929.0</v>
      </c>
      <c r="E1246" s="26" t="s">
        <v>1121</v>
      </c>
      <c r="F1246" s="26" t="s">
        <v>1200</v>
      </c>
    </row>
    <row r="1247">
      <c r="A1247" s="26" t="s">
        <v>1715</v>
      </c>
      <c r="B1247" s="26" t="s">
        <v>1716</v>
      </c>
      <c r="C1247" s="27">
        <v>45929.0</v>
      </c>
      <c r="D1247" s="27">
        <v>45929.0</v>
      </c>
      <c r="E1247" s="26" t="s">
        <v>1121</v>
      </c>
      <c r="F1247" s="26" t="s">
        <v>1200</v>
      </c>
    </row>
    <row r="1248">
      <c r="A1248" s="26" t="s">
        <v>1717</v>
      </c>
      <c r="B1248" s="26" t="s">
        <v>546</v>
      </c>
      <c r="C1248" s="27">
        <v>45929.0</v>
      </c>
      <c r="D1248" s="27">
        <v>45929.0</v>
      </c>
      <c r="E1248" s="26" t="s">
        <v>1121</v>
      </c>
      <c r="F1248" s="26" t="s">
        <v>1200</v>
      </c>
    </row>
    <row r="1249">
      <c r="A1249" s="26" t="s">
        <v>1718</v>
      </c>
      <c r="B1249" s="26" t="s">
        <v>639</v>
      </c>
      <c r="C1249" s="27">
        <v>45927.0</v>
      </c>
      <c r="D1249" s="27">
        <v>45927.0</v>
      </c>
      <c r="E1249" s="26" t="s">
        <v>1121</v>
      </c>
      <c r="F1249" s="26" t="s">
        <v>1200</v>
      </c>
    </row>
    <row r="1250">
      <c r="A1250" s="26" t="s">
        <v>1719</v>
      </c>
      <c r="B1250" s="26" t="s">
        <v>546</v>
      </c>
      <c r="C1250" s="27">
        <v>45927.0</v>
      </c>
      <c r="D1250" s="27">
        <v>45927.0</v>
      </c>
      <c r="E1250" s="26" t="s">
        <v>1121</v>
      </c>
      <c r="F1250" s="26" t="s">
        <v>1200</v>
      </c>
    </row>
    <row r="1251">
      <c r="A1251" s="26" t="s">
        <v>1719</v>
      </c>
      <c r="B1251" s="26" t="s">
        <v>546</v>
      </c>
      <c r="C1251" s="27">
        <v>45927.0</v>
      </c>
      <c r="D1251" s="27">
        <v>45927.0</v>
      </c>
      <c r="E1251" s="26" t="s">
        <v>1121</v>
      </c>
      <c r="F1251" s="26" t="s">
        <v>1200</v>
      </c>
    </row>
    <row r="1252">
      <c r="A1252" s="26" t="s">
        <v>1720</v>
      </c>
      <c r="B1252" s="26" t="s">
        <v>1712</v>
      </c>
      <c r="C1252" s="27">
        <v>45927.0</v>
      </c>
      <c r="D1252" s="27">
        <v>45927.0</v>
      </c>
      <c r="E1252" s="26" t="s">
        <v>1121</v>
      </c>
      <c r="F1252" s="26" t="s">
        <v>1200</v>
      </c>
    </row>
    <row r="1253">
      <c r="A1253" s="26" t="s">
        <v>1721</v>
      </c>
      <c r="B1253" s="26" t="s">
        <v>467</v>
      </c>
      <c r="C1253" s="27">
        <v>45926.0</v>
      </c>
      <c r="D1253" s="27">
        <v>45926.0</v>
      </c>
      <c r="E1253" s="26" t="s">
        <v>1121</v>
      </c>
      <c r="F1253" s="26" t="s">
        <v>1200</v>
      </c>
    </row>
    <row r="1254">
      <c r="A1254" s="26" t="s">
        <v>1722</v>
      </c>
      <c r="B1254" s="26" t="s">
        <v>516</v>
      </c>
      <c r="C1254" s="27">
        <v>45926.0</v>
      </c>
      <c r="D1254" s="27">
        <v>45926.0</v>
      </c>
      <c r="E1254" s="26" t="s">
        <v>1121</v>
      </c>
      <c r="F1254" s="26" t="s">
        <v>1200</v>
      </c>
    </row>
    <row r="1255">
      <c r="A1255" s="26" t="s">
        <v>1722</v>
      </c>
      <c r="B1255" s="26" t="s">
        <v>516</v>
      </c>
      <c r="C1255" s="27">
        <v>45926.0</v>
      </c>
      <c r="D1255" s="27">
        <v>45926.0</v>
      </c>
      <c r="E1255" s="26" t="s">
        <v>1121</v>
      </c>
      <c r="F1255" s="26" t="s">
        <v>1200</v>
      </c>
    </row>
    <row r="1256">
      <c r="A1256" s="26" t="s">
        <v>1723</v>
      </c>
      <c r="B1256" s="26" t="s">
        <v>546</v>
      </c>
      <c r="C1256" s="27">
        <v>45925.0</v>
      </c>
      <c r="D1256" s="27">
        <v>45925.0</v>
      </c>
      <c r="E1256" s="26" t="s">
        <v>1121</v>
      </c>
      <c r="F1256" s="26" t="s">
        <v>1200</v>
      </c>
    </row>
    <row r="1257">
      <c r="A1257" s="26" t="s">
        <v>1724</v>
      </c>
      <c r="B1257" s="26" t="s">
        <v>439</v>
      </c>
      <c r="C1257" s="27">
        <v>45925.0</v>
      </c>
      <c r="D1257" s="27">
        <v>45925.0</v>
      </c>
      <c r="E1257" s="26" t="s">
        <v>1121</v>
      </c>
      <c r="F1257" s="26" t="s">
        <v>1200</v>
      </c>
    </row>
    <row r="1258">
      <c r="A1258" s="26" t="s">
        <v>1725</v>
      </c>
      <c r="B1258" s="26" t="s">
        <v>444</v>
      </c>
      <c r="C1258" s="27">
        <v>45925.0</v>
      </c>
      <c r="D1258" s="27">
        <v>45925.0</v>
      </c>
      <c r="E1258" s="26" t="s">
        <v>1121</v>
      </c>
      <c r="F1258" s="26" t="s">
        <v>1200</v>
      </c>
    </row>
    <row r="1259">
      <c r="A1259" s="26" t="s">
        <v>1725</v>
      </c>
      <c r="B1259" s="26" t="s">
        <v>444</v>
      </c>
      <c r="C1259" s="27">
        <v>45925.0</v>
      </c>
      <c r="D1259" s="27">
        <v>45925.0</v>
      </c>
      <c r="E1259" s="26" t="s">
        <v>1121</v>
      </c>
      <c r="F1259" s="26" t="s">
        <v>1200</v>
      </c>
    </row>
    <row r="1260">
      <c r="A1260" s="26" t="s">
        <v>1726</v>
      </c>
      <c r="B1260" s="26" t="s">
        <v>321</v>
      </c>
      <c r="C1260" s="27">
        <v>45925.0</v>
      </c>
      <c r="D1260" s="27">
        <v>45925.0</v>
      </c>
      <c r="E1260" s="26" t="s">
        <v>1121</v>
      </c>
      <c r="F1260" s="26" t="s">
        <v>1200</v>
      </c>
    </row>
    <row r="1261">
      <c r="A1261" s="26" t="s">
        <v>1726</v>
      </c>
      <c r="B1261" s="26" t="s">
        <v>321</v>
      </c>
      <c r="C1261" s="27">
        <v>45925.0</v>
      </c>
      <c r="D1261" s="27">
        <v>45925.0</v>
      </c>
      <c r="E1261" s="26" t="s">
        <v>1121</v>
      </c>
      <c r="F1261" s="26" t="s">
        <v>1200</v>
      </c>
    </row>
    <row r="1262">
      <c r="A1262" s="26" t="s">
        <v>1726</v>
      </c>
      <c r="B1262" s="26" t="s">
        <v>321</v>
      </c>
      <c r="C1262" s="27">
        <v>45925.0</v>
      </c>
      <c r="D1262" s="27">
        <v>45925.0</v>
      </c>
      <c r="E1262" s="26" t="s">
        <v>1121</v>
      </c>
      <c r="F1262" s="26" t="s">
        <v>1200</v>
      </c>
    </row>
    <row r="1263">
      <c r="A1263" s="26" t="s">
        <v>1726</v>
      </c>
      <c r="B1263" s="26" t="s">
        <v>321</v>
      </c>
      <c r="C1263" s="27">
        <v>45925.0</v>
      </c>
      <c r="D1263" s="27">
        <v>45925.0</v>
      </c>
      <c r="E1263" s="26" t="s">
        <v>1121</v>
      </c>
      <c r="F1263" s="26" t="s">
        <v>1200</v>
      </c>
    </row>
    <row r="1264">
      <c r="A1264" s="26" t="s">
        <v>1726</v>
      </c>
      <c r="B1264" s="26" t="s">
        <v>321</v>
      </c>
      <c r="C1264" s="27">
        <v>45925.0</v>
      </c>
      <c r="D1264" s="27">
        <v>45925.0</v>
      </c>
      <c r="E1264" s="26" t="s">
        <v>1121</v>
      </c>
      <c r="F1264" s="26" t="s">
        <v>1200</v>
      </c>
    </row>
    <row r="1265">
      <c r="A1265" s="26" t="s">
        <v>1726</v>
      </c>
      <c r="B1265" s="26" t="s">
        <v>321</v>
      </c>
      <c r="C1265" s="27">
        <v>45925.0</v>
      </c>
      <c r="D1265" s="27">
        <v>45925.0</v>
      </c>
      <c r="E1265" s="26" t="s">
        <v>1121</v>
      </c>
      <c r="F1265" s="26" t="s">
        <v>1200</v>
      </c>
    </row>
    <row r="1266">
      <c r="A1266" s="26" t="s">
        <v>1726</v>
      </c>
      <c r="B1266" s="26" t="s">
        <v>321</v>
      </c>
      <c r="C1266" s="27">
        <v>45925.0</v>
      </c>
      <c r="D1266" s="27">
        <v>45925.0</v>
      </c>
      <c r="E1266" s="26" t="s">
        <v>1121</v>
      </c>
      <c r="F1266" s="26" t="s">
        <v>1200</v>
      </c>
    </row>
    <row r="1267">
      <c r="A1267" s="26" t="s">
        <v>1727</v>
      </c>
      <c r="B1267" s="26" t="s">
        <v>634</v>
      </c>
      <c r="C1267" s="27">
        <v>45923.0</v>
      </c>
      <c r="D1267" s="27">
        <v>45923.0</v>
      </c>
      <c r="E1267" s="26" t="s">
        <v>1121</v>
      </c>
      <c r="F1267" s="26" t="s">
        <v>1200</v>
      </c>
    </row>
    <row r="1268">
      <c r="A1268" s="26" t="s">
        <v>1728</v>
      </c>
      <c r="B1268" s="26" t="s">
        <v>546</v>
      </c>
      <c r="C1268" s="27">
        <v>45923.0</v>
      </c>
      <c r="D1268" s="27">
        <v>45923.0</v>
      </c>
      <c r="E1268" s="26" t="s">
        <v>1121</v>
      </c>
      <c r="F1268" s="26" t="s">
        <v>1200</v>
      </c>
    </row>
    <row r="1269">
      <c r="A1269" s="26" t="s">
        <v>1728</v>
      </c>
      <c r="B1269" s="26" t="s">
        <v>546</v>
      </c>
      <c r="C1269" s="27">
        <v>45923.0</v>
      </c>
      <c r="D1269" s="27">
        <v>45923.0</v>
      </c>
      <c r="E1269" s="26" t="s">
        <v>1121</v>
      </c>
      <c r="F1269" s="26" t="s">
        <v>1200</v>
      </c>
    </row>
    <row r="1270">
      <c r="A1270" s="26" t="s">
        <v>1729</v>
      </c>
      <c r="B1270" s="26" t="s">
        <v>458</v>
      </c>
      <c r="C1270" s="27">
        <v>45923.0</v>
      </c>
      <c r="D1270" s="27">
        <v>45923.0</v>
      </c>
      <c r="E1270" s="26" t="s">
        <v>1121</v>
      </c>
      <c r="F1270" s="26" t="s">
        <v>1200</v>
      </c>
    </row>
    <row r="1271">
      <c r="A1271" s="26" t="s">
        <v>1730</v>
      </c>
      <c r="B1271" s="26" t="s">
        <v>444</v>
      </c>
      <c r="C1271" s="27">
        <v>45922.0</v>
      </c>
      <c r="D1271" s="27">
        <v>45922.0</v>
      </c>
      <c r="E1271" s="26" t="s">
        <v>1121</v>
      </c>
      <c r="F1271" s="26" t="s">
        <v>1200</v>
      </c>
    </row>
    <row r="1272">
      <c r="A1272" s="26" t="s">
        <v>1731</v>
      </c>
      <c r="B1272" s="26" t="s">
        <v>467</v>
      </c>
      <c r="C1272" s="27">
        <v>45920.0</v>
      </c>
      <c r="D1272" s="27">
        <v>45920.0</v>
      </c>
      <c r="E1272" s="26" t="s">
        <v>1121</v>
      </c>
      <c r="F1272" s="26" t="s">
        <v>1200</v>
      </c>
    </row>
    <row r="1273">
      <c r="A1273" s="26" t="s">
        <v>1731</v>
      </c>
      <c r="B1273" s="26" t="s">
        <v>467</v>
      </c>
      <c r="C1273" s="27">
        <v>45920.0</v>
      </c>
      <c r="D1273" s="27">
        <v>45920.0</v>
      </c>
      <c r="E1273" s="26" t="s">
        <v>1121</v>
      </c>
      <c r="F1273" s="26" t="s">
        <v>1200</v>
      </c>
    </row>
    <row r="1274">
      <c r="A1274" s="26" t="s">
        <v>1732</v>
      </c>
      <c r="B1274" s="26" t="s">
        <v>483</v>
      </c>
      <c r="C1274" s="27">
        <v>45919.0</v>
      </c>
      <c r="D1274" s="27">
        <v>45919.0</v>
      </c>
      <c r="E1274" s="26" t="s">
        <v>1121</v>
      </c>
      <c r="F1274" s="26" t="s">
        <v>1200</v>
      </c>
    </row>
    <row r="1275">
      <c r="A1275" s="26" t="s">
        <v>1733</v>
      </c>
      <c r="B1275" s="26" t="s">
        <v>432</v>
      </c>
      <c r="C1275" s="27">
        <v>45919.0</v>
      </c>
      <c r="D1275" s="27">
        <v>45919.0</v>
      </c>
      <c r="E1275" s="26" t="s">
        <v>1121</v>
      </c>
      <c r="F1275" s="26" t="s">
        <v>1200</v>
      </c>
    </row>
    <row r="1276">
      <c r="A1276" s="26" t="s">
        <v>1734</v>
      </c>
      <c r="B1276" s="26" t="s">
        <v>580</v>
      </c>
      <c r="C1276" s="27">
        <v>45918.0</v>
      </c>
      <c r="D1276" s="27">
        <v>45918.0</v>
      </c>
      <c r="E1276" s="26" t="s">
        <v>1121</v>
      </c>
      <c r="F1276" s="26" t="s">
        <v>1200</v>
      </c>
    </row>
    <row r="1277">
      <c r="A1277" s="26" t="s">
        <v>1735</v>
      </c>
      <c r="B1277" s="26" t="s">
        <v>321</v>
      </c>
      <c r="C1277" s="27">
        <v>45918.0</v>
      </c>
      <c r="D1277" s="27">
        <v>45918.0</v>
      </c>
      <c r="E1277" s="26" t="s">
        <v>1121</v>
      </c>
      <c r="F1277" s="26" t="s">
        <v>1200</v>
      </c>
    </row>
    <row r="1278">
      <c r="A1278" s="26" t="s">
        <v>1735</v>
      </c>
      <c r="B1278" s="26" t="s">
        <v>321</v>
      </c>
      <c r="C1278" s="27">
        <v>45918.0</v>
      </c>
      <c r="D1278" s="27">
        <v>45918.0</v>
      </c>
      <c r="E1278" s="26" t="s">
        <v>1121</v>
      </c>
      <c r="F1278" s="26" t="s">
        <v>1200</v>
      </c>
    </row>
    <row r="1279">
      <c r="A1279" s="26" t="s">
        <v>1735</v>
      </c>
      <c r="B1279" s="26" t="s">
        <v>321</v>
      </c>
      <c r="C1279" s="27">
        <v>45918.0</v>
      </c>
      <c r="D1279" s="27">
        <v>45918.0</v>
      </c>
      <c r="E1279" s="26" t="s">
        <v>1121</v>
      </c>
      <c r="F1279" s="26" t="s">
        <v>1200</v>
      </c>
    </row>
    <row r="1280">
      <c r="A1280" s="26" t="s">
        <v>1735</v>
      </c>
      <c r="B1280" s="26" t="s">
        <v>321</v>
      </c>
      <c r="C1280" s="27">
        <v>45918.0</v>
      </c>
      <c r="D1280" s="27">
        <v>45918.0</v>
      </c>
      <c r="E1280" s="26" t="s">
        <v>1121</v>
      </c>
      <c r="F1280" s="26" t="s">
        <v>1200</v>
      </c>
    </row>
    <row r="1281">
      <c r="A1281" s="26" t="s">
        <v>1735</v>
      </c>
      <c r="B1281" s="26" t="s">
        <v>321</v>
      </c>
      <c r="C1281" s="27">
        <v>45918.0</v>
      </c>
      <c r="D1281" s="27">
        <v>45918.0</v>
      </c>
      <c r="E1281" s="26" t="s">
        <v>1121</v>
      </c>
      <c r="F1281" s="26" t="s">
        <v>1200</v>
      </c>
    </row>
    <row r="1282">
      <c r="A1282" s="26" t="s">
        <v>1735</v>
      </c>
      <c r="B1282" s="26" t="s">
        <v>321</v>
      </c>
      <c r="C1282" s="27">
        <v>45918.0</v>
      </c>
      <c r="D1282" s="27">
        <v>45918.0</v>
      </c>
      <c r="E1282" s="26" t="s">
        <v>1121</v>
      </c>
      <c r="F1282" s="26" t="s">
        <v>1200</v>
      </c>
    </row>
    <row r="1283">
      <c r="A1283" s="26" t="s">
        <v>1736</v>
      </c>
      <c r="B1283" s="26" t="s">
        <v>546</v>
      </c>
      <c r="C1283" s="27">
        <v>45916.0</v>
      </c>
      <c r="D1283" s="27">
        <v>45916.0</v>
      </c>
      <c r="E1283" s="26" t="s">
        <v>1121</v>
      </c>
      <c r="F1283" s="26" t="s">
        <v>1200</v>
      </c>
    </row>
    <row r="1284">
      <c r="A1284" s="26" t="s">
        <v>1736</v>
      </c>
      <c r="B1284" s="26" t="s">
        <v>546</v>
      </c>
      <c r="C1284" s="27">
        <v>45916.0</v>
      </c>
      <c r="D1284" s="27">
        <v>45916.0</v>
      </c>
      <c r="E1284" s="26" t="s">
        <v>1121</v>
      </c>
      <c r="F1284" s="26" t="s">
        <v>1200</v>
      </c>
    </row>
    <row r="1285">
      <c r="A1285" s="26" t="s">
        <v>1737</v>
      </c>
      <c r="B1285" s="26" t="s">
        <v>467</v>
      </c>
      <c r="C1285" s="27">
        <v>45916.0</v>
      </c>
      <c r="D1285" s="27">
        <v>45916.0</v>
      </c>
      <c r="E1285" s="26" t="s">
        <v>1121</v>
      </c>
      <c r="F1285" s="26" t="s">
        <v>1200</v>
      </c>
    </row>
    <row r="1286">
      <c r="A1286" s="26" t="s">
        <v>1738</v>
      </c>
      <c r="B1286" s="26" t="s">
        <v>435</v>
      </c>
      <c r="C1286" s="27">
        <v>45916.0</v>
      </c>
      <c r="D1286" s="27">
        <v>45916.0</v>
      </c>
      <c r="E1286" s="26" t="s">
        <v>1121</v>
      </c>
      <c r="F1286" s="26" t="s">
        <v>1200</v>
      </c>
    </row>
    <row r="1287">
      <c r="A1287" s="26" t="s">
        <v>1739</v>
      </c>
      <c r="B1287" s="26" t="s">
        <v>428</v>
      </c>
      <c r="C1287" s="27">
        <v>45916.0</v>
      </c>
      <c r="D1287" s="27">
        <v>45916.0</v>
      </c>
      <c r="E1287" s="26" t="s">
        <v>1121</v>
      </c>
      <c r="F1287" s="26" t="s">
        <v>1200</v>
      </c>
    </row>
    <row r="1288">
      <c r="A1288" s="26" t="s">
        <v>1740</v>
      </c>
      <c r="B1288" s="26" t="s">
        <v>546</v>
      </c>
      <c r="C1288" s="27">
        <v>45915.0</v>
      </c>
      <c r="D1288" s="27">
        <v>45915.0</v>
      </c>
      <c r="E1288" s="26" t="s">
        <v>1121</v>
      </c>
      <c r="F1288" s="26" t="s">
        <v>1200</v>
      </c>
    </row>
    <row r="1289">
      <c r="A1289" s="26" t="s">
        <v>1741</v>
      </c>
      <c r="B1289" s="26" t="s">
        <v>483</v>
      </c>
      <c r="C1289" s="27">
        <v>45915.0</v>
      </c>
      <c r="D1289" s="27">
        <v>45915.0</v>
      </c>
      <c r="E1289" s="26" t="s">
        <v>1121</v>
      </c>
      <c r="F1289" s="26" t="s">
        <v>1200</v>
      </c>
    </row>
    <row r="1290">
      <c r="A1290" s="26" t="s">
        <v>1742</v>
      </c>
      <c r="B1290" s="26" t="s">
        <v>781</v>
      </c>
      <c r="C1290" s="27">
        <v>45913.0</v>
      </c>
      <c r="D1290" s="27">
        <v>45913.0</v>
      </c>
      <c r="E1290" s="26" t="s">
        <v>1121</v>
      </c>
      <c r="F1290" s="26" t="s">
        <v>1200</v>
      </c>
    </row>
    <row r="1291">
      <c r="A1291" s="26" t="s">
        <v>1742</v>
      </c>
      <c r="B1291" s="26" t="s">
        <v>781</v>
      </c>
      <c r="C1291" s="27">
        <v>45913.0</v>
      </c>
      <c r="D1291" s="27">
        <v>45913.0</v>
      </c>
      <c r="E1291" s="26" t="s">
        <v>1121</v>
      </c>
      <c r="F1291" s="26" t="s">
        <v>1200</v>
      </c>
    </row>
    <row r="1292">
      <c r="A1292" s="26" t="s">
        <v>1743</v>
      </c>
      <c r="B1292" s="26" t="s">
        <v>516</v>
      </c>
      <c r="C1292" s="27">
        <v>45913.0</v>
      </c>
      <c r="D1292" s="27">
        <v>45913.0</v>
      </c>
      <c r="E1292" s="26" t="s">
        <v>1121</v>
      </c>
      <c r="F1292" s="26" t="s">
        <v>1200</v>
      </c>
    </row>
    <row r="1293">
      <c r="A1293" s="26" t="s">
        <v>1743</v>
      </c>
      <c r="B1293" s="26" t="s">
        <v>516</v>
      </c>
      <c r="C1293" s="27">
        <v>45913.0</v>
      </c>
      <c r="D1293" s="27">
        <v>45913.0</v>
      </c>
      <c r="E1293" s="26" t="s">
        <v>1121</v>
      </c>
      <c r="F1293" s="26" t="s">
        <v>1200</v>
      </c>
    </row>
    <row r="1294">
      <c r="A1294" s="26" t="s">
        <v>1744</v>
      </c>
      <c r="B1294" s="26" t="s">
        <v>1335</v>
      </c>
      <c r="C1294" s="27">
        <v>45912.0</v>
      </c>
      <c r="D1294" s="27">
        <v>45912.0</v>
      </c>
      <c r="E1294" s="26" t="s">
        <v>1121</v>
      </c>
      <c r="F1294" s="26" t="s">
        <v>1200</v>
      </c>
    </row>
    <row r="1295">
      <c r="A1295" s="26" t="s">
        <v>1744</v>
      </c>
      <c r="B1295" s="26" t="s">
        <v>1335</v>
      </c>
      <c r="C1295" s="27">
        <v>45912.0</v>
      </c>
      <c r="D1295" s="27">
        <v>45912.0</v>
      </c>
      <c r="E1295" s="26" t="s">
        <v>1121</v>
      </c>
      <c r="F1295" s="26" t="s">
        <v>1200</v>
      </c>
    </row>
    <row r="1296">
      <c r="A1296" s="26" t="s">
        <v>1744</v>
      </c>
      <c r="B1296" s="26" t="s">
        <v>1335</v>
      </c>
      <c r="C1296" s="27">
        <v>45912.0</v>
      </c>
      <c r="D1296" s="27">
        <v>45912.0</v>
      </c>
      <c r="E1296" s="26" t="s">
        <v>1121</v>
      </c>
      <c r="F1296" s="26" t="s">
        <v>1200</v>
      </c>
    </row>
    <row r="1297">
      <c r="A1297" s="26" t="s">
        <v>1744</v>
      </c>
      <c r="B1297" s="26" t="s">
        <v>1335</v>
      </c>
      <c r="C1297" s="27">
        <v>45912.0</v>
      </c>
      <c r="D1297" s="27">
        <v>45912.0</v>
      </c>
      <c r="E1297" s="26" t="s">
        <v>1121</v>
      </c>
      <c r="F1297" s="26" t="s">
        <v>1200</v>
      </c>
    </row>
    <row r="1298">
      <c r="A1298" s="26" t="s">
        <v>1744</v>
      </c>
      <c r="B1298" s="26" t="s">
        <v>1335</v>
      </c>
      <c r="C1298" s="27">
        <v>45912.0</v>
      </c>
      <c r="D1298" s="27">
        <v>45912.0</v>
      </c>
      <c r="E1298" s="26" t="s">
        <v>1121</v>
      </c>
      <c r="F1298" s="26" t="s">
        <v>1200</v>
      </c>
    </row>
    <row r="1299">
      <c r="A1299" s="26" t="s">
        <v>1744</v>
      </c>
      <c r="B1299" s="26" t="s">
        <v>1335</v>
      </c>
      <c r="C1299" s="27">
        <v>45912.0</v>
      </c>
      <c r="D1299" s="27">
        <v>45912.0</v>
      </c>
      <c r="E1299" s="26" t="s">
        <v>1121</v>
      </c>
      <c r="F1299" s="26" t="s">
        <v>1200</v>
      </c>
    </row>
    <row r="1300">
      <c r="A1300" s="26" t="s">
        <v>1744</v>
      </c>
      <c r="B1300" s="26" t="s">
        <v>1335</v>
      </c>
      <c r="C1300" s="27">
        <v>45912.0</v>
      </c>
      <c r="D1300" s="27">
        <v>45912.0</v>
      </c>
      <c r="E1300" s="26" t="s">
        <v>1121</v>
      </c>
      <c r="F1300" s="26" t="s">
        <v>1200</v>
      </c>
    </row>
    <row r="1301">
      <c r="A1301" s="26" t="s">
        <v>1744</v>
      </c>
      <c r="B1301" s="26" t="s">
        <v>1335</v>
      </c>
      <c r="C1301" s="27">
        <v>45912.0</v>
      </c>
      <c r="D1301" s="27">
        <v>45912.0</v>
      </c>
      <c r="E1301" s="26" t="s">
        <v>1121</v>
      </c>
      <c r="F1301" s="26" t="s">
        <v>1200</v>
      </c>
    </row>
    <row r="1302">
      <c r="A1302" s="26" t="s">
        <v>1744</v>
      </c>
      <c r="B1302" s="26" t="s">
        <v>1335</v>
      </c>
      <c r="C1302" s="27">
        <v>45912.0</v>
      </c>
      <c r="D1302" s="27">
        <v>45912.0</v>
      </c>
      <c r="E1302" s="26" t="s">
        <v>1121</v>
      </c>
      <c r="F1302" s="26" t="s">
        <v>1200</v>
      </c>
    </row>
    <row r="1303">
      <c r="A1303" s="26" t="s">
        <v>1745</v>
      </c>
      <c r="B1303" s="26" t="s">
        <v>546</v>
      </c>
      <c r="C1303" s="27">
        <v>45912.0</v>
      </c>
      <c r="D1303" s="27">
        <v>45912.0</v>
      </c>
      <c r="E1303" s="26" t="s">
        <v>1121</v>
      </c>
      <c r="F1303" s="26" t="s">
        <v>1200</v>
      </c>
    </row>
    <row r="1304">
      <c r="A1304" s="26" t="s">
        <v>1746</v>
      </c>
      <c r="B1304" s="26" t="s">
        <v>599</v>
      </c>
      <c r="C1304" s="27">
        <v>45912.0</v>
      </c>
      <c r="D1304" s="27">
        <v>45912.0</v>
      </c>
      <c r="E1304" s="26" t="s">
        <v>1121</v>
      </c>
      <c r="F1304" s="26" t="s">
        <v>1200</v>
      </c>
    </row>
    <row r="1305">
      <c r="A1305" s="26" t="s">
        <v>1747</v>
      </c>
      <c r="B1305" s="26" t="s">
        <v>383</v>
      </c>
      <c r="C1305" s="27">
        <v>45912.0</v>
      </c>
      <c r="D1305" s="27">
        <v>45912.0</v>
      </c>
      <c r="E1305" s="26" t="s">
        <v>1121</v>
      </c>
      <c r="F1305" s="26" t="s">
        <v>1200</v>
      </c>
    </row>
    <row r="1306">
      <c r="A1306" s="26" t="s">
        <v>1747</v>
      </c>
      <c r="B1306" s="26" t="s">
        <v>383</v>
      </c>
      <c r="C1306" s="27">
        <v>45912.0</v>
      </c>
      <c r="D1306" s="27">
        <v>45912.0</v>
      </c>
      <c r="E1306" s="26" t="s">
        <v>1121</v>
      </c>
      <c r="F1306" s="26" t="s">
        <v>1200</v>
      </c>
    </row>
    <row r="1307">
      <c r="A1307" s="26" t="s">
        <v>1747</v>
      </c>
      <c r="B1307" s="26" t="s">
        <v>383</v>
      </c>
      <c r="C1307" s="27">
        <v>45912.0</v>
      </c>
      <c r="D1307" s="27">
        <v>45912.0</v>
      </c>
      <c r="E1307" s="26" t="s">
        <v>1121</v>
      </c>
      <c r="F1307" s="26" t="s">
        <v>1200</v>
      </c>
    </row>
    <row r="1308">
      <c r="A1308" s="26" t="s">
        <v>1747</v>
      </c>
      <c r="B1308" s="26" t="s">
        <v>383</v>
      </c>
      <c r="C1308" s="27">
        <v>45912.0</v>
      </c>
      <c r="D1308" s="27">
        <v>45912.0</v>
      </c>
      <c r="E1308" s="26" t="s">
        <v>1121</v>
      </c>
      <c r="F1308" s="26" t="s">
        <v>1200</v>
      </c>
    </row>
    <row r="1309">
      <c r="A1309" s="26" t="s">
        <v>1747</v>
      </c>
      <c r="B1309" s="26" t="s">
        <v>383</v>
      </c>
      <c r="C1309" s="27">
        <v>45912.0</v>
      </c>
      <c r="D1309" s="27">
        <v>45912.0</v>
      </c>
      <c r="E1309" s="26" t="s">
        <v>1121</v>
      </c>
      <c r="F1309" s="26" t="s">
        <v>1200</v>
      </c>
    </row>
    <row r="1310">
      <c r="A1310" s="26" t="s">
        <v>1747</v>
      </c>
      <c r="B1310" s="26" t="s">
        <v>383</v>
      </c>
      <c r="C1310" s="27">
        <v>45912.0</v>
      </c>
      <c r="D1310" s="27">
        <v>45912.0</v>
      </c>
      <c r="E1310" s="26" t="s">
        <v>1121</v>
      </c>
      <c r="F1310" s="26" t="s">
        <v>1200</v>
      </c>
    </row>
    <row r="1311">
      <c r="A1311" s="26" t="s">
        <v>1748</v>
      </c>
      <c r="B1311" s="26" t="s">
        <v>662</v>
      </c>
      <c r="C1311" s="27">
        <v>45911.0</v>
      </c>
      <c r="D1311" s="27">
        <v>45911.0</v>
      </c>
      <c r="E1311" s="26" t="s">
        <v>1121</v>
      </c>
      <c r="F1311" s="26" t="s">
        <v>1200</v>
      </c>
    </row>
    <row r="1312">
      <c r="A1312" s="26" t="s">
        <v>1748</v>
      </c>
      <c r="B1312" s="26" t="s">
        <v>662</v>
      </c>
      <c r="C1312" s="27">
        <v>45911.0</v>
      </c>
      <c r="D1312" s="27">
        <v>45911.0</v>
      </c>
      <c r="E1312" s="26" t="s">
        <v>1121</v>
      </c>
      <c r="F1312" s="26" t="s">
        <v>1200</v>
      </c>
    </row>
    <row r="1313">
      <c r="A1313" s="26" t="s">
        <v>1748</v>
      </c>
      <c r="B1313" s="26" t="s">
        <v>662</v>
      </c>
      <c r="C1313" s="27">
        <v>45911.0</v>
      </c>
      <c r="D1313" s="27">
        <v>45911.0</v>
      </c>
      <c r="E1313" s="26" t="s">
        <v>1121</v>
      </c>
      <c r="F1313" s="26" t="s">
        <v>1200</v>
      </c>
    </row>
    <row r="1314">
      <c r="A1314" s="26" t="s">
        <v>1749</v>
      </c>
      <c r="B1314" s="26" t="s">
        <v>634</v>
      </c>
      <c r="C1314" s="27">
        <v>45911.0</v>
      </c>
      <c r="D1314" s="27">
        <v>45911.0</v>
      </c>
      <c r="E1314" s="26" t="s">
        <v>1121</v>
      </c>
      <c r="F1314" s="26" t="s">
        <v>1200</v>
      </c>
    </row>
    <row r="1315">
      <c r="A1315" s="26" t="s">
        <v>1749</v>
      </c>
      <c r="B1315" s="26" t="s">
        <v>634</v>
      </c>
      <c r="C1315" s="27">
        <v>45911.0</v>
      </c>
      <c r="D1315" s="27">
        <v>45911.0</v>
      </c>
      <c r="E1315" s="26" t="s">
        <v>1121</v>
      </c>
      <c r="F1315" s="26" t="s">
        <v>1200</v>
      </c>
    </row>
    <row r="1316">
      <c r="A1316" s="26" t="s">
        <v>1750</v>
      </c>
      <c r="B1316" s="26" t="s">
        <v>439</v>
      </c>
      <c r="C1316" s="27">
        <v>45911.0</v>
      </c>
      <c r="D1316" s="27">
        <v>45911.0</v>
      </c>
      <c r="E1316" s="26" t="s">
        <v>1121</v>
      </c>
      <c r="F1316" s="26" t="s">
        <v>1200</v>
      </c>
    </row>
    <row r="1317">
      <c r="A1317" s="26" t="s">
        <v>1751</v>
      </c>
      <c r="B1317" s="26" t="s">
        <v>444</v>
      </c>
      <c r="C1317" s="27">
        <v>45911.0</v>
      </c>
      <c r="D1317" s="27">
        <v>45911.0</v>
      </c>
      <c r="E1317" s="26" t="s">
        <v>1121</v>
      </c>
      <c r="F1317" s="26" t="s">
        <v>1200</v>
      </c>
    </row>
    <row r="1318">
      <c r="A1318" s="26" t="s">
        <v>1752</v>
      </c>
      <c r="B1318" s="26" t="s">
        <v>567</v>
      </c>
      <c r="C1318" s="27">
        <v>45911.0</v>
      </c>
      <c r="D1318" s="27">
        <v>45911.0</v>
      </c>
      <c r="E1318" s="26" t="s">
        <v>1121</v>
      </c>
      <c r="F1318" s="26" t="s">
        <v>1200</v>
      </c>
    </row>
    <row r="1319">
      <c r="A1319" s="26" t="s">
        <v>1753</v>
      </c>
      <c r="B1319" s="26" t="s">
        <v>644</v>
      </c>
      <c r="C1319" s="27">
        <v>45910.0</v>
      </c>
      <c r="D1319" s="27">
        <v>45910.0</v>
      </c>
      <c r="E1319" s="26" t="s">
        <v>1121</v>
      </c>
      <c r="F1319" s="26" t="s">
        <v>1200</v>
      </c>
    </row>
    <row r="1320">
      <c r="A1320" s="26" t="s">
        <v>1754</v>
      </c>
      <c r="B1320" s="26" t="s">
        <v>639</v>
      </c>
      <c r="C1320" s="27">
        <v>45910.0</v>
      </c>
      <c r="D1320" s="27">
        <v>45910.0</v>
      </c>
      <c r="E1320" s="26" t="s">
        <v>1121</v>
      </c>
      <c r="F1320" s="26" t="s">
        <v>1200</v>
      </c>
    </row>
    <row r="1321">
      <c r="A1321" s="26" t="s">
        <v>1755</v>
      </c>
      <c r="B1321" s="26" t="s">
        <v>432</v>
      </c>
      <c r="C1321" s="27">
        <v>45909.0</v>
      </c>
      <c r="D1321" s="27">
        <v>45909.0</v>
      </c>
      <c r="E1321" s="26" t="s">
        <v>1121</v>
      </c>
      <c r="F1321" s="26" t="s">
        <v>1200</v>
      </c>
    </row>
    <row r="1322">
      <c r="A1322" s="26" t="s">
        <v>1755</v>
      </c>
      <c r="B1322" s="26" t="s">
        <v>432</v>
      </c>
      <c r="C1322" s="27">
        <v>45909.0</v>
      </c>
      <c r="D1322" s="27">
        <v>45909.0</v>
      </c>
      <c r="E1322" s="26" t="s">
        <v>1121</v>
      </c>
      <c r="F1322" s="26" t="s">
        <v>1200</v>
      </c>
    </row>
    <row r="1323">
      <c r="A1323" s="26" t="s">
        <v>1756</v>
      </c>
      <c r="B1323" s="26" t="s">
        <v>546</v>
      </c>
      <c r="C1323" s="27">
        <v>45909.0</v>
      </c>
      <c r="D1323" s="27">
        <v>45909.0</v>
      </c>
      <c r="E1323" s="26" t="s">
        <v>1121</v>
      </c>
      <c r="F1323" s="26" t="s">
        <v>1200</v>
      </c>
    </row>
    <row r="1324">
      <c r="A1324" s="26" t="s">
        <v>1757</v>
      </c>
      <c r="B1324" s="26" t="s">
        <v>604</v>
      </c>
      <c r="C1324" s="27">
        <v>45909.0</v>
      </c>
      <c r="D1324" s="27">
        <v>45909.0</v>
      </c>
      <c r="E1324" s="26" t="s">
        <v>1121</v>
      </c>
      <c r="F1324" s="26" t="s">
        <v>1200</v>
      </c>
    </row>
    <row r="1325">
      <c r="A1325" s="26" t="s">
        <v>1758</v>
      </c>
      <c r="B1325" s="26" t="s">
        <v>1226</v>
      </c>
      <c r="C1325" s="27">
        <v>45911.0</v>
      </c>
      <c r="D1325" s="27">
        <v>45911.0</v>
      </c>
      <c r="E1325" s="26" t="s">
        <v>1121</v>
      </c>
      <c r="F1325" s="26" t="s">
        <v>1200</v>
      </c>
    </row>
    <row r="1326">
      <c r="A1326" s="26" t="s">
        <v>1758</v>
      </c>
      <c r="B1326" s="26" t="s">
        <v>1226</v>
      </c>
      <c r="C1326" s="27">
        <v>45911.0</v>
      </c>
      <c r="D1326" s="27">
        <v>45911.0</v>
      </c>
      <c r="E1326" s="26" t="s">
        <v>1121</v>
      </c>
      <c r="F1326" s="26" t="s">
        <v>1200</v>
      </c>
    </row>
    <row r="1327">
      <c r="A1327" s="26" t="s">
        <v>1758</v>
      </c>
      <c r="B1327" s="26" t="s">
        <v>1226</v>
      </c>
      <c r="C1327" s="27">
        <v>45911.0</v>
      </c>
      <c r="D1327" s="27">
        <v>45911.0</v>
      </c>
      <c r="E1327" s="26" t="s">
        <v>1121</v>
      </c>
      <c r="F1327" s="26" t="s">
        <v>1200</v>
      </c>
    </row>
    <row r="1328">
      <c r="A1328" s="26" t="s">
        <v>1758</v>
      </c>
      <c r="B1328" s="26" t="s">
        <v>1226</v>
      </c>
      <c r="C1328" s="27">
        <v>45911.0</v>
      </c>
      <c r="D1328" s="27">
        <v>45911.0</v>
      </c>
      <c r="E1328" s="26" t="s">
        <v>1121</v>
      </c>
      <c r="F1328" s="26" t="s">
        <v>1200</v>
      </c>
    </row>
    <row r="1329">
      <c r="A1329" s="26" t="s">
        <v>1759</v>
      </c>
      <c r="B1329" s="26" t="s">
        <v>483</v>
      </c>
      <c r="C1329" s="27">
        <v>45906.0</v>
      </c>
      <c r="D1329" s="27">
        <v>45906.0</v>
      </c>
      <c r="E1329" s="26" t="s">
        <v>1121</v>
      </c>
      <c r="F1329" s="26" t="s">
        <v>1200</v>
      </c>
    </row>
    <row r="1330">
      <c r="A1330" s="26" t="s">
        <v>1760</v>
      </c>
      <c r="B1330" s="26" t="s">
        <v>546</v>
      </c>
      <c r="C1330" s="27">
        <v>45906.0</v>
      </c>
      <c r="D1330" s="27">
        <v>45906.0</v>
      </c>
      <c r="E1330" s="26" t="s">
        <v>1121</v>
      </c>
      <c r="F1330" s="26" t="s">
        <v>1200</v>
      </c>
    </row>
    <row r="1331">
      <c r="A1331" s="26" t="s">
        <v>1760</v>
      </c>
      <c r="B1331" s="26" t="s">
        <v>546</v>
      </c>
      <c r="C1331" s="27">
        <v>45906.0</v>
      </c>
      <c r="D1331" s="27">
        <v>45906.0</v>
      </c>
      <c r="E1331" s="26" t="s">
        <v>1121</v>
      </c>
      <c r="F1331" s="26" t="s">
        <v>1200</v>
      </c>
    </row>
    <row r="1332">
      <c r="A1332" s="26" t="s">
        <v>1761</v>
      </c>
      <c r="B1332" s="26" t="s">
        <v>736</v>
      </c>
      <c r="C1332" s="27">
        <v>45906.0</v>
      </c>
      <c r="D1332" s="27">
        <v>45906.0</v>
      </c>
      <c r="E1332" s="26" t="s">
        <v>1121</v>
      </c>
      <c r="F1332" s="26" t="s">
        <v>1200</v>
      </c>
    </row>
    <row r="1333">
      <c r="A1333" s="26" t="s">
        <v>1761</v>
      </c>
      <c r="B1333" s="26" t="s">
        <v>736</v>
      </c>
      <c r="C1333" s="27">
        <v>45906.0</v>
      </c>
      <c r="D1333" s="27">
        <v>45906.0</v>
      </c>
      <c r="E1333" s="26" t="s">
        <v>1121</v>
      </c>
      <c r="F1333" s="26" t="s">
        <v>1200</v>
      </c>
    </row>
    <row r="1334">
      <c r="A1334" s="26" t="s">
        <v>1761</v>
      </c>
      <c r="B1334" s="26" t="s">
        <v>736</v>
      </c>
      <c r="C1334" s="27">
        <v>45906.0</v>
      </c>
      <c r="D1334" s="27">
        <v>45906.0</v>
      </c>
      <c r="E1334" s="26" t="s">
        <v>1121</v>
      </c>
      <c r="F1334" s="26" t="s">
        <v>1200</v>
      </c>
    </row>
    <row r="1335">
      <c r="A1335" s="26" t="s">
        <v>1761</v>
      </c>
      <c r="B1335" s="26" t="s">
        <v>736</v>
      </c>
      <c r="C1335" s="27">
        <v>45906.0</v>
      </c>
      <c r="D1335" s="27">
        <v>45906.0</v>
      </c>
      <c r="E1335" s="26" t="s">
        <v>1121</v>
      </c>
      <c r="F1335" s="26" t="s">
        <v>1200</v>
      </c>
    </row>
    <row r="1336">
      <c r="A1336" s="26" t="s">
        <v>1761</v>
      </c>
      <c r="B1336" s="26" t="s">
        <v>736</v>
      </c>
      <c r="C1336" s="27">
        <v>45906.0</v>
      </c>
      <c r="D1336" s="27">
        <v>45906.0</v>
      </c>
      <c r="E1336" s="26" t="s">
        <v>1121</v>
      </c>
      <c r="F1336" s="26" t="s">
        <v>1200</v>
      </c>
    </row>
    <row r="1337">
      <c r="A1337" s="26" t="s">
        <v>1761</v>
      </c>
      <c r="B1337" s="26" t="s">
        <v>736</v>
      </c>
      <c r="C1337" s="27">
        <v>45906.0</v>
      </c>
      <c r="D1337" s="27">
        <v>45906.0</v>
      </c>
      <c r="E1337" s="26" t="s">
        <v>1121</v>
      </c>
      <c r="F1337" s="26" t="s">
        <v>1200</v>
      </c>
    </row>
    <row r="1338">
      <c r="A1338" s="26" t="s">
        <v>1761</v>
      </c>
      <c r="B1338" s="26" t="s">
        <v>736</v>
      </c>
      <c r="C1338" s="27">
        <v>45906.0</v>
      </c>
      <c r="D1338" s="27">
        <v>45906.0</v>
      </c>
      <c r="E1338" s="26" t="s">
        <v>1121</v>
      </c>
      <c r="F1338" s="26" t="s">
        <v>1200</v>
      </c>
    </row>
    <row r="1339">
      <c r="A1339" s="26" t="s">
        <v>1762</v>
      </c>
      <c r="B1339" s="26" t="s">
        <v>435</v>
      </c>
      <c r="C1339" s="27">
        <v>45905.0</v>
      </c>
      <c r="D1339" s="27">
        <v>45905.0</v>
      </c>
      <c r="E1339" s="26" t="s">
        <v>1121</v>
      </c>
      <c r="F1339" s="26" t="s">
        <v>1200</v>
      </c>
    </row>
    <row r="1340">
      <c r="A1340" s="26" t="s">
        <v>1763</v>
      </c>
      <c r="B1340" s="26" t="s">
        <v>428</v>
      </c>
      <c r="C1340" s="27">
        <v>45905.0</v>
      </c>
      <c r="D1340" s="27">
        <v>45905.0</v>
      </c>
      <c r="E1340" s="26" t="s">
        <v>1121</v>
      </c>
      <c r="F1340" s="26" t="s">
        <v>1200</v>
      </c>
    </row>
    <row r="1341">
      <c r="A1341" s="26" t="s">
        <v>1764</v>
      </c>
      <c r="B1341" s="26" t="s">
        <v>760</v>
      </c>
      <c r="C1341" s="27">
        <v>45904.0</v>
      </c>
      <c r="D1341" s="27">
        <v>45904.0</v>
      </c>
      <c r="E1341" s="26" t="s">
        <v>1121</v>
      </c>
      <c r="F1341" s="26" t="s">
        <v>1200</v>
      </c>
    </row>
    <row r="1342">
      <c r="A1342" s="26" t="s">
        <v>1765</v>
      </c>
      <c r="B1342" s="26" t="s">
        <v>1766</v>
      </c>
      <c r="C1342" s="27">
        <v>45904.0</v>
      </c>
      <c r="D1342" s="27">
        <v>45904.0</v>
      </c>
      <c r="E1342" s="26" t="s">
        <v>1121</v>
      </c>
      <c r="F1342" s="26" t="s">
        <v>1200</v>
      </c>
    </row>
    <row r="1343">
      <c r="A1343" s="26" t="s">
        <v>1765</v>
      </c>
      <c r="B1343" s="26" t="s">
        <v>1766</v>
      </c>
      <c r="C1343" s="27">
        <v>45904.0</v>
      </c>
      <c r="D1343" s="27">
        <v>45904.0</v>
      </c>
      <c r="E1343" s="26" t="s">
        <v>1121</v>
      </c>
      <c r="F1343" s="26" t="s">
        <v>1200</v>
      </c>
    </row>
    <row r="1344">
      <c r="A1344" s="26" t="s">
        <v>1767</v>
      </c>
      <c r="B1344" s="26" t="s">
        <v>444</v>
      </c>
      <c r="C1344" s="27">
        <v>45904.0</v>
      </c>
      <c r="D1344" s="27">
        <v>45904.0</v>
      </c>
      <c r="E1344" s="26" t="s">
        <v>1121</v>
      </c>
      <c r="F1344" s="26" t="s">
        <v>1200</v>
      </c>
    </row>
    <row r="1345">
      <c r="A1345" s="26" t="s">
        <v>1767</v>
      </c>
      <c r="B1345" s="26" t="s">
        <v>444</v>
      </c>
      <c r="C1345" s="27">
        <v>45904.0</v>
      </c>
      <c r="D1345" s="27">
        <v>45904.0</v>
      </c>
      <c r="E1345" s="26" t="s">
        <v>1121</v>
      </c>
      <c r="F1345" s="26" t="s">
        <v>1200</v>
      </c>
    </row>
    <row r="1346">
      <c r="A1346" s="26" t="s">
        <v>1767</v>
      </c>
      <c r="B1346" s="26" t="s">
        <v>444</v>
      </c>
      <c r="C1346" s="27">
        <v>45904.0</v>
      </c>
      <c r="D1346" s="27">
        <v>45904.0</v>
      </c>
      <c r="E1346" s="26" t="s">
        <v>1121</v>
      </c>
      <c r="F1346" s="26" t="s">
        <v>1200</v>
      </c>
    </row>
    <row r="1347">
      <c r="A1347" s="26" t="s">
        <v>1767</v>
      </c>
      <c r="B1347" s="26" t="s">
        <v>444</v>
      </c>
      <c r="C1347" s="27">
        <v>45904.0</v>
      </c>
      <c r="D1347" s="27">
        <v>45904.0</v>
      </c>
      <c r="E1347" s="26" t="s">
        <v>1121</v>
      </c>
      <c r="F1347" s="26" t="s">
        <v>1200</v>
      </c>
    </row>
    <row r="1348">
      <c r="A1348" s="26" t="s">
        <v>1768</v>
      </c>
      <c r="B1348" s="26" t="s">
        <v>497</v>
      </c>
      <c r="C1348" s="27">
        <v>45904.0</v>
      </c>
      <c r="D1348" s="27">
        <v>45904.0</v>
      </c>
      <c r="E1348" s="26" t="s">
        <v>1121</v>
      </c>
      <c r="F1348" s="26" t="s">
        <v>1200</v>
      </c>
    </row>
    <row r="1349">
      <c r="A1349" s="26" t="s">
        <v>1769</v>
      </c>
      <c r="B1349" s="26" t="s">
        <v>493</v>
      </c>
      <c r="C1349" s="27">
        <v>45904.0</v>
      </c>
      <c r="D1349" s="27">
        <v>45904.0</v>
      </c>
      <c r="E1349" s="26" t="s">
        <v>1121</v>
      </c>
      <c r="F1349" s="26" t="s">
        <v>1200</v>
      </c>
    </row>
    <row r="1350">
      <c r="A1350" s="26" t="s">
        <v>1770</v>
      </c>
      <c r="B1350" s="26" t="s">
        <v>483</v>
      </c>
      <c r="C1350" s="27">
        <v>45903.0</v>
      </c>
      <c r="D1350" s="27">
        <v>45903.0</v>
      </c>
      <c r="E1350" s="26" t="s">
        <v>1121</v>
      </c>
      <c r="F1350" s="26" t="s">
        <v>1200</v>
      </c>
    </row>
    <row r="1351">
      <c r="A1351" s="26" t="s">
        <v>1771</v>
      </c>
      <c r="B1351" s="26" t="s">
        <v>467</v>
      </c>
      <c r="C1351" s="27">
        <v>45903.0</v>
      </c>
      <c r="D1351" s="27">
        <v>45903.0</v>
      </c>
      <c r="E1351" s="26" t="s">
        <v>1121</v>
      </c>
      <c r="F1351" s="26" t="s">
        <v>1200</v>
      </c>
    </row>
    <row r="1352">
      <c r="A1352" s="26" t="s">
        <v>1772</v>
      </c>
      <c r="B1352" s="26" t="s">
        <v>505</v>
      </c>
      <c r="C1352" s="27">
        <v>45903.0</v>
      </c>
      <c r="D1352" s="27">
        <v>45903.0</v>
      </c>
      <c r="E1352" s="26" t="s">
        <v>1121</v>
      </c>
      <c r="F1352" s="26" t="s">
        <v>1200</v>
      </c>
    </row>
    <row r="1353">
      <c r="A1353" s="26" t="s">
        <v>1773</v>
      </c>
      <c r="B1353" s="26" t="s">
        <v>435</v>
      </c>
      <c r="C1353" s="27">
        <v>45903.0</v>
      </c>
      <c r="D1353" s="27">
        <v>45903.0</v>
      </c>
      <c r="E1353" s="26" t="s">
        <v>1121</v>
      </c>
      <c r="F1353" s="26" t="s">
        <v>1200</v>
      </c>
    </row>
    <row r="1354">
      <c r="A1354" s="26" t="s">
        <v>1774</v>
      </c>
      <c r="B1354" s="26" t="s">
        <v>483</v>
      </c>
      <c r="C1354" s="27">
        <v>45898.0</v>
      </c>
      <c r="D1354" s="27">
        <v>45898.0</v>
      </c>
      <c r="E1354" s="26" t="s">
        <v>1121</v>
      </c>
      <c r="F1354" s="26" t="s">
        <v>1200</v>
      </c>
    </row>
    <row r="1355">
      <c r="A1355" s="26" t="s">
        <v>1775</v>
      </c>
      <c r="B1355" s="26" t="s">
        <v>546</v>
      </c>
      <c r="C1355" s="27">
        <v>45898.0</v>
      </c>
      <c r="D1355" s="27">
        <v>45898.0</v>
      </c>
      <c r="E1355" s="26" t="s">
        <v>1121</v>
      </c>
      <c r="F1355" s="26" t="s">
        <v>1200</v>
      </c>
    </row>
    <row r="1356">
      <c r="A1356" s="26" t="s">
        <v>1775</v>
      </c>
      <c r="B1356" s="26" t="s">
        <v>546</v>
      </c>
      <c r="C1356" s="27">
        <v>45898.0</v>
      </c>
      <c r="D1356" s="27">
        <v>45898.0</v>
      </c>
      <c r="E1356" s="26" t="s">
        <v>1121</v>
      </c>
      <c r="F1356" s="26" t="s">
        <v>1200</v>
      </c>
    </row>
    <row r="1357">
      <c r="A1357" s="26" t="s">
        <v>1775</v>
      </c>
      <c r="B1357" s="26" t="s">
        <v>546</v>
      </c>
      <c r="C1357" s="27">
        <v>45898.0</v>
      </c>
      <c r="D1357" s="27">
        <v>45898.0</v>
      </c>
      <c r="E1357" s="26" t="s">
        <v>1121</v>
      </c>
      <c r="F1357" s="26" t="s">
        <v>1200</v>
      </c>
    </row>
    <row r="1358">
      <c r="A1358" s="26" t="s">
        <v>1776</v>
      </c>
      <c r="B1358" s="26" t="s">
        <v>424</v>
      </c>
      <c r="C1358" s="27">
        <v>45898.0</v>
      </c>
      <c r="D1358" s="27">
        <v>45898.0</v>
      </c>
      <c r="E1358" s="26" t="s">
        <v>1121</v>
      </c>
      <c r="F1358" s="26" t="s">
        <v>1200</v>
      </c>
    </row>
    <row r="1359">
      <c r="A1359" s="26" t="s">
        <v>1777</v>
      </c>
      <c r="B1359" s="26" t="s">
        <v>432</v>
      </c>
      <c r="C1359" s="27">
        <v>45898.0</v>
      </c>
      <c r="D1359" s="27">
        <v>45898.0</v>
      </c>
      <c r="E1359" s="26" t="s">
        <v>1121</v>
      </c>
      <c r="F1359" s="26" t="s">
        <v>1200</v>
      </c>
    </row>
    <row r="1360">
      <c r="A1360" s="26" t="s">
        <v>1777</v>
      </c>
      <c r="B1360" s="26" t="s">
        <v>432</v>
      </c>
      <c r="C1360" s="27">
        <v>45898.0</v>
      </c>
      <c r="D1360" s="27">
        <v>45898.0</v>
      </c>
      <c r="E1360" s="26" t="s">
        <v>1121</v>
      </c>
      <c r="F1360" s="26" t="s">
        <v>1200</v>
      </c>
    </row>
    <row r="1361">
      <c r="A1361" s="26" t="s">
        <v>1778</v>
      </c>
      <c r="B1361" s="26" t="s">
        <v>542</v>
      </c>
      <c r="C1361" s="27">
        <v>45898.0</v>
      </c>
      <c r="D1361" s="27">
        <v>45898.0</v>
      </c>
      <c r="E1361" s="26" t="s">
        <v>1121</v>
      </c>
      <c r="F1361" s="26" t="s">
        <v>1200</v>
      </c>
    </row>
    <row r="1362">
      <c r="A1362" s="26" t="s">
        <v>1778</v>
      </c>
      <c r="B1362" s="26" t="s">
        <v>542</v>
      </c>
      <c r="C1362" s="27">
        <v>45898.0</v>
      </c>
      <c r="D1362" s="27">
        <v>45898.0</v>
      </c>
      <c r="E1362" s="26" t="s">
        <v>1121</v>
      </c>
      <c r="F1362" s="26" t="s">
        <v>1200</v>
      </c>
    </row>
    <row r="1363">
      <c r="A1363" s="26" t="s">
        <v>1779</v>
      </c>
      <c r="B1363" s="26" t="s">
        <v>1308</v>
      </c>
      <c r="C1363" s="27">
        <v>45897.0</v>
      </c>
      <c r="D1363" s="27">
        <v>45897.0</v>
      </c>
      <c r="E1363" s="26" t="s">
        <v>1121</v>
      </c>
      <c r="F1363" s="26" t="s">
        <v>1200</v>
      </c>
    </row>
    <row r="1364">
      <c r="A1364" s="26" t="s">
        <v>1780</v>
      </c>
      <c r="B1364" s="26" t="s">
        <v>321</v>
      </c>
      <c r="C1364" s="27">
        <v>45897.0</v>
      </c>
      <c r="D1364" s="27">
        <v>45897.0</v>
      </c>
      <c r="E1364" s="26" t="s">
        <v>1121</v>
      </c>
      <c r="F1364" s="26" t="s">
        <v>1200</v>
      </c>
    </row>
    <row r="1365">
      <c r="A1365" s="26" t="s">
        <v>1780</v>
      </c>
      <c r="B1365" s="26" t="s">
        <v>321</v>
      </c>
      <c r="C1365" s="27">
        <v>45897.0</v>
      </c>
      <c r="D1365" s="27">
        <v>45897.0</v>
      </c>
      <c r="E1365" s="26" t="s">
        <v>1121</v>
      </c>
      <c r="F1365" s="26" t="s">
        <v>1200</v>
      </c>
    </row>
    <row r="1366">
      <c r="A1366" s="26" t="s">
        <v>1780</v>
      </c>
      <c r="B1366" s="26" t="s">
        <v>321</v>
      </c>
      <c r="C1366" s="27">
        <v>45897.0</v>
      </c>
      <c r="D1366" s="27">
        <v>45897.0</v>
      </c>
      <c r="E1366" s="26" t="s">
        <v>1121</v>
      </c>
      <c r="F1366" s="26" t="s">
        <v>1200</v>
      </c>
    </row>
    <row r="1367">
      <c r="A1367" s="26" t="s">
        <v>1780</v>
      </c>
      <c r="B1367" s="26" t="s">
        <v>321</v>
      </c>
      <c r="C1367" s="27">
        <v>45897.0</v>
      </c>
      <c r="D1367" s="27">
        <v>45897.0</v>
      </c>
      <c r="E1367" s="26" t="s">
        <v>1121</v>
      </c>
      <c r="F1367" s="26" t="s">
        <v>1200</v>
      </c>
    </row>
    <row r="1368">
      <c r="A1368" s="26" t="s">
        <v>1780</v>
      </c>
      <c r="B1368" s="26" t="s">
        <v>321</v>
      </c>
      <c r="C1368" s="27">
        <v>45897.0</v>
      </c>
      <c r="D1368" s="27">
        <v>45897.0</v>
      </c>
      <c r="E1368" s="26" t="s">
        <v>1121</v>
      </c>
      <c r="F1368" s="26" t="s">
        <v>1200</v>
      </c>
    </row>
    <row r="1369">
      <c r="A1369" s="26" t="s">
        <v>1780</v>
      </c>
      <c r="B1369" s="26" t="s">
        <v>321</v>
      </c>
      <c r="C1369" s="27">
        <v>45897.0</v>
      </c>
      <c r="D1369" s="27">
        <v>45897.0</v>
      </c>
      <c r="E1369" s="26" t="s">
        <v>1121</v>
      </c>
      <c r="F1369" s="26" t="s">
        <v>1200</v>
      </c>
    </row>
    <row r="1370">
      <c r="A1370" s="26" t="s">
        <v>1780</v>
      </c>
      <c r="B1370" s="26" t="s">
        <v>321</v>
      </c>
      <c r="C1370" s="27">
        <v>45897.0</v>
      </c>
      <c r="D1370" s="27">
        <v>45897.0</v>
      </c>
      <c r="E1370" s="26" t="s">
        <v>1121</v>
      </c>
      <c r="F1370" s="26" t="s">
        <v>1200</v>
      </c>
    </row>
    <row r="1371">
      <c r="A1371" s="26" t="s">
        <v>1780</v>
      </c>
      <c r="B1371" s="26" t="s">
        <v>321</v>
      </c>
      <c r="C1371" s="27">
        <v>45897.0</v>
      </c>
      <c r="D1371" s="27">
        <v>45897.0</v>
      </c>
      <c r="E1371" s="26" t="s">
        <v>1121</v>
      </c>
      <c r="F1371" s="26" t="s">
        <v>1200</v>
      </c>
    </row>
    <row r="1372">
      <c r="A1372" s="26" t="s">
        <v>1780</v>
      </c>
      <c r="B1372" s="26" t="s">
        <v>321</v>
      </c>
      <c r="C1372" s="27">
        <v>45897.0</v>
      </c>
      <c r="D1372" s="27">
        <v>45897.0</v>
      </c>
      <c r="E1372" s="26" t="s">
        <v>1121</v>
      </c>
      <c r="F1372" s="26" t="s">
        <v>1200</v>
      </c>
    </row>
    <row r="1373">
      <c r="A1373" s="26" t="s">
        <v>1780</v>
      </c>
      <c r="B1373" s="26" t="s">
        <v>321</v>
      </c>
      <c r="C1373" s="27">
        <v>45897.0</v>
      </c>
      <c r="D1373" s="27">
        <v>45897.0</v>
      </c>
      <c r="E1373" s="26" t="s">
        <v>1121</v>
      </c>
      <c r="F1373" s="26" t="s">
        <v>1200</v>
      </c>
    </row>
    <row r="1374">
      <c r="A1374" s="26" t="s">
        <v>1780</v>
      </c>
      <c r="B1374" s="26" t="s">
        <v>321</v>
      </c>
      <c r="C1374" s="27">
        <v>45897.0</v>
      </c>
      <c r="D1374" s="27">
        <v>45897.0</v>
      </c>
      <c r="E1374" s="26" t="s">
        <v>1121</v>
      </c>
      <c r="F1374" s="26" t="s">
        <v>1200</v>
      </c>
    </row>
    <row r="1375">
      <c r="A1375" s="26" t="s">
        <v>1780</v>
      </c>
      <c r="B1375" s="26" t="s">
        <v>321</v>
      </c>
      <c r="C1375" s="27">
        <v>45897.0</v>
      </c>
      <c r="D1375" s="27">
        <v>45897.0</v>
      </c>
      <c r="E1375" s="26" t="s">
        <v>1121</v>
      </c>
      <c r="F1375" s="26" t="s">
        <v>1200</v>
      </c>
    </row>
    <row r="1376">
      <c r="A1376" s="26" t="s">
        <v>1780</v>
      </c>
      <c r="B1376" s="26" t="s">
        <v>321</v>
      </c>
      <c r="C1376" s="27">
        <v>45897.0</v>
      </c>
      <c r="D1376" s="27">
        <v>45897.0</v>
      </c>
      <c r="E1376" s="26" t="s">
        <v>1121</v>
      </c>
      <c r="F1376" s="26" t="s">
        <v>1200</v>
      </c>
    </row>
    <row r="1377">
      <c r="A1377" s="26" t="s">
        <v>1780</v>
      </c>
      <c r="B1377" s="26" t="s">
        <v>321</v>
      </c>
      <c r="C1377" s="27">
        <v>45897.0</v>
      </c>
      <c r="D1377" s="27">
        <v>45897.0</v>
      </c>
      <c r="E1377" s="26" t="s">
        <v>1121</v>
      </c>
      <c r="F1377" s="26" t="s">
        <v>1200</v>
      </c>
    </row>
    <row r="1378">
      <c r="A1378" s="26" t="s">
        <v>1781</v>
      </c>
      <c r="B1378" s="26" t="s">
        <v>383</v>
      </c>
      <c r="C1378" s="27">
        <v>45897.0</v>
      </c>
      <c r="D1378" s="27">
        <v>45897.0</v>
      </c>
      <c r="E1378" s="26" t="s">
        <v>1121</v>
      </c>
      <c r="F1378" s="26" t="s">
        <v>1200</v>
      </c>
    </row>
    <row r="1379">
      <c r="A1379" s="26" t="s">
        <v>1782</v>
      </c>
      <c r="B1379" s="26" t="s">
        <v>467</v>
      </c>
      <c r="C1379" s="27">
        <v>45896.0</v>
      </c>
      <c r="D1379" s="27">
        <v>45896.0</v>
      </c>
      <c r="E1379" s="26" t="s">
        <v>1121</v>
      </c>
      <c r="F1379" s="26" t="s">
        <v>1200</v>
      </c>
    </row>
    <row r="1380">
      <c r="A1380" s="26" t="s">
        <v>1783</v>
      </c>
      <c r="B1380" s="26" t="s">
        <v>752</v>
      </c>
      <c r="C1380" s="27">
        <v>45896.0</v>
      </c>
      <c r="D1380" s="27">
        <v>45896.0</v>
      </c>
      <c r="E1380" s="26" t="s">
        <v>1121</v>
      </c>
      <c r="F1380" s="26" t="s">
        <v>1200</v>
      </c>
    </row>
    <row r="1381">
      <c r="A1381" s="26" t="s">
        <v>1784</v>
      </c>
      <c r="B1381" s="26" t="s">
        <v>739</v>
      </c>
      <c r="C1381" s="27">
        <v>45895.0</v>
      </c>
      <c r="D1381" s="27">
        <v>45895.0</v>
      </c>
      <c r="E1381" s="26" t="s">
        <v>1121</v>
      </c>
      <c r="F1381" s="26" t="s">
        <v>1200</v>
      </c>
    </row>
    <row r="1382">
      <c r="A1382" s="26" t="s">
        <v>1784</v>
      </c>
      <c r="B1382" s="26" t="s">
        <v>739</v>
      </c>
      <c r="C1382" s="27">
        <v>45895.0</v>
      </c>
      <c r="D1382" s="27">
        <v>45895.0</v>
      </c>
      <c r="E1382" s="26" t="s">
        <v>1121</v>
      </c>
      <c r="F1382" s="26" t="s">
        <v>1200</v>
      </c>
    </row>
    <row r="1383">
      <c r="A1383" s="26" t="s">
        <v>1785</v>
      </c>
      <c r="B1383" s="26" t="s">
        <v>684</v>
      </c>
      <c r="C1383" s="27">
        <v>45895.0</v>
      </c>
      <c r="D1383" s="27">
        <v>45895.0</v>
      </c>
      <c r="E1383" s="26" t="s">
        <v>1121</v>
      </c>
      <c r="F1383" s="26" t="s">
        <v>1200</v>
      </c>
    </row>
    <row r="1384">
      <c r="A1384" s="26" t="s">
        <v>1786</v>
      </c>
      <c r="B1384" s="26" t="s">
        <v>467</v>
      </c>
      <c r="C1384" s="27">
        <v>45895.0</v>
      </c>
      <c r="D1384" s="27">
        <v>45895.0</v>
      </c>
      <c r="E1384" s="26" t="s">
        <v>1121</v>
      </c>
      <c r="F1384" s="26" t="s">
        <v>1200</v>
      </c>
    </row>
    <row r="1385">
      <c r="A1385" s="26" t="s">
        <v>1787</v>
      </c>
      <c r="B1385" s="26" t="s">
        <v>444</v>
      </c>
      <c r="C1385" s="27">
        <v>45895.0</v>
      </c>
      <c r="D1385" s="27">
        <v>45895.0</v>
      </c>
      <c r="E1385" s="26" t="s">
        <v>1121</v>
      </c>
      <c r="F1385" s="26" t="s">
        <v>1200</v>
      </c>
    </row>
    <row r="1386">
      <c r="A1386" s="26" t="s">
        <v>1788</v>
      </c>
      <c r="B1386" s="26" t="s">
        <v>432</v>
      </c>
      <c r="C1386" s="27">
        <v>45895.0</v>
      </c>
      <c r="D1386" s="27">
        <v>45895.0</v>
      </c>
      <c r="E1386" s="26" t="s">
        <v>1121</v>
      </c>
      <c r="F1386" s="26" t="s">
        <v>1200</v>
      </c>
    </row>
    <row r="1387">
      <c r="A1387" s="26" t="s">
        <v>1789</v>
      </c>
      <c r="B1387" s="26" t="s">
        <v>679</v>
      </c>
      <c r="C1387" s="27">
        <v>45894.0</v>
      </c>
      <c r="D1387" s="27">
        <v>45894.0</v>
      </c>
      <c r="E1387" s="26" t="s">
        <v>1121</v>
      </c>
      <c r="F1387" s="26" t="s">
        <v>1200</v>
      </c>
    </row>
    <row r="1388">
      <c r="A1388" s="26" t="s">
        <v>1789</v>
      </c>
      <c r="B1388" s="26" t="s">
        <v>679</v>
      </c>
      <c r="C1388" s="27">
        <v>45894.0</v>
      </c>
      <c r="D1388" s="27">
        <v>45894.0</v>
      </c>
      <c r="E1388" s="26" t="s">
        <v>1121</v>
      </c>
      <c r="F1388" s="26" t="s">
        <v>1200</v>
      </c>
    </row>
    <row r="1389">
      <c r="A1389" s="26" t="s">
        <v>1789</v>
      </c>
      <c r="B1389" s="26" t="s">
        <v>679</v>
      </c>
      <c r="C1389" s="27">
        <v>45894.0</v>
      </c>
      <c r="D1389" s="27">
        <v>45894.0</v>
      </c>
      <c r="E1389" s="26" t="s">
        <v>1121</v>
      </c>
      <c r="F1389" s="26" t="s">
        <v>1200</v>
      </c>
    </row>
    <row r="1390">
      <c r="A1390" s="26" t="s">
        <v>1789</v>
      </c>
      <c r="B1390" s="26" t="s">
        <v>679</v>
      </c>
      <c r="C1390" s="27">
        <v>45894.0</v>
      </c>
      <c r="D1390" s="27">
        <v>45894.0</v>
      </c>
      <c r="E1390" s="26" t="s">
        <v>1121</v>
      </c>
      <c r="F1390" s="26" t="s">
        <v>1200</v>
      </c>
    </row>
    <row r="1391">
      <c r="A1391" s="26" t="s">
        <v>1790</v>
      </c>
      <c r="B1391" s="26" t="s">
        <v>745</v>
      </c>
      <c r="C1391" s="27">
        <v>45897.0</v>
      </c>
      <c r="D1391" s="27">
        <v>45897.0</v>
      </c>
      <c r="E1391" s="26" t="s">
        <v>1121</v>
      </c>
      <c r="F1391" s="26" t="s">
        <v>1200</v>
      </c>
    </row>
    <row r="1392">
      <c r="A1392" s="26" t="s">
        <v>1790</v>
      </c>
      <c r="B1392" s="26" t="s">
        <v>745</v>
      </c>
      <c r="C1392" s="27">
        <v>45897.0</v>
      </c>
      <c r="D1392" s="27">
        <v>45897.0</v>
      </c>
      <c r="E1392" s="26" t="s">
        <v>1121</v>
      </c>
      <c r="F1392" s="26" t="s">
        <v>1200</v>
      </c>
    </row>
    <row r="1393">
      <c r="A1393" s="26" t="s">
        <v>1790</v>
      </c>
      <c r="B1393" s="26" t="s">
        <v>745</v>
      </c>
      <c r="C1393" s="27">
        <v>45897.0</v>
      </c>
      <c r="D1393" s="27">
        <v>45897.0</v>
      </c>
      <c r="E1393" s="26" t="s">
        <v>1121</v>
      </c>
      <c r="F1393" s="26" t="s">
        <v>1200</v>
      </c>
    </row>
    <row r="1394">
      <c r="A1394" s="26" t="s">
        <v>1790</v>
      </c>
      <c r="B1394" s="26" t="s">
        <v>745</v>
      </c>
      <c r="C1394" s="27">
        <v>45897.0</v>
      </c>
      <c r="D1394" s="27">
        <v>45897.0</v>
      </c>
      <c r="E1394" s="26" t="s">
        <v>1121</v>
      </c>
      <c r="F1394" s="26" t="s">
        <v>1200</v>
      </c>
    </row>
    <row r="1395">
      <c r="A1395" s="26" t="s">
        <v>1790</v>
      </c>
      <c r="B1395" s="26" t="s">
        <v>745</v>
      </c>
      <c r="C1395" s="27">
        <v>45897.0</v>
      </c>
      <c r="D1395" s="27">
        <v>45897.0</v>
      </c>
      <c r="E1395" s="26" t="s">
        <v>1121</v>
      </c>
      <c r="F1395" s="26" t="s">
        <v>1200</v>
      </c>
    </row>
    <row r="1396">
      <c r="A1396" s="26" t="s">
        <v>1790</v>
      </c>
      <c r="B1396" s="26" t="s">
        <v>745</v>
      </c>
      <c r="C1396" s="27">
        <v>45897.0</v>
      </c>
      <c r="D1396" s="27">
        <v>45897.0</v>
      </c>
      <c r="E1396" s="26" t="s">
        <v>1121</v>
      </c>
      <c r="F1396" s="26" t="s">
        <v>1200</v>
      </c>
    </row>
    <row r="1397">
      <c r="A1397" s="26" t="s">
        <v>1790</v>
      </c>
      <c r="B1397" s="26" t="s">
        <v>745</v>
      </c>
      <c r="C1397" s="27">
        <v>45897.0</v>
      </c>
      <c r="D1397" s="27">
        <v>45897.0</v>
      </c>
      <c r="E1397" s="26" t="s">
        <v>1121</v>
      </c>
      <c r="F1397" s="26" t="s">
        <v>1200</v>
      </c>
    </row>
    <row r="1398">
      <c r="A1398" s="26" t="s">
        <v>1790</v>
      </c>
      <c r="B1398" s="26" t="s">
        <v>745</v>
      </c>
      <c r="C1398" s="27">
        <v>45897.0</v>
      </c>
      <c r="D1398" s="27">
        <v>45897.0</v>
      </c>
      <c r="E1398" s="26" t="s">
        <v>1121</v>
      </c>
      <c r="F1398" s="26" t="s">
        <v>1200</v>
      </c>
    </row>
    <row r="1399">
      <c r="A1399" s="26" t="s">
        <v>1790</v>
      </c>
      <c r="B1399" s="26" t="s">
        <v>745</v>
      </c>
      <c r="C1399" s="27">
        <v>45897.0</v>
      </c>
      <c r="D1399" s="27">
        <v>45897.0</v>
      </c>
      <c r="E1399" s="26" t="s">
        <v>1121</v>
      </c>
      <c r="F1399" s="26" t="s">
        <v>1200</v>
      </c>
    </row>
    <row r="1400">
      <c r="A1400" s="26" t="s">
        <v>1790</v>
      </c>
      <c r="B1400" s="26" t="s">
        <v>745</v>
      </c>
      <c r="C1400" s="27">
        <v>45897.0</v>
      </c>
      <c r="D1400" s="27">
        <v>45897.0</v>
      </c>
      <c r="E1400" s="26" t="s">
        <v>1121</v>
      </c>
      <c r="F1400" s="26" t="s">
        <v>1200</v>
      </c>
    </row>
    <row r="1401">
      <c r="A1401" s="26" t="s">
        <v>1790</v>
      </c>
      <c r="B1401" s="26" t="s">
        <v>745</v>
      </c>
      <c r="C1401" s="27">
        <v>45897.0</v>
      </c>
      <c r="D1401" s="27">
        <v>45897.0</v>
      </c>
      <c r="E1401" s="26" t="s">
        <v>1121</v>
      </c>
      <c r="F1401" s="26" t="s">
        <v>1200</v>
      </c>
    </row>
    <row r="1402">
      <c r="A1402" s="26" t="s">
        <v>1790</v>
      </c>
      <c r="B1402" s="26" t="s">
        <v>745</v>
      </c>
      <c r="C1402" s="27">
        <v>45897.0</v>
      </c>
      <c r="D1402" s="27">
        <v>45897.0</v>
      </c>
      <c r="E1402" s="26" t="s">
        <v>1121</v>
      </c>
      <c r="F1402" s="26" t="s">
        <v>1200</v>
      </c>
    </row>
    <row r="1403">
      <c r="A1403" s="26" t="s">
        <v>1790</v>
      </c>
      <c r="B1403" s="26" t="s">
        <v>745</v>
      </c>
      <c r="C1403" s="27">
        <v>45897.0</v>
      </c>
      <c r="D1403" s="27">
        <v>45897.0</v>
      </c>
      <c r="E1403" s="26" t="s">
        <v>1121</v>
      </c>
      <c r="F1403" s="26" t="s">
        <v>1200</v>
      </c>
    </row>
    <row r="1404">
      <c r="A1404" s="26" t="s">
        <v>1790</v>
      </c>
      <c r="B1404" s="26" t="s">
        <v>745</v>
      </c>
      <c r="C1404" s="27">
        <v>45897.0</v>
      </c>
      <c r="D1404" s="27">
        <v>45897.0</v>
      </c>
      <c r="E1404" s="26" t="s">
        <v>1121</v>
      </c>
      <c r="F1404" s="26" t="s">
        <v>1200</v>
      </c>
    </row>
    <row r="1405">
      <c r="A1405" s="26" t="s">
        <v>1790</v>
      </c>
      <c r="B1405" s="26" t="s">
        <v>745</v>
      </c>
      <c r="C1405" s="27">
        <v>45897.0</v>
      </c>
      <c r="D1405" s="27">
        <v>45897.0</v>
      </c>
      <c r="E1405" s="26" t="s">
        <v>1121</v>
      </c>
      <c r="F1405" s="26" t="s">
        <v>1200</v>
      </c>
    </row>
    <row r="1406">
      <c r="A1406" s="26" t="s">
        <v>1791</v>
      </c>
      <c r="B1406" s="26" t="s">
        <v>546</v>
      </c>
      <c r="C1406" s="27">
        <v>45894.0</v>
      </c>
      <c r="D1406" s="27">
        <v>45894.0</v>
      </c>
      <c r="E1406" s="26" t="s">
        <v>1121</v>
      </c>
      <c r="F1406" s="26" t="s">
        <v>1200</v>
      </c>
    </row>
    <row r="1407">
      <c r="A1407" s="26" t="s">
        <v>1791</v>
      </c>
      <c r="B1407" s="26" t="s">
        <v>546</v>
      </c>
      <c r="C1407" s="27">
        <v>45894.0</v>
      </c>
      <c r="D1407" s="27">
        <v>45894.0</v>
      </c>
      <c r="E1407" s="26" t="s">
        <v>1121</v>
      </c>
      <c r="F1407" s="26" t="s">
        <v>1200</v>
      </c>
    </row>
    <row r="1408">
      <c r="A1408" s="26" t="s">
        <v>1791</v>
      </c>
      <c r="B1408" s="26" t="s">
        <v>546</v>
      </c>
      <c r="C1408" s="27">
        <v>45894.0</v>
      </c>
      <c r="D1408" s="27">
        <v>45894.0</v>
      </c>
      <c r="E1408" s="26" t="s">
        <v>1121</v>
      </c>
      <c r="F1408" s="26" t="s">
        <v>1200</v>
      </c>
    </row>
    <row r="1409">
      <c r="A1409" s="26" t="s">
        <v>1792</v>
      </c>
      <c r="B1409" s="26" t="s">
        <v>546</v>
      </c>
      <c r="C1409" s="27">
        <v>45892.0</v>
      </c>
      <c r="D1409" s="27">
        <v>45892.0</v>
      </c>
      <c r="E1409" s="26" t="s">
        <v>1121</v>
      </c>
      <c r="F1409" s="26" t="s">
        <v>1200</v>
      </c>
    </row>
    <row r="1410">
      <c r="A1410" s="26" t="s">
        <v>1793</v>
      </c>
      <c r="B1410" s="26" t="s">
        <v>776</v>
      </c>
      <c r="C1410" s="27">
        <v>45892.0</v>
      </c>
      <c r="D1410" s="27">
        <v>45892.0</v>
      </c>
      <c r="E1410" s="26" t="s">
        <v>1121</v>
      </c>
      <c r="F1410" s="26" t="s">
        <v>1200</v>
      </c>
    </row>
    <row r="1411">
      <c r="A1411" s="26" t="s">
        <v>1793</v>
      </c>
      <c r="B1411" s="26" t="s">
        <v>776</v>
      </c>
      <c r="C1411" s="27">
        <v>45892.0</v>
      </c>
      <c r="D1411" s="27">
        <v>45892.0</v>
      </c>
      <c r="E1411" s="26" t="s">
        <v>1121</v>
      </c>
      <c r="F1411" s="26" t="s">
        <v>1200</v>
      </c>
    </row>
    <row r="1412">
      <c r="A1412" s="26" t="s">
        <v>1793</v>
      </c>
      <c r="B1412" s="26" t="s">
        <v>776</v>
      </c>
      <c r="C1412" s="27">
        <v>45892.0</v>
      </c>
      <c r="D1412" s="27">
        <v>45892.0</v>
      </c>
      <c r="E1412" s="26" t="s">
        <v>1121</v>
      </c>
      <c r="F1412" s="26" t="s">
        <v>1200</v>
      </c>
    </row>
    <row r="1413">
      <c r="A1413" s="26" t="s">
        <v>1793</v>
      </c>
      <c r="B1413" s="26" t="s">
        <v>776</v>
      </c>
      <c r="C1413" s="27">
        <v>45892.0</v>
      </c>
      <c r="D1413" s="27">
        <v>45892.0</v>
      </c>
      <c r="E1413" s="26" t="s">
        <v>1121</v>
      </c>
      <c r="F1413" s="26" t="s">
        <v>1200</v>
      </c>
    </row>
    <row r="1414">
      <c r="A1414" s="26" t="s">
        <v>1794</v>
      </c>
      <c r="B1414" s="26" t="s">
        <v>542</v>
      </c>
      <c r="C1414" s="27">
        <v>45892.0</v>
      </c>
      <c r="D1414" s="27">
        <v>45892.0</v>
      </c>
      <c r="E1414" s="26" t="s">
        <v>1121</v>
      </c>
      <c r="F1414" s="26" t="s">
        <v>1200</v>
      </c>
    </row>
    <row r="1415">
      <c r="A1415" s="26" t="s">
        <v>1795</v>
      </c>
      <c r="B1415" s="26" t="s">
        <v>516</v>
      </c>
      <c r="C1415" s="27">
        <v>45892.0</v>
      </c>
      <c r="D1415" s="27">
        <v>45892.0</v>
      </c>
      <c r="E1415" s="26" t="s">
        <v>1121</v>
      </c>
      <c r="F1415" s="26" t="s">
        <v>1200</v>
      </c>
    </row>
    <row r="1416">
      <c r="A1416" s="26" t="s">
        <v>1796</v>
      </c>
      <c r="B1416" s="26" t="s">
        <v>483</v>
      </c>
      <c r="C1416" s="27">
        <v>45891.0</v>
      </c>
      <c r="D1416" s="27">
        <v>45891.0</v>
      </c>
      <c r="E1416" s="26" t="s">
        <v>1121</v>
      </c>
      <c r="F1416" s="26" t="s">
        <v>1200</v>
      </c>
    </row>
    <row r="1417">
      <c r="A1417" s="26" t="s">
        <v>1797</v>
      </c>
      <c r="B1417" s="26" t="s">
        <v>432</v>
      </c>
      <c r="C1417" s="27">
        <v>45891.0</v>
      </c>
      <c r="D1417" s="27">
        <v>45891.0</v>
      </c>
      <c r="E1417" s="26" t="s">
        <v>1121</v>
      </c>
      <c r="F1417" s="26" t="s">
        <v>1200</v>
      </c>
    </row>
    <row r="1418">
      <c r="A1418" s="26" t="s">
        <v>1798</v>
      </c>
      <c r="B1418" s="26" t="s">
        <v>1799</v>
      </c>
      <c r="C1418" s="27">
        <v>45891.0</v>
      </c>
      <c r="D1418" s="27">
        <v>45891.0</v>
      </c>
      <c r="E1418" s="26" t="s">
        <v>1121</v>
      </c>
      <c r="F1418" s="26" t="s">
        <v>1200</v>
      </c>
    </row>
    <row r="1419">
      <c r="A1419" s="26" t="s">
        <v>1800</v>
      </c>
      <c r="B1419" s="26" t="s">
        <v>631</v>
      </c>
      <c r="C1419" s="27">
        <v>45890.0</v>
      </c>
      <c r="D1419" s="27">
        <v>45890.0</v>
      </c>
      <c r="E1419" s="26" t="s">
        <v>1121</v>
      </c>
      <c r="F1419" s="26" t="s">
        <v>1200</v>
      </c>
    </row>
    <row r="1420">
      <c r="A1420" s="26" t="s">
        <v>1801</v>
      </c>
      <c r="B1420" s="26" t="s">
        <v>668</v>
      </c>
      <c r="C1420" s="27">
        <v>45890.0</v>
      </c>
      <c r="D1420" s="27">
        <v>45890.0</v>
      </c>
      <c r="E1420" s="26" t="s">
        <v>1121</v>
      </c>
      <c r="F1420" s="26" t="s">
        <v>1200</v>
      </c>
    </row>
    <row r="1421">
      <c r="A1421" s="26" t="s">
        <v>1802</v>
      </c>
      <c r="B1421" s="26" t="s">
        <v>639</v>
      </c>
      <c r="C1421" s="27">
        <v>45889.0</v>
      </c>
      <c r="D1421" s="27">
        <v>45889.0</v>
      </c>
      <c r="E1421" s="26" t="s">
        <v>1121</v>
      </c>
      <c r="F1421" s="26" t="s">
        <v>1200</v>
      </c>
    </row>
    <row r="1422">
      <c r="A1422" s="26" t="s">
        <v>1803</v>
      </c>
      <c r="B1422" s="26" t="s">
        <v>546</v>
      </c>
      <c r="C1422" s="27">
        <v>45889.0</v>
      </c>
      <c r="D1422" s="27">
        <v>45889.0</v>
      </c>
      <c r="E1422" s="26" t="s">
        <v>1121</v>
      </c>
      <c r="F1422" s="26" t="s">
        <v>1200</v>
      </c>
    </row>
    <row r="1423">
      <c r="A1423" s="26" t="s">
        <v>1804</v>
      </c>
      <c r="B1423" s="26" t="s">
        <v>634</v>
      </c>
      <c r="C1423" s="27">
        <v>45889.0</v>
      </c>
      <c r="D1423" s="27">
        <v>45889.0</v>
      </c>
      <c r="E1423" s="26" t="s">
        <v>1121</v>
      </c>
      <c r="F1423" s="26" t="s">
        <v>1200</v>
      </c>
    </row>
    <row r="1424">
      <c r="A1424" s="26" t="s">
        <v>1804</v>
      </c>
      <c r="B1424" s="26" t="s">
        <v>634</v>
      </c>
      <c r="C1424" s="27">
        <v>45889.0</v>
      </c>
      <c r="D1424" s="27">
        <v>45889.0</v>
      </c>
      <c r="E1424" s="26" t="s">
        <v>1121</v>
      </c>
      <c r="F1424" s="26" t="s">
        <v>1200</v>
      </c>
    </row>
    <row r="1425">
      <c r="A1425" s="26" t="s">
        <v>1804</v>
      </c>
      <c r="B1425" s="26" t="s">
        <v>634</v>
      </c>
      <c r="C1425" s="27">
        <v>45889.0</v>
      </c>
      <c r="D1425" s="27">
        <v>45889.0</v>
      </c>
      <c r="E1425" s="26" t="s">
        <v>1121</v>
      </c>
      <c r="F1425" s="26" t="s">
        <v>1200</v>
      </c>
    </row>
    <row r="1426">
      <c r="A1426" s="26" t="s">
        <v>1805</v>
      </c>
      <c r="B1426" s="26" t="s">
        <v>310</v>
      </c>
      <c r="C1426" s="27">
        <v>45889.0</v>
      </c>
      <c r="D1426" s="27">
        <v>45889.0</v>
      </c>
      <c r="E1426" s="26" t="s">
        <v>1121</v>
      </c>
      <c r="F1426" s="26" t="s">
        <v>1200</v>
      </c>
    </row>
    <row r="1427">
      <c r="A1427" s="26" t="s">
        <v>1805</v>
      </c>
      <c r="B1427" s="26" t="s">
        <v>310</v>
      </c>
      <c r="C1427" s="27">
        <v>45889.0</v>
      </c>
      <c r="D1427" s="27">
        <v>45889.0</v>
      </c>
      <c r="E1427" s="26" t="s">
        <v>1121</v>
      </c>
      <c r="F1427" s="26" t="s">
        <v>1200</v>
      </c>
    </row>
    <row r="1428">
      <c r="A1428" s="26" t="s">
        <v>1806</v>
      </c>
      <c r="B1428" s="26" t="s">
        <v>574</v>
      </c>
      <c r="C1428" s="27">
        <v>45888.0</v>
      </c>
      <c r="D1428" s="27">
        <v>45888.0</v>
      </c>
      <c r="E1428" s="26" t="s">
        <v>1121</v>
      </c>
      <c r="F1428" s="26" t="s">
        <v>1200</v>
      </c>
    </row>
    <row r="1429">
      <c r="A1429" s="26" t="s">
        <v>1807</v>
      </c>
      <c r="B1429" s="26" t="s">
        <v>435</v>
      </c>
      <c r="C1429" s="27">
        <v>45888.0</v>
      </c>
      <c r="D1429" s="27">
        <v>45888.0</v>
      </c>
      <c r="E1429" s="26" t="s">
        <v>1121</v>
      </c>
      <c r="F1429" s="26" t="s">
        <v>1200</v>
      </c>
    </row>
    <row r="1430">
      <c r="A1430" s="26" t="s">
        <v>1807</v>
      </c>
      <c r="B1430" s="26" t="s">
        <v>435</v>
      </c>
      <c r="C1430" s="27">
        <v>45888.0</v>
      </c>
      <c r="D1430" s="27">
        <v>45888.0</v>
      </c>
      <c r="E1430" s="26" t="s">
        <v>1121</v>
      </c>
      <c r="F1430" s="26" t="s">
        <v>1200</v>
      </c>
    </row>
    <row r="1431">
      <c r="A1431" s="26" t="s">
        <v>1808</v>
      </c>
      <c r="B1431" s="26" t="s">
        <v>546</v>
      </c>
      <c r="C1431" s="27">
        <v>45887.0</v>
      </c>
      <c r="D1431" s="27">
        <v>45887.0</v>
      </c>
      <c r="E1431" s="26" t="s">
        <v>1121</v>
      </c>
      <c r="F1431" s="26" t="s">
        <v>1200</v>
      </c>
    </row>
    <row r="1432">
      <c r="A1432" s="26" t="s">
        <v>1808</v>
      </c>
      <c r="B1432" s="26" t="s">
        <v>546</v>
      </c>
      <c r="C1432" s="27">
        <v>45887.0</v>
      </c>
      <c r="D1432" s="27">
        <v>45887.0</v>
      </c>
      <c r="E1432" s="26" t="s">
        <v>1121</v>
      </c>
      <c r="F1432" s="26" t="s">
        <v>1200</v>
      </c>
    </row>
    <row r="1433">
      <c r="A1433" s="26" t="s">
        <v>1808</v>
      </c>
      <c r="B1433" s="26" t="s">
        <v>546</v>
      </c>
      <c r="C1433" s="27">
        <v>45887.0</v>
      </c>
      <c r="D1433" s="27">
        <v>45887.0</v>
      </c>
      <c r="E1433" s="26" t="s">
        <v>1121</v>
      </c>
      <c r="F1433" s="26" t="s">
        <v>1200</v>
      </c>
    </row>
    <row r="1434">
      <c r="A1434" s="26" t="s">
        <v>1809</v>
      </c>
      <c r="B1434" s="26" t="s">
        <v>483</v>
      </c>
      <c r="C1434" s="27">
        <v>45885.0</v>
      </c>
      <c r="D1434" s="27">
        <v>45885.0</v>
      </c>
      <c r="E1434" s="26" t="s">
        <v>1121</v>
      </c>
      <c r="F1434" s="26" t="s">
        <v>1200</v>
      </c>
    </row>
    <row r="1435">
      <c r="A1435" s="26" t="s">
        <v>1810</v>
      </c>
      <c r="B1435" s="26" t="s">
        <v>546</v>
      </c>
      <c r="C1435" s="27">
        <v>45885.0</v>
      </c>
      <c r="D1435" s="27">
        <v>45885.0</v>
      </c>
      <c r="E1435" s="26" t="s">
        <v>1121</v>
      </c>
      <c r="F1435" s="26" t="s">
        <v>1200</v>
      </c>
    </row>
    <row r="1436">
      <c r="A1436" s="26" t="s">
        <v>1810</v>
      </c>
      <c r="B1436" s="26" t="s">
        <v>546</v>
      </c>
      <c r="C1436" s="27">
        <v>45885.0</v>
      </c>
      <c r="D1436" s="27">
        <v>45885.0</v>
      </c>
      <c r="E1436" s="26" t="s">
        <v>1121</v>
      </c>
      <c r="F1436" s="26" t="s">
        <v>1200</v>
      </c>
    </row>
    <row r="1437">
      <c r="A1437" s="26" t="s">
        <v>1810</v>
      </c>
      <c r="B1437" s="26" t="s">
        <v>546</v>
      </c>
      <c r="C1437" s="27">
        <v>45885.0</v>
      </c>
      <c r="D1437" s="27">
        <v>45885.0</v>
      </c>
      <c r="E1437" s="26" t="s">
        <v>1121</v>
      </c>
      <c r="F1437" s="26" t="s">
        <v>1200</v>
      </c>
    </row>
    <row r="1438">
      <c r="A1438" s="26" t="s">
        <v>1811</v>
      </c>
      <c r="B1438" s="26" t="s">
        <v>467</v>
      </c>
      <c r="C1438" s="27">
        <v>45885.0</v>
      </c>
      <c r="D1438" s="27">
        <v>45885.0</v>
      </c>
      <c r="E1438" s="26" t="s">
        <v>1121</v>
      </c>
      <c r="F1438" s="26" t="s">
        <v>1200</v>
      </c>
    </row>
    <row r="1439">
      <c r="A1439" s="26" t="s">
        <v>1812</v>
      </c>
      <c r="B1439" s="26" t="s">
        <v>1813</v>
      </c>
      <c r="C1439" s="27">
        <v>45884.0</v>
      </c>
      <c r="D1439" s="27">
        <v>45884.0</v>
      </c>
      <c r="E1439" s="26" t="s">
        <v>1121</v>
      </c>
      <c r="F1439" s="26" t="s">
        <v>1200</v>
      </c>
    </row>
    <row r="1440">
      <c r="A1440" s="26" t="s">
        <v>1812</v>
      </c>
      <c r="B1440" s="26" t="s">
        <v>1813</v>
      </c>
      <c r="C1440" s="27">
        <v>45884.0</v>
      </c>
      <c r="D1440" s="27">
        <v>45884.0</v>
      </c>
      <c r="E1440" s="26" t="s">
        <v>1121</v>
      </c>
      <c r="F1440" s="26" t="s">
        <v>1200</v>
      </c>
    </row>
    <row r="1441">
      <c r="A1441" s="26" t="s">
        <v>1812</v>
      </c>
      <c r="B1441" s="26" t="s">
        <v>1813</v>
      </c>
      <c r="C1441" s="27">
        <v>45884.0</v>
      </c>
      <c r="D1441" s="27">
        <v>45884.0</v>
      </c>
      <c r="E1441" s="26" t="s">
        <v>1121</v>
      </c>
      <c r="F1441" s="26" t="s">
        <v>1200</v>
      </c>
    </row>
    <row r="1442">
      <c r="A1442" s="26" t="s">
        <v>1812</v>
      </c>
      <c r="B1442" s="26" t="s">
        <v>1813</v>
      </c>
      <c r="C1442" s="27">
        <v>45884.0</v>
      </c>
      <c r="D1442" s="27">
        <v>45884.0</v>
      </c>
      <c r="E1442" s="26" t="s">
        <v>1121</v>
      </c>
      <c r="F1442" s="26" t="s">
        <v>1200</v>
      </c>
    </row>
    <row r="1443">
      <c r="A1443" s="26" t="s">
        <v>1812</v>
      </c>
      <c r="B1443" s="26" t="s">
        <v>1813</v>
      </c>
      <c r="C1443" s="27">
        <v>45884.0</v>
      </c>
      <c r="D1443" s="27">
        <v>45884.0</v>
      </c>
      <c r="E1443" s="26" t="s">
        <v>1121</v>
      </c>
      <c r="F1443" s="26" t="s">
        <v>1200</v>
      </c>
    </row>
    <row r="1444">
      <c r="A1444" s="26" t="s">
        <v>1812</v>
      </c>
      <c r="B1444" s="26" t="s">
        <v>1813</v>
      </c>
      <c r="C1444" s="27">
        <v>45884.0</v>
      </c>
      <c r="D1444" s="27">
        <v>45884.0</v>
      </c>
      <c r="E1444" s="26" t="s">
        <v>1121</v>
      </c>
      <c r="F1444" s="26" t="s">
        <v>1200</v>
      </c>
    </row>
    <row r="1445">
      <c r="A1445" s="26" t="s">
        <v>1812</v>
      </c>
      <c r="B1445" s="26" t="s">
        <v>1813</v>
      </c>
      <c r="C1445" s="27">
        <v>45884.0</v>
      </c>
      <c r="D1445" s="27">
        <v>45884.0</v>
      </c>
      <c r="E1445" s="26" t="s">
        <v>1121</v>
      </c>
      <c r="F1445" s="26" t="s">
        <v>1200</v>
      </c>
    </row>
    <row r="1446">
      <c r="A1446" s="26" t="s">
        <v>1814</v>
      </c>
      <c r="B1446" s="26" t="s">
        <v>516</v>
      </c>
      <c r="C1446" s="27">
        <v>45884.0</v>
      </c>
      <c r="D1446" s="27">
        <v>45884.0</v>
      </c>
      <c r="E1446" s="26" t="s">
        <v>1121</v>
      </c>
      <c r="F1446" s="26" t="s">
        <v>1200</v>
      </c>
    </row>
    <row r="1447">
      <c r="A1447" s="26" t="s">
        <v>1814</v>
      </c>
      <c r="B1447" s="26" t="s">
        <v>516</v>
      </c>
      <c r="C1447" s="27">
        <v>45884.0</v>
      </c>
      <c r="D1447" s="27">
        <v>45884.0</v>
      </c>
      <c r="E1447" s="26" t="s">
        <v>1121</v>
      </c>
      <c r="F1447" s="26" t="s">
        <v>1200</v>
      </c>
    </row>
    <row r="1448">
      <c r="A1448" s="26" t="s">
        <v>1814</v>
      </c>
      <c r="B1448" s="26" t="s">
        <v>516</v>
      </c>
      <c r="C1448" s="27">
        <v>45884.0</v>
      </c>
      <c r="D1448" s="27">
        <v>45884.0</v>
      </c>
      <c r="E1448" s="26" t="s">
        <v>1121</v>
      </c>
      <c r="F1448" s="26" t="s">
        <v>1200</v>
      </c>
    </row>
    <row r="1449">
      <c r="A1449" s="26" t="s">
        <v>1815</v>
      </c>
      <c r="B1449" s="26" t="s">
        <v>432</v>
      </c>
      <c r="C1449" s="27">
        <v>45884.0</v>
      </c>
      <c r="D1449" s="27">
        <v>45884.0</v>
      </c>
      <c r="E1449" s="26" t="s">
        <v>1121</v>
      </c>
      <c r="F1449" s="26" t="s">
        <v>1200</v>
      </c>
    </row>
    <row r="1450">
      <c r="A1450" s="26" t="s">
        <v>1816</v>
      </c>
      <c r="B1450" s="26" t="s">
        <v>546</v>
      </c>
      <c r="C1450" s="27">
        <v>45883.0</v>
      </c>
      <c r="D1450" s="27">
        <v>45883.0</v>
      </c>
      <c r="E1450" s="26" t="s">
        <v>1121</v>
      </c>
      <c r="F1450" s="26" t="s">
        <v>1200</v>
      </c>
    </row>
    <row r="1451">
      <c r="A1451" s="26" t="s">
        <v>1817</v>
      </c>
      <c r="B1451" s="26" t="s">
        <v>662</v>
      </c>
      <c r="C1451" s="27">
        <v>45883.0</v>
      </c>
      <c r="D1451" s="27">
        <v>45883.0</v>
      </c>
      <c r="E1451" s="26" t="s">
        <v>1121</v>
      </c>
      <c r="F1451" s="26" t="s">
        <v>1200</v>
      </c>
    </row>
    <row r="1452">
      <c r="A1452" s="26" t="s">
        <v>1817</v>
      </c>
      <c r="B1452" s="26" t="s">
        <v>662</v>
      </c>
      <c r="C1452" s="27">
        <v>45883.0</v>
      </c>
      <c r="D1452" s="27">
        <v>45883.0</v>
      </c>
      <c r="E1452" s="26" t="s">
        <v>1121</v>
      </c>
      <c r="F1452" s="26" t="s">
        <v>1200</v>
      </c>
    </row>
    <row r="1453">
      <c r="A1453" s="26" t="s">
        <v>1817</v>
      </c>
      <c r="B1453" s="26" t="s">
        <v>662</v>
      </c>
      <c r="C1453" s="27">
        <v>45883.0</v>
      </c>
      <c r="D1453" s="27">
        <v>45883.0</v>
      </c>
      <c r="E1453" s="26" t="s">
        <v>1121</v>
      </c>
      <c r="F1453" s="26" t="s">
        <v>1200</v>
      </c>
    </row>
    <row r="1454">
      <c r="A1454" s="26" t="s">
        <v>1817</v>
      </c>
      <c r="B1454" s="26" t="s">
        <v>662</v>
      </c>
      <c r="C1454" s="27">
        <v>45883.0</v>
      </c>
      <c r="D1454" s="27">
        <v>45883.0</v>
      </c>
      <c r="E1454" s="26" t="s">
        <v>1121</v>
      </c>
      <c r="F1454" s="26" t="s">
        <v>1200</v>
      </c>
    </row>
    <row r="1455">
      <c r="A1455" s="26" t="s">
        <v>1817</v>
      </c>
      <c r="B1455" s="26" t="s">
        <v>662</v>
      </c>
      <c r="C1455" s="27">
        <v>45883.0</v>
      </c>
      <c r="D1455" s="27">
        <v>45883.0</v>
      </c>
      <c r="E1455" s="26" t="s">
        <v>1121</v>
      </c>
      <c r="F1455" s="26" t="s">
        <v>1200</v>
      </c>
    </row>
    <row r="1456">
      <c r="A1456" s="26" t="s">
        <v>1818</v>
      </c>
      <c r="B1456" s="26" t="s">
        <v>467</v>
      </c>
      <c r="C1456" s="27">
        <v>45883.0</v>
      </c>
      <c r="D1456" s="27">
        <v>45883.0</v>
      </c>
      <c r="E1456" s="26" t="s">
        <v>1121</v>
      </c>
      <c r="F1456" s="26" t="s">
        <v>1200</v>
      </c>
    </row>
    <row r="1457">
      <c r="A1457" s="26" t="s">
        <v>1818</v>
      </c>
      <c r="B1457" s="26" t="s">
        <v>467</v>
      </c>
      <c r="C1457" s="27">
        <v>45883.0</v>
      </c>
      <c r="D1457" s="27">
        <v>45883.0</v>
      </c>
      <c r="E1457" s="26" t="s">
        <v>1121</v>
      </c>
      <c r="F1457" s="26" t="s">
        <v>1200</v>
      </c>
    </row>
    <row r="1458">
      <c r="A1458" s="26" t="s">
        <v>1819</v>
      </c>
      <c r="B1458" s="26" t="s">
        <v>461</v>
      </c>
      <c r="C1458" s="27">
        <v>45883.0</v>
      </c>
      <c r="D1458" s="27">
        <v>45883.0</v>
      </c>
      <c r="E1458" s="26" t="s">
        <v>1121</v>
      </c>
      <c r="F1458" s="26" t="s">
        <v>1200</v>
      </c>
    </row>
    <row r="1459">
      <c r="A1459" s="26" t="s">
        <v>1820</v>
      </c>
      <c r="B1459" s="26" t="s">
        <v>675</v>
      </c>
      <c r="C1459" s="27">
        <v>45882.0</v>
      </c>
      <c r="D1459" s="27">
        <v>45882.0</v>
      </c>
      <c r="E1459" s="26" t="s">
        <v>1121</v>
      </c>
      <c r="F1459" s="26" t="s">
        <v>1200</v>
      </c>
    </row>
    <row r="1460">
      <c r="A1460" s="26" t="s">
        <v>1820</v>
      </c>
      <c r="B1460" s="26" t="s">
        <v>675</v>
      </c>
      <c r="C1460" s="27">
        <v>45882.0</v>
      </c>
      <c r="D1460" s="27">
        <v>45882.0</v>
      </c>
      <c r="E1460" s="26" t="s">
        <v>1121</v>
      </c>
      <c r="F1460" s="26" t="s">
        <v>1200</v>
      </c>
    </row>
    <row r="1461">
      <c r="A1461" s="26" t="s">
        <v>1820</v>
      </c>
      <c r="B1461" s="26" t="s">
        <v>675</v>
      </c>
      <c r="C1461" s="27">
        <v>45882.0</v>
      </c>
      <c r="D1461" s="27">
        <v>45882.0</v>
      </c>
      <c r="E1461" s="26" t="s">
        <v>1121</v>
      </c>
      <c r="F1461" s="26" t="s">
        <v>1200</v>
      </c>
    </row>
    <row r="1462">
      <c r="A1462" s="26" t="s">
        <v>1820</v>
      </c>
      <c r="B1462" s="26" t="s">
        <v>675</v>
      </c>
      <c r="C1462" s="27">
        <v>45882.0</v>
      </c>
      <c r="D1462" s="27">
        <v>45882.0</v>
      </c>
      <c r="E1462" s="26" t="s">
        <v>1121</v>
      </c>
      <c r="F1462" s="26" t="s">
        <v>1200</v>
      </c>
    </row>
    <row r="1463">
      <c r="A1463" s="26" t="s">
        <v>1820</v>
      </c>
      <c r="B1463" s="26" t="s">
        <v>675</v>
      </c>
      <c r="C1463" s="27">
        <v>45882.0</v>
      </c>
      <c r="D1463" s="27">
        <v>45882.0</v>
      </c>
      <c r="E1463" s="26" t="s">
        <v>1121</v>
      </c>
      <c r="F1463" s="26" t="s">
        <v>1200</v>
      </c>
    </row>
    <row r="1464">
      <c r="A1464" s="26" t="s">
        <v>1821</v>
      </c>
      <c r="B1464" s="26" t="s">
        <v>448</v>
      </c>
      <c r="C1464" s="27">
        <v>45882.0</v>
      </c>
      <c r="D1464" s="27">
        <v>45882.0</v>
      </c>
      <c r="E1464" s="26" t="s">
        <v>1121</v>
      </c>
      <c r="F1464" s="26" t="s">
        <v>1200</v>
      </c>
    </row>
    <row r="1465">
      <c r="A1465" s="26" t="s">
        <v>1821</v>
      </c>
      <c r="B1465" s="26" t="s">
        <v>448</v>
      </c>
      <c r="C1465" s="27">
        <v>45882.0</v>
      </c>
      <c r="D1465" s="27">
        <v>45882.0</v>
      </c>
      <c r="E1465" s="26" t="s">
        <v>1121</v>
      </c>
      <c r="F1465" s="26" t="s">
        <v>1200</v>
      </c>
    </row>
    <row r="1466">
      <c r="A1466" s="26" t="s">
        <v>1822</v>
      </c>
      <c r="B1466" s="26" t="s">
        <v>634</v>
      </c>
      <c r="C1466" s="27">
        <v>45881.0</v>
      </c>
      <c r="D1466" s="27">
        <v>45881.0</v>
      </c>
      <c r="E1466" s="26" t="s">
        <v>1121</v>
      </c>
      <c r="F1466" s="26" t="s">
        <v>1200</v>
      </c>
    </row>
    <row r="1467">
      <c r="A1467" s="26" t="s">
        <v>1822</v>
      </c>
      <c r="B1467" s="26" t="s">
        <v>634</v>
      </c>
      <c r="C1467" s="27">
        <v>45881.0</v>
      </c>
      <c r="D1467" s="27">
        <v>45881.0</v>
      </c>
      <c r="E1467" s="26" t="s">
        <v>1121</v>
      </c>
      <c r="F1467" s="26" t="s">
        <v>1200</v>
      </c>
    </row>
    <row r="1468">
      <c r="A1468" s="26" t="s">
        <v>1823</v>
      </c>
      <c r="B1468" s="26" t="s">
        <v>428</v>
      </c>
      <c r="C1468" s="27">
        <v>45881.0</v>
      </c>
      <c r="D1468" s="27">
        <v>45881.0</v>
      </c>
      <c r="E1468" s="26" t="s">
        <v>1121</v>
      </c>
      <c r="F1468" s="26" t="s">
        <v>1200</v>
      </c>
    </row>
    <row r="1469">
      <c r="A1469" s="26" t="s">
        <v>1824</v>
      </c>
      <c r="B1469" s="26" t="s">
        <v>432</v>
      </c>
      <c r="C1469" s="27">
        <v>45881.0</v>
      </c>
      <c r="D1469" s="27">
        <v>45881.0</v>
      </c>
      <c r="E1469" s="26" t="s">
        <v>1121</v>
      </c>
      <c r="F1469" s="26" t="s">
        <v>1200</v>
      </c>
    </row>
    <row r="1470">
      <c r="A1470" s="26" t="s">
        <v>1825</v>
      </c>
      <c r="B1470" s="26" t="s">
        <v>736</v>
      </c>
      <c r="C1470" s="27">
        <v>45881.0</v>
      </c>
      <c r="D1470" s="27">
        <v>45881.0</v>
      </c>
      <c r="E1470" s="26" t="s">
        <v>1121</v>
      </c>
      <c r="F1470" s="26" t="s">
        <v>1200</v>
      </c>
    </row>
    <row r="1471">
      <c r="A1471" s="26" t="s">
        <v>1825</v>
      </c>
      <c r="B1471" s="26" t="s">
        <v>736</v>
      </c>
      <c r="C1471" s="27">
        <v>45881.0</v>
      </c>
      <c r="D1471" s="27">
        <v>45881.0</v>
      </c>
      <c r="E1471" s="26" t="s">
        <v>1121</v>
      </c>
      <c r="F1471" s="26" t="s">
        <v>1200</v>
      </c>
    </row>
    <row r="1472">
      <c r="A1472" s="26" t="s">
        <v>1825</v>
      </c>
      <c r="B1472" s="26" t="s">
        <v>736</v>
      </c>
      <c r="C1472" s="27">
        <v>45881.0</v>
      </c>
      <c r="D1472" s="27">
        <v>45881.0</v>
      </c>
      <c r="E1472" s="26" t="s">
        <v>1121</v>
      </c>
      <c r="F1472" s="26" t="s">
        <v>1200</v>
      </c>
    </row>
    <row r="1473">
      <c r="A1473" s="26" t="s">
        <v>1825</v>
      </c>
      <c r="B1473" s="26" t="s">
        <v>736</v>
      </c>
      <c r="C1473" s="27">
        <v>45881.0</v>
      </c>
      <c r="D1473" s="27">
        <v>45881.0</v>
      </c>
      <c r="E1473" s="26" t="s">
        <v>1121</v>
      </c>
      <c r="F1473" s="26" t="s">
        <v>1200</v>
      </c>
    </row>
    <row r="1474">
      <c r="A1474" s="26" t="s">
        <v>1825</v>
      </c>
      <c r="B1474" s="26" t="s">
        <v>736</v>
      </c>
      <c r="C1474" s="27">
        <v>45881.0</v>
      </c>
      <c r="D1474" s="27">
        <v>45881.0</v>
      </c>
      <c r="E1474" s="26" t="s">
        <v>1121</v>
      </c>
      <c r="F1474" s="26" t="s">
        <v>1200</v>
      </c>
    </row>
    <row r="1475">
      <c r="A1475" s="26" t="s">
        <v>1826</v>
      </c>
      <c r="B1475" s="26" t="s">
        <v>771</v>
      </c>
      <c r="C1475" s="27">
        <v>45880.0</v>
      </c>
      <c r="D1475" s="27">
        <v>45880.0</v>
      </c>
      <c r="E1475" s="26" t="s">
        <v>1121</v>
      </c>
      <c r="F1475" s="26" t="s">
        <v>1200</v>
      </c>
    </row>
    <row r="1476">
      <c r="A1476" s="26" t="s">
        <v>1826</v>
      </c>
      <c r="B1476" s="26" t="s">
        <v>771</v>
      </c>
      <c r="C1476" s="27">
        <v>45880.0</v>
      </c>
      <c r="D1476" s="27">
        <v>45880.0</v>
      </c>
      <c r="E1476" s="26" t="s">
        <v>1121</v>
      </c>
      <c r="F1476" s="26" t="s">
        <v>1200</v>
      </c>
    </row>
    <row r="1477">
      <c r="A1477" s="26" t="s">
        <v>1826</v>
      </c>
      <c r="B1477" s="26" t="s">
        <v>771</v>
      </c>
      <c r="C1477" s="27">
        <v>45880.0</v>
      </c>
      <c r="D1477" s="27">
        <v>45880.0</v>
      </c>
      <c r="E1477" s="26" t="s">
        <v>1121</v>
      </c>
      <c r="F1477" s="26" t="s">
        <v>1200</v>
      </c>
    </row>
    <row r="1478">
      <c r="A1478" s="26" t="s">
        <v>1826</v>
      </c>
      <c r="B1478" s="26" t="s">
        <v>771</v>
      </c>
      <c r="C1478" s="27">
        <v>45880.0</v>
      </c>
      <c r="D1478" s="27">
        <v>45880.0</v>
      </c>
      <c r="E1478" s="26" t="s">
        <v>1121</v>
      </c>
      <c r="F1478" s="26" t="s">
        <v>1200</v>
      </c>
    </row>
    <row r="1479">
      <c r="A1479" s="26" t="s">
        <v>1827</v>
      </c>
      <c r="B1479" s="26" t="s">
        <v>1828</v>
      </c>
      <c r="C1479" s="27">
        <v>45880.0</v>
      </c>
      <c r="D1479" s="27">
        <v>45880.0</v>
      </c>
      <c r="E1479" s="26" t="s">
        <v>1121</v>
      </c>
      <c r="F1479" s="26" t="s">
        <v>1200</v>
      </c>
    </row>
    <row r="1480">
      <c r="A1480" s="26" t="s">
        <v>1827</v>
      </c>
      <c r="B1480" s="26" t="s">
        <v>1828</v>
      </c>
      <c r="C1480" s="27">
        <v>45880.0</v>
      </c>
      <c r="D1480" s="27">
        <v>45880.0</v>
      </c>
      <c r="E1480" s="26" t="s">
        <v>1121</v>
      </c>
      <c r="F1480" s="26" t="s">
        <v>1200</v>
      </c>
    </row>
    <row r="1481">
      <c r="A1481" s="26" t="s">
        <v>1827</v>
      </c>
      <c r="B1481" s="26" t="s">
        <v>1828</v>
      </c>
      <c r="C1481" s="27">
        <v>45880.0</v>
      </c>
      <c r="D1481" s="27">
        <v>45880.0</v>
      </c>
      <c r="E1481" s="26" t="s">
        <v>1121</v>
      </c>
      <c r="F1481" s="26" t="s">
        <v>1200</v>
      </c>
    </row>
    <row r="1482">
      <c r="A1482" s="26" t="s">
        <v>1827</v>
      </c>
      <c r="B1482" s="26" t="s">
        <v>1828</v>
      </c>
      <c r="C1482" s="27">
        <v>45880.0</v>
      </c>
      <c r="D1482" s="27">
        <v>45880.0</v>
      </c>
      <c r="E1482" s="26" t="s">
        <v>1121</v>
      </c>
      <c r="F1482" s="26" t="s">
        <v>1200</v>
      </c>
    </row>
    <row r="1483">
      <c r="A1483" s="26" t="s">
        <v>1829</v>
      </c>
      <c r="B1483" s="26" t="s">
        <v>546</v>
      </c>
      <c r="C1483" s="27">
        <v>45880.0</v>
      </c>
      <c r="D1483" s="27">
        <v>45880.0</v>
      </c>
      <c r="E1483" s="26" t="s">
        <v>1121</v>
      </c>
      <c r="F1483" s="26" t="s">
        <v>1200</v>
      </c>
    </row>
    <row r="1484">
      <c r="A1484" s="26" t="s">
        <v>1830</v>
      </c>
      <c r="B1484" s="26" t="s">
        <v>439</v>
      </c>
      <c r="C1484" s="27">
        <v>45880.0</v>
      </c>
      <c r="D1484" s="27">
        <v>45880.0</v>
      </c>
      <c r="E1484" s="26" t="s">
        <v>1121</v>
      </c>
      <c r="F1484" s="26" t="s">
        <v>1200</v>
      </c>
    </row>
    <row r="1485">
      <c r="A1485" s="26" t="s">
        <v>1831</v>
      </c>
      <c r="B1485" s="26" t="s">
        <v>444</v>
      </c>
      <c r="C1485" s="27">
        <v>45880.0</v>
      </c>
      <c r="D1485" s="27">
        <v>45880.0</v>
      </c>
      <c r="E1485" s="26" t="s">
        <v>1121</v>
      </c>
      <c r="F1485" s="26" t="s">
        <v>1200</v>
      </c>
    </row>
    <row r="1486">
      <c r="A1486" s="26" t="s">
        <v>1831</v>
      </c>
      <c r="B1486" s="26" t="s">
        <v>444</v>
      </c>
      <c r="C1486" s="27">
        <v>45880.0</v>
      </c>
      <c r="D1486" s="27">
        <v>45880.0</v>
      </c>
      <c r="E1486" s="26" t="s">
        <v>1121</v>
      </c>
      <c r="F1486" s="26" t="s">
        <v>1200</v>
      </c>
    </row>
    <row r="1487">
      <c r="A1487" s="26" t="s">
        <v>1831</v>
      </c>
      <c r="B1487" s="26" t="s">
        <v>444</v>
      </c>
      <c r="C1487" s="27">
        <v>45880.0</v>
      </c>
      <c r="D1487" s="27">
        <v>45880.0</v>
      </c>
      <c r="E1487" s="26" t="s">
        <v>1121</v>
      </c>
      <c r="F1487" s="26" t="s">
        <v>1200</v>
      </c>
    </row>
    <row r="1488">
      <c r="A1488" s="26" t="s">
        <v>1832</v>
      </c>
      <c r="B1488" s="26" t="s">
        <v>505</v>
      </c>
      <c r="C1488" s="27">
        <v>45878.0</v>
      </c>
      <c r="D1488" s="27">
        <v>45878.0</v>
      </c>
      <c r="E1488" s="26" t="s">
        <v>1121</v>
      </c>
      <c r="F1488" s="26" t="s">
        <v>1200</v>
      </c>
    </row>
    <row r="1489">
      <c r="A1489" s="26" t="s">
        <v>1832</v>
      </c>
      <c r="B1489" s="26" t="s">
        <v>505</v>
      </c>
      <c r="C1489" s="27">
        <v>45878.0</v>
      </c>
      <c r="D1489" s="27">
        <v>45878.0</v>
      </c>
      <c r="E1489" s="26" t="s">
        <v>1121</v>
      </c>
      <c r="F1489" s="26" t="s">
        <v>1200</v>
      </c>
    </row>
    <row r="1490">
      <c r="A1490" s="26" t="s">
        <v>1833</v>
      </c>
      <c r="B1490" s="26" t="s">
        <v>455</v>
      </c>
      <c r="C1490" s="27">
        <v>45878.0</v>
      </c>
      <c r="D1490" s="27">
        <v>45878.0</v>
      </c>
      <c r="E1490" s="26" t="s">
        <v>1121</v>
      </c>
      <c r="F1490" s="26" t="s">
        <v>1200</v>
      </c>
    </row>
    <row r="1491">
      <c r="A1491" s="26" t="s">
        <v>1834</v>
      </c>
      <c r="B1491" s="26" t="s">
        <v>516</v>
      </c>
      <c r="C1491" s="27">
        <v>45878.0</v>
      </c>
      <c r="D1491" s="27">
        <v>45878.0</v>
      </c>
      <c r="E1491" s="26" t="s">
        <v>1121</v>
      </c>
      <c r="F1491" s="26" t="s">
        <v>1200</v>
      </c>
    </row>
    <row r="1492">
      <c r="A1492" s="26" t="s">
        <v>1834</v>
      </c>
      <c r="B1492" s="26" t="s">
        <v>516</v>
      </c>
      <c r="C1492" s="27">
        <v>45878.0</v>
      </c>
      <c r="D1492" s="27">
        <v>45878.0</v>
      </c>
      <c r="E1492" s="26" t="s">
        <v>1121</v>
      </c>
      <c r="F1492" s="26" t="s">
        <v>1200</v>
      </c>
    </row>
    <row r="1493">
      <c r="A1493" s="26" t="s">
        <v>1835</v>
      </c>
      <c r="B1493" s="26" t="s">
        <v>1226</v>
      </c>
      <c r="C1493" s="27">
        <v>45878.0</v>
      </c>
      <c r="D1493" s="27">
        <v>45878.0</v>
      </c>
      <c r="E1493" s="26" t="s">
        <v>1121</v>
      </c>
      <c r="F1493" s="26" t="s">
        <v>1200</v>
      </c>
    </row>
    <row r="1494">
      <c r="A1494" s="26" t="s">
        <v>1835</v>
      </c>
      <c r="B1494" s="26" t="s">
        <v>1226</v>
      </c>
      <c r="C1494" s="27">
        <v>45878.0</v>
      </c>
      <c r="D1494" s="27">
        <v>45878.0</v>
      </c>
      <c r="E1494" s="26" t="s">
        <v>1121</v>
      </c>
      <c r="F1494" s="26" t="s">
        <v>1200</v>
      </c>
    </row>
    <row r="1495">
      <c r="A1495" s="26" t="s">
        <v>1835</v>
      </c>
      <c r="B1495" s="26" t="s">
        <v>1226</v>
      </c>
      <c r="C1495" s="27">
        <v>45878.0</v>
      </c>
      <c r="D1495" s="27">
        <v>45878.0</v>
      </c>
      <c r="E1495" s="26" t="s">
        <v>1121</v>
      </c>
      <c r="F1495" s="26" t="s">
        <v>1200</v>
      </c>
    </row>
    <row r="1496">
      <c r="A1496" s="26" t="s">
        <v>1835</v>
      </c>
      <c r="B1496" s="26" t="s">
        <v>1226</v>
      </c>
      <c r="C1496" s="27">
        <v>45878.0</v>
      </c>
      <c r="D1496" s="27">
        <v>45878.0</v>
      </c>
      <c r="E1496" s="26" t="s">
        <v>1121</v>
      </c>
      <c r="F1496" s="26" t="s">
        <v>1200</v>
      </c>
    </row>
    <row r="1497">
      <c r="A1497" s="26" t="s">
        <v>1835</v>
      </c>
      <c r="B1497" s="26" t="s">
        <v>1226</v>
      </c>
      <c r="C1497" s="27">
        <v>45878.0</v>
      </c>
      <c r="D1497" s="27">
        <v>45878.0</v>
      </c>
      <c r="E1497" s="26" t="s">
        <v>1121</v>
      </c>
      <c r="F1497" s="26" t="s">
        <v>1200</v>
      </c>
    </row>
    <row r="1498">
      <c r="A1498" s="26" t="s">
        <v>1835</v>
      </c>
      <c r="B1498" s="26" t="s">
        <v>1226</v>
      </c>
      <c r="C1498" s="27">
        <v>45878.0</v>
      </c>
      <c r="D1498" s="27">
        <v>45878.0</v>
      </c>
      <c r="E1498" s="26" t="s">
        <v>1121</v>
      </c>
      <c r="F1498" s="26" t="s">
        <v>1200</v>
      </c>
    </row>
    <row r="1499">
      <c r="A1499" s="26" t="s">
        <v>1836</v>
      </c>
      <c r="B1499" s="26" t="s">
        <v>424</v>
      </c>
      <c r="C1499" s="27">
        <v>45877.0</v>
      </c>
      <c r="D1499" s="27">
        <v>45877.0</v>
      </c>
      <c r="E1499" s="26" t="s">
        <v>1121</v>
      </c>
      <c r="F1499" s="26" t="s">
        <v>1200</v>
      </c>
    </row>
    <row r="1500">
      <c r="A1500" s="26" t="s">
        <v>1837</v>
      </c>
      <c r="B1500" s="26" t="s">
        <v>483</v>
      </c>
      <c r="C1500" s="27">
        <v>45877.0</v>
      </c>
      <c r="D1500" s="27">
        <v>45877.0</v>
      </c>
      <c r="E1500" s="26" t="s">
        <v>1121</v>
      </c>
      <c r="F1500" s="26" t="s">
        <v>1200</v>
      </c>
    </row>
    <row r="1501">
      <c r="A1501" s="26" t="s">
        <v>1838</v>
      </c>
      <c r="B1501" s="26" t="s">
        <v>546</v>
      </c>
      <c r="C1501" s="27">
        <v>45877.0</v>
      </c>
      <c r="D1501" s="27">
        <v>45877.0</v>
      </c>
      <c r="E1501" s="26" t="s">
        <v>1121</v>
      </c>
      <c r="F1501" s="26" t="s">
        <v>1200</v>
      </c>
    </row>
    <row r="1502">
      <c r="A1502" s="26" t="s">
        <v>1838</v>
      </c>
      <c r="B1502" s="26" t="s">
        <v>546</v>
      </c>
      <c r="C1502" s="27">
        <v>45877.0</v>
      </c>
      <c r="D1502" s="27">
        <v>45877.0</v>
      </c>
      <c r="E1502" s="26" t="s">
        <v>1121</v>
      </c>
      <c r="F1502" s="26" t="s">
        <v>1200</v>
      </c>
    </row>
    <row r="1503">
      <c r="A1503" s="26" t="s">
        <v>1839</v>
      </c>
      <c r="B1503" s="26" t="s">
        <v>458</v>
      </c>
      <c r="C1503" s="27">
        <v>45877.0</v>
      </c>
      <c r="D1503" s="27">
        <v>45877.0</v>
      </c>
      <c r="E1503" s="26" t="s">
        <v>1121</v>
      </c>
      <c r="F1503" s="26" t="s">
        <v>1200</v>
      </c>
    </row>
    <row r="1504">
      <c r="A1504" s="26" t="s">
        <v>1840</v>
      </c>
      <c r="B1504" s="26" t="s">
        <v>435</v>
      </c>
      <c r="C1504" s="27">
        <v>45877.0</v>
      </c>
      <c r="D1504" s="27">
        <v>45877.0</v>
      </c>
      <c r="E1504" s="26" t="s">
        <v>1121</v>
      </c>
      <c r="F1504" s="26" t="s">
        <v>1200</v>
      </c>
    </row>
    <row r="1505">
      <c r="A1505" s="26" t="s">
        <v>1841</v>
      </c>
      <c r="B1505" s="26" t="s">
        <v>432</v>
      </c>
      <c r="C1505" s="27">
        <v>45877.0</v>
      </c>
      <c r="D1505" s="27">
        <v>45877.0</v>
      </c>
      <c r="E1505" s="26" t="s">
        <v>1121</v>
      </c>
      <c r="F1505" s="26" t="s">
        <v>1200</v>
      </c>
    </row>
    <row r="1506">
      <c r="A1506" s="26" t="s">
        <v>1842</v>
      </c>
      <c r="B1506" s="26" t="s">
        <v>472</v>
      </c>
      <c r="C1506" s="27">
        <v>45876.0</v>
      </c>
      <c r="D1506" s="27">
        <v>45876.0</v>
      </c>
      <c r="E1506" s="26" t="s">
        <v>1121</v>
      </c>
      <c r="F1506" s="26" t="s">
        <v>1200</v>
      </c>
    </row>
    <row r="1507">
      <c r="A1507" s="26" t="s">
        <v>1842</v>
      </c>
      <c r="B1507" s="26" t="s">
        <v>472</v>
      </c>
      <c r="C1507" s="27">
        <v>45876.0</v>
      </c>
      <c r="D1507" s="27">
        <v>45876.0</v>
      </c>
      <c r="E1507" s="26" t="s">
        <v>1121</v>
      </c>
      <c r="F1507" s="26" t="s">
        <v>1200</v>
      </c>
    </row>
    <row r="1508">
      <c r="A1508" s="26" t="s">
        <v>1843</v>
      </c>
      <c r="B1508" s="26" t="s">
        <v>546</v>
      </c>
      <c r="C1508" s="27">
        <v>45876.0</v>
      </c>
      <c r="D1508" s="27">
        <v>45876.0</v>
      </c>
      <c r="E1508" s="26" t="s">
        <v>1121</v>
      </c>
      <c r="F1508" s="26" t="s">
        <v>1200</v>
      </c>
    </row>
    <row r="1509">
      <c r="A1509" s="26" t="s">
        <v>1844</v>
      </c>
      <c r="B1509" s="26" t="s">
        <v>310</v>
      </c>
      <c r="C1509" s="27">
        <v>45875.0</v>
      </c>
      <c r="D1509" s="27">
        <v>45875.0</v>
      </c>
      <c r="E1509" s="26" t="s">
        <v>1121</v>
      </c>
      <c r="F1509" s="26" t="s">
        <v>1200</v>
      </c>
    </row>
    <row r="1510">
      <c r="A1510" s="26" t="s">
        <v>1844</v>
      </c>
      <c r="B1510" s="26" t="s">
        <v>310</v>
      </c>
      <c r="C1510" s="27">
        <v>45875.0</v>
      </c>
      <c r="D1510" s="27">
        <v>45875.0</v>
      </c>
      <c r="E1510" s="26" t="s">
        <v>1121</v>
      </c>
      <c r="F1510" s="26" t="s">
        <v>1200</v>
      </c>
    </row>
    <row r="1511">
      <c r="A1511" s="26" t="s">
        <v>1844</v>
      </c>
      <c r="B1511" s="26" t="s">
        <v>310</v>
      </c>
      <c r="C1511" s="27">
        <v>45875.0</v>
      </c>
      <c r="D1511" s="27">
        <v>45875.0</v>
      </c>
      <c r="E1511" s="26" t="s">
        <v>1121</v>
      </c>
      <c r="F1511" s="26" t="s">
        <v>1200</v>
      </c>
    </row>
    <row r="1512">
      <c r="A1512" s="26" t="s">
        <v>1844</v>
      </c>
      <c r="B1512" s="26" t="s">
        <v>310</v>
      </c>
      <c r="C1512" s="27">
        <v>45875.0</v>
      </c>
      <c r="D1512" s="27">
        <v>45875.0</v>
      </c>
      <c r="E1512" s="26" t="s">
        <v>1121</v>
      </c>
      <c r="F1512" s="26" t="s">
        <v>1200</v>
      </c>
    </row>
    <row r="1513">
      <c r="A1513" s="26" t="s">
        <v>1844</v>
      </c>
      <c r="B1513" s="26" t="s">
        <v>310</v>
      </c>
      <c r="C1513" s="27">
        <v>45875.0</v>
      </c>
      <c r="D1513" s="27">
        <v>45875.0</v>
      </c>
      <c r="E1513" s="26" t="s">
        <v>1121</v>
      </c>
      <c r="F1513" s="26" t="s">
        <v>1200</v>
      </c>
    </row>
    <row r="1514">
      <c r="A1514" s="26" t="s">
        <v>1844</v>
      </c>
      <c r="B1514" s="26" t="s">
        <v>310</v>
      </c>
      <c r="C1514" s="27">
        <v>45875.0</v>
      </c>
      <c r="D1514" s="27">
        <v>45875.0</v>
      </c>
      <c r="E1514" s="26" t="s">
        <v>1121</v>
      </c>
      <c r="F1514" s="26" t="s">
        <v>1200</v>
      </c>
    </row>
    <row r="1515">
      <c r="A1515" s="26" t="s">
        <v>1844</v>
      </c>
      <c r="B1515" s="26" t="s">
        <v>310</v>
      </c>
      <c r="C1515" s="27">
        <v>45875.0</v>
      </c>
      <c r="D1515" s="27">
        <v>45875.0</v>
      </c>
      <c r="E1515" s="26" t="s">
        <v>1121</v>
      </c>
      <c r="F1515" s="26" t="s">
        <v>1200</v>
      </c>
    </row>
    <row r="1516">
      <c r="A1516" s="26" t="s">
        <v>1844</v>
      </c>
      <c r="B1516" s="26" t="s">
        <v>310</v>
      </c>
      <c r="C1516" s="27">
        <v>45875.0</v>
      </c>
      <c r="D1516" s="27">
        <v>45875.0</v>
      </c>
      <c r="E1516" s="26" t="s">
        <v>1121</v>
      </c>
      <c r="F1516" s="26" t="s">
        <v>1200</v>
      </c>
    </row>
    <row r="1517">
      <c r="A1517" s="26" t="s">
        <v>1845</v>
      </c>
      <c r="B1517" s="26" t="s">
        <v>444</v>
      </c>
      <c r="C1517" s="27">
        <v>45874.0</v>
      </c>
      <c r="D1517" s="27">
        <v>45874.0</v>
      </c>
      <c r="E1517" s="26" t="s">
        <v>1121</v>
      </c>
      <c r="F1517" s="26" t="s">
        <v>1200</v>
      </c>
    </row>
    <row r="1518">
      <c r="A1518" s="26" t="s">
        <v>1845</v>
      </c>
      <c r="B1518" s="26" t="s">
        <v>444</v>
      </c>
      <c r="C1518" s="27">
        <v>45874.0</v>
      </c>
      <c r="D1518" s="27">
        <v>45874.0</v>
      </c>
      <c r="E1518" s="26" t="s">
        <v>1121</v>
      </c>
      <c r="F1518" s="26" t="s">
        <v>1200</v>
      </c>
    </row>
    <row r="1519">
      <c r="A1519" s="26" t="s">
        <v>1845</v>
      </c>
      <c r="B1519" s="26" t="s">
        <v>444</v>
      </c>
      <c r="C1519" s="27">
        <v>45874.0</v>
      </c>
      <c r="D1519" s="27">
        <v>45874.0</v>
      </c>
      <c r="E1519" s="26" t="s">
        <v>1121</v>
      </c>
      <c r="F1519" s="26" t="s">
        <v>1200</v>
      </c>
    </row>
    <row r="1520">
      <c r="A1520" s="26" t="s">
        <v>1846</v>
      </c>
      <c r="B1520" s="26" t="s">
        <v>546</v>
      </c>
      <c r="C1520" s="27">
        <v>45873.0</v>
      </c>
      <c r="D1520" s="27">
        <v>45873.0</v>
      </c>
      <c r="E1520" s="26" t="s">
        <v>1121</v>
      </c>
      <c r="F1520" s="26" t="s">
        <v>1200</v>
      </c>
    </row>
    <row r="1521">
      <c r="A1521" s="26" t="s">
        <v>1847</v>
      </c>
      <c r="B1521" s="26" t="s">
        <v>672</v>
      </c>
      <c r="C1521" s="27">
        <v>45873.0</v>
      </c>
      <c r="D1521" s="27">
        <v>45873.0</v>
      </c>
      <c r="E1521" s="26" t="s">
        <v>1121</v>
      </c>
      <c r="F1521" s="26" t="s">
        <v>1200</v>
      </c>
    </row>
    <row r="1522">
      <c r="A1522" s="26" t="s">
        <v>1847</v>
      </c>
      <c r="B1522" s="26" t="s">
        <v>672</v>
      </c>
      <c r="C1522" s="27">
        <v>45873.0</v>
      </c>
      <c r="D1522" s="27">
        <v>45873.0</v>
      </c>
      <c r="E1522" s="26" t="s">
        <v>1121</v>
      </c>
      <c r="F1522" s="26" t="s">
        <v>1200</v>
      </c>
    </row>
    <row r="1523">
      <c r="A1523" s="26" t="s">
        <v>1847</v>
      </c>
      <c r="B1523" s="26" t="s">
        <v>672</v>
      </c>
      <c r="C1523" s="27">
        <v>45873.0</v>
      </c>
      <c r="D1523" s="27">
        <v>45873.0</v>
      </c>
      <c r="E1523" s="26" t="s">
        <v>1121</v>
      </c>
      <c r="F1523" s="26" t="s">
        <v>1200</v>
      </c>
    </row>
    <row r="1524">
      <c r="A1524" s="26" t="s">
        <v>1847</v>
      </c>
      <c r="B1524" s="26" t="s">
        <v>672</v>
      </c>
      <c r="C1524" s="27">
        <v>45873.0</v>
      </c>
      <c r="D1524" s="27">
        <v>45873.0</v>
      </c>
      <c r="E1524" s="26" t="s">
        <v>1121</v>
      </c>
      <c r="F1524" s="26" t="s">
        <v>1200</v>
      </c>
    </row>
    <row r="1525">
      <c r="A1525" s="26" t="s">
        <v>1848</v>
      </c>
      <c r="B1525" s="26" t="s">
        <v>745</v>
      </c>
      <c r="C1525" s="27">
        <v>45874.0</v>
      </c>
      <c r="D1525" s="27">
        <v>45874.0</v>
      </c>
      <c r="E1525" s="26" t="s">
        <v>1121</v>
      </c>
      <c r="F1525" s="26" t="s">
        <v>1200</v>
      </c>
    </row>
    <row r="1526">
      <c r="A1526" s="26" t="s">
        <v>1848</v>
      </c>
      <c r="B1526" s="26" t="s">
        <v>745</v>
      </c>
      <c r="C1526" s="27">
        <v>45874.0</v>
      </c>
      <c r="D1526" s="27">
        <v>45874.0</v>
      </c>
      <c r="E1526" s="26" t="s">
        <v>1121</v>
      </c>
      <c r="F1526" s="26" t="s">
        <v>1200</v>
      </c>
    </row>
    <row r="1527">
      <c r="A1527" s="26" t="s">
        <v>1848</v>
      </c>
      <c r="B1527" s="26" t="s">
        <v>745</v>
      </c>
      <c r="C1527" s="27">
        <v>45874.0</v>
      </c>
      <c r="D1527" s="27">
        <v>45874.0</v>
      </c>
      <c r="E1527" s="26" t="s">
        <v>1121</v>
      </c>
      <c r="F1527" s="26" t="s">
        <v>1200</v>
      </c>
    </row>
    <row r="1528">
      <c r="A1528" s="26" t="s">
        <v>1848</v>
      </c>
      <c r="B1528" s="26" t="s">
        <v>745</v>
      </c>
      <c r="C1528" s="27">
        <v>45874.0</v>
      </c>
      <c r="D1528" s="27">
        <v>45874.0</v>
      </c>
      <c r="E1528" s="26" t="s">
        <v>1121</v>
      </c>
      <c r="F1528" s="26" t="s">
        <v>1200</v>
      </c>
    </row>
    <row r="1529">
      <c r="A1529" s="26" t="s">
        <v>1848</v>
      </c>
      <c r="B1529" s="26" t="s">
        <v>745</v>
      </c>
      <c r="C1529" s="27">
        <v>45874.0</v>
      </c>
      <c r="D1529" s="27">
        <v>45874.0</v>
      </c>
      <c r="E1529" s="26" t="s">
        <v>1121</v>
      </c>
      <c r="F1529" s="26" t="s">
        <v>1200</v>
      </c>
    </row>
    <row r="1530">
      <c r="A1530" s="26" t="s">
        <v>1848</v>
      </c>
      <c r="B1530" s="26" t="s">
        <v>745</v>
      </c>
      <c r="C1530" s="27">
        <v>45874.0</v>
      </c>
      <c r="D1530" s="27">
        <v>45874.0</v>
      </c>
      <c r="E1530" s="26" t="s">
        <v>1121</v>
      </c>
      <c r="F1530" s="26" t="s">
        <v>1200</v>
      </c>
    </row>
    <row r="1531">
      <c r="A1531" s="26" t="s">
        <v>1848</v>
      </c>
      <c r="B1531" s="26" t="s">
        <v>745</v>
      </c>
      <c r="C1531" s="27">
        <v>45874.0</v>
      </c>
      <c r="D1531" s="27">
        <v>45874.0</v>
      </c>
      <c r="E1531" s="26" t="s">
        <v>1121</v>
      </c>
      <c r="F1531" s="26" t="s">
        <v>1200</v>
      </c>
    </row>
    <row r="1532">
      <c r="A1532" s="26" t="s">
        <v>1848</v>
      </c>
      <c r="B1532" s="26" t="s">
        <v>745</v>
      </c>
      <c r="C1532" s="27">
        <v>45874.0</v>
      </c>
      <c r="D1532" s="27">
        <v>45874.0</v>
      </c>
      <c r="E1532" s="26" t="s">
        <v>1121</v>
      </c>
      <c r="F1532" s="26" t="s">
        <v>1200</v>
      </c>
    </row>
    <row r="1533">
      <c r="A1533" s="26" t="s">
        <v>1848</v>
      </c>
      <c r="B1533" s="26" t="s">
        <v>745</v>
      </c>
      <c r="C1533" s="27">
        <v>45874.0</v>
      </c>
      <c r="D1533" s="27">
        <v>45874.0</v>
      </c>
      <c r="E1533" s="26" t="s">
        <v>1121</v>
      </c>
      <c r="F1533" s="26" t="s">
        <v>1200</v>
      </c>
    </row>
    <row r="1534">
      <c r="A1534" s="26" t="s">
        <v>1848</v>
      </c>
      <c r="B1534" s="26" t="s">
        <v>745</v>
      </c>
      <c r="C1534" s="27">
        <v>45874.0</v>
      </c>
      <c r="D1534" s="27">
        <v>45874.0</v>
      </c>
      <c r="E1534" s="26" t="s">
        <v>1121</v>
      </c>
      <c r="F1534" s="26" t="s">
        <v>1200</v>
      </c>
    </row>
    <row r="1535">
      <c r="A1535" s="26" t="s">
        <v>1848</v>
      </c>
      <c r="B1535" s="26" t="s">
        <v>745</v>
      </c>
      <c r="C1535" s="27">
        <v>45874.0</v>
      </c>
      <c r="D1535" s="27">
        <v>45874.0</v>
      </c>
      <c r="E1535" s="26" t="s">
        <v>1121</v>
      </c>
      <c r="F1535" s="26" t="s">
        <v>1200</v>
      </c>
    </row>
    <row r="1536">
      <c r="A1536" s="26" t="s">
        <v>1848</v>
      </c>
      <c r="B1536" s="26" t="s">
        <v>745</v>
      </c>
      <c r="C1536" s="27">
        <v>45874.0</v>
      </c>
      <c r="D1536" s="27">
        <v>45874.0</v>
      </c>
      <c r="E1536" s="26" t="s">
        <v>1121</v>
      </c>
      <c r="F1536" s="26" t="s">
        <v>1200</v>
      </c>
    </row>
    <row r="1537">
      <c r="A1537" s="26" t="s">
        <v>1849</v>
      </c>
      <c r="B1537" s="26" t="s">
        <v>478</v>
      </c>
      <c r="C1537" s="27">
        <v>45873.0</v>
      </c>
      <c r="D1537" s="27">
        <v>45873.0</v>
      </c>
      <c r="E1537" s="26" t="s">
        <v>1121</v>
      </c>
      <c r="F1537" s="26" t="s">
        <v>1200</v>
      </c>
    </row>
    <row r="1538">
      <c r="A1538" s="26" t="s">
        <v>1850</v>
      </c>
      <c r="B1538" s="26" t="s">
        <v>483</v>
      </c>
      <c r="C1538" s="27">
        <v>45871.0</v>
      </c>
      <c r="D1538" s="27">
        <v>45871.0</v>
      </c>
      <c r="E1538" s="26" t="s">
        <v>1121</v>
      </c>
      <c r="F1538" s="26" t="s">
        <v>1200</v>
      </c>
    </row>
    <row r="1539">
      <c r="A1539" s="26" t="s">
        <v>1851</v>
      </c>
      <c r="B1539" s="26" t="s">
        <v>546</v>
      </c>
      <c r="C1539" s="27">
        <v>45871.0</v>
      </c>
      <c r="D1539" s="27">
        <v>45871.0</v>
      </c>
      <c r="E1539" s="26" t="s">
        <v>1121</v>
      </c>
      <c r="F1539" s="26" t="s">
        <v>1200</v>
      </c>
    </row>
    <row r="1540">
      <c r="A1540" s="26" t="s">
        <v>1852</v>
      </c>
      <c r="B1540" s="26" t="s">
        <v>1853</v>
      </c>
      <c r="C1540" s="27">
        <v>45870.0</v>
      </c>
      <c r="D1540" s="27">
        <v>45870.0</v>
      </c>
      <c r="E1540" s="26" t="s">
        <v>1121</v>
      </c>
      <c r="F1540" s="26" t="s">
        <v>1200</v>
      </c>
    </row>
    <row r="1541">
      <c r="A1541" s="26" t="s">
        <v>1854</v>
      </c>
      <c r="B1541" s="26" t="s">
        <v>599</v>
      </c>
      <c r="C1541" s="27">
        <v>45870.0</v>
      </c>
      <c r="D1541" s="27">
        <v>45870.0</v>
      </c>
      <c r="E1541" s="26" t="s">
        <v>1121</v>
      </c>
      <c r="F1541" s="26" t="s">
        <v>1200</v>
      </c>
    </row>
    <row r="1542">
      <c r="A1542" s="26" t="s">
        <v>1855</v>
      </c>
      <c r="B1542" s="26" t="s">
        <v>634</v>
      </c>
      <c r="C1542" s="27">
        <v>45870.0</v>
      </c>
      <c r="D1542" s="27">
        <v>45870.0</v>
      </c>
      <c r="E1542" s="26" t="s">
        <v>1121</v>
      </c>
      <c r="F1542" s="26" t="s">
        <v>1200</v>
      </c>
    </row>
    <row r="1543">
      <c r="A1543" s="26" t="s">
        <v>1856</v>
      </c>
      <c r="B1543" s="26" t="s">
        <v>467</v>
      </c>
      <c r="C1543" s="27">
        <v>45870.0</v>
      </c>
      <c r="D1543" s="27">
        <v>45870.0</v>
      </c>
      <c r="E1543" s="26" t="s">
        <v>1121</v>
      </c>
      <c r="F1543" s="26" t="s">
        <v>1200</v>
      </c>
    </row>
    <row r="1544">
      <c r="A1544" s="26" t="s">
        <v>1857</v>
      </c>
      <c r="B1544" s="26" t="s">
        <v>444</v>
      </c>
      <c r="C1544" s="27">
        <v>45870.0</v>
      </c>
      <c r="D1544" s="27">
        <v>45870.0</v>
      </c>
      <c r="E1544" s="26" t="s">
        <v>1121</v>
      </c>
      <c r="F1544" s="26" t="s">
        <v>1200</v>
      </c>
    </row>
    <row r="1545">
      <c r="A1545" s="26" t="s">
        <v>1857</v>
      </c>
      <c r="B1545" s="26" t="s">
        <v>444</v>
      </c>
      <c r="C1545" s="27">
        <v>45870.0</v>
      </c>
      <c r="D1545" s="27">
        <v>45870.0</v>
      </c>
      <c r="E1545" s="26" t="s">
        <v>1121</v>
      </c>
      <c r="F1545" s="26" t="s">
        <v>1200</v>
      </c>
    </row>
    <row r="1546">
      <c r="A1546" s="26" t="s">
        <v>1857</v>
      </c>
      <c r="B1546" s="26" t="s">
        <v>444</v>
      </c>
      <c r="C1546" s="27">
        <v>45870.0</v>
      </c>
      <c r="D1546" s="27">
        <v>45870.0</v>
      </c>
      <c r="E1546" s="26" t="s">
        <v>1121</v>
      </c>
      <c r="F1546" s="26" t="s">
        <v>1200</v>
      </c>
    </row>
    <row r="1547">
      <c r="A1547" s="26" t="s">
        <v>1858</v>
      </c>
      <c r="B1547" s="26" t="s">
        <v>435</v>
      </c>
      <c r="C1547" s="27">
        <v>45870.0</v>
      </c>
      <c r="D1547" s="27">
        <v>45870.0</v>
      </c>
      <c r="E1547" s="26" t="s">
        <v>1121</v>
      </c>
      <c r="F1547" s="26" t="s">
        <v>1200</v>
      </c>
    </row>
    <row r="1548">
      <c r="A1548" s="26" t="s">
        <v>1859</v>
      </c>
      <c r="B1548" s="26" t="s">
        <v>432</v>
      </c>
      <c r="C1548" s="27">
        <v>45870.0</v>
      </c>
      <c r="D1548" s="27">
        <v>45870.0</v>
      </c>
      <c r="E1548" s="26" t="s">
        <v>1121</v>
      </c>
      <c r="F1548" s="26" t="s">
        <v>1200</v>
      </c>
    </row>
    <row r="1549">
      <c r="A1549" s="26" t="s">
        <v>1859</v>
      </c>
      <c r="B1549" s="26" t="s">
        <v>432</v>
      </c>
      <c r="C1549" s="27">
        <v>45870.0</v>
      </c>
      <c r="D1549" s="27">
        <v>45870.0</v>
      </c>
      <c r="E1549" s="26" t="s">
        <v>1121</v>
      </c>
      <c r="F1549" s="26" t="s">
        <v>1200</v>
      </c>
    </row>
    <row r="1550">
      <c r="A1550" s="26" t="s">
        <v>1860</v>
      </c>
      <c r="B1550" s="26" t="s">
        <v>1799</v>
      </c>
      <c r="C1550" s="27">
        <v>45868.0</v>
      </c>
      <c r="D1550" s="27">
        <v>45868.0</v>
      </c>
      <c r="E1550" s="26" t="s">
        <v>1121</v>
      </c>
      <c r="F1550" s="26" t="s">
        <v>1200</v>
      </c>
    </row>
    <row r="1551">
      <c r="A1551" s="26" t="s">
        <v>1861</v>
      </c>
      <c r="B1551" s="26" t="s">
        <v>1862</v>
      </c>
      <c r="C1551" s="27">
        <v>45867.0</v>
      </c>
      <c r="D1551" s="27">
        <v>45867.0</v>
      </c>
      <c r="E1551" s="26" t="s">
        <v>1121</v>
      </c>
      <c r="F1551" s="26" t="s">
        <v>1200</v>
      </c>
    </row>
    <row r="1552">
      <c r="A1552" s="26" t="s">
        <v>1861</v>
      </c>
      <c r="B1552" s="26" t="s">
        <v>1862</v>
      </c>
      <c r="C1552" s="27">
        <v>45867.0</v>
      </c>
      <c r="D1552" s="27">
        <v>45867.0</v>
      </c>
      <c r="E1552" s="26" t="s">
        <v>1121</v>
      </c>
      <c r="F1552" s="26" t="s">
        <v>1200</v>
      </c>
    </row>
    <row r="1553">
      <c r="A1553" s="26" t="s">
        <v>1861</v>
      </c>
      <c r="B1553" s="26" t="s">
        <v>1862</v>
      </c>
      <c r="C1553" s="27">
        <v>45867.0</v>
      </c>
      <c r="D1553" s="27">
        <v>45867.0</v>
      </c>
      <c r="E1553" s="26" t="s">
        <v>1121</v>
      </c>
      <c r="F1553" s="26" t="s">
        <v>1200</v>
      </c>
    </row>
    <row r="1554">
      <c r="A1554" s="26" t="s">
        <v>1861</v>
      </c>
      <c r="B1554" s="26" t="s">
        <v>1862</v>
      </c>
      <c r="C1554" s="27">
        <v>45867.0</v>
      </c>
      <c r="D1554" s="27">
        <v>45867.0</v>
      </c>
      <c r="E1554" s="26" t="s">
        <v>1121</v>
      </c>
      <c r="F1554" s="26" t="s">
        <v>1200</v>
      </c>
    </row>
    <row r="1555">
      <c r="A1555" s="26" t="s">
        <v>1863</v>
      </c>
      <c r="B1555" s="26" t="s">
        <v>546</v>
      </c>
      <c r="C1555" s="27">
        <v>45867.0</v>
      </c>
      <c r="D1555" s="27">
        <v>45867.0</v>
      </c>
      <c r="E1555" s="26" t="s">
        <v>1121</v>
      </c>
      <c r="F1555" s="26" t="s">
        <v>1200</v>
      </c>
    </row>
    <row r="1556">
      <c r="A1556" s="26" t="s">
        <v>1863</v>
      </c>
      <c r="B1556" s="26" t="s">
        <v>546</v>
      </c>
      <c r="C1556" s="27">
        <v>45867.0</v>
      </c>
      <c r="D1556" s="27">
        <v>45867.0</v>
      </c>
      <c r="E1556" s="26" t="s">
        <v>1121</v>
      </c>
      <c r="F1556" s="26" t="s">
        <v>1200</v>
      </c>
    </row>
    <row r="1557">
      <c r="A1557" s="26" t="s">
        <v>1864</v>
      </c>
      <c r="B1557" s="26" t="s">
        <v>639</v>
      </c>
      <c r="C1557" s="27">
        <v>45866.0</v>
      </c>
      <c r="D1557" s="27">
        <v>45866.0</v>
      </c>
      <c r="E1557" s="26" t="s">
        <v>1121</v>
      </c>
      <c r="F1557" s="26" t="s">
        <v>1200</v>
      </c>
    </row>
    <row r="1558">
      <c r="A1558" s="26" t="s">
        <v>1865</v>
      </c>
      <c r="B1558" s="26" t="s">
        <v>1598</v>
      </c>
      <c r="C1558" s="27">
        <v>45866.0</v>
      </c>
      <c r="D1558" s="27">
        <v>45866.0</v>
      </c>
      <c r="E1558" s="26" t="s">
        <v>1121</v>
      </c>
      <c r="F1558" s="26" t="s">
        <v>1200</v>
      </c>
    </row>
    <row r="1559">
      <c r="A1559" s="26" t="s">
        <v>1866</v>
      </c>
      <c r="B1559" s="26" t="s">
        <v>467</v>
      </c>
      <c r="C1559" s="27">
        <v>45866.0</v>
      </c>
      <c r="D1559" s="27">
        <v>45866.0</v>
      </c>
      <c r="E1559" s="26" t="s">
        <v>1121</v>
      </c>
      <c r="F1559" s="26" t="s">
        <v>1200</v>
      </c>
    </row>
    <row r="1560">
      <c r="A1560" s="26" t="s">
        <v>1867</v>
      </c>
      <c r="B1560" s="26" t="s">
        <v>483</v>
      </c>
      <c r="C1560" s="27">
        <v>45866.0</v>
      </c>
      <c r="D1560" s="27">
        <v>45866.0</v>
      </c>
      <c r="E1560" s="26" t="s">
        <v>1121</v>
      </c>
      <c r="F1560" s="26" t="s">
        <v>1200</v>
      </c>
    </row>
    <row r="1561">
      <c r="A1561" s="26" t="s">
        <v>1868</v>
      </c>
      <c r="B1561" s="26" t="s">
        <v>1869</v>
      </c>
      <c r="C1561" s="27">
        <v>45864.0</v>
      </c>
      <c r="D1561" s="27">
        <v>45864.0</v>
      </c>
      <c r="E1561" s="26" t="s">
        <v>1121</v>
      </c>
      <c r="F1561" s="26" t="s">
        <v>1200</v>
      </c>
    </row>
    <row r="1562">
      <c r="A1562" s="26" t="s">
        <v>1870</v>
      </c>
      <c r="B1562" s="26" t="s">
        <v>634</v>
      </c>
      <c r="C1562" s="27">
        <v>45864.0</v>
      </c>
      <c r="D1562" s="27">
        <v>45864.0</v>
      </c>
      <c r="E1562" s="26" t="s">
        <v>1121</v>
      </c>
      <c r="F1562" s="26" t="s">
        <v>1200</v>
      </c>
    </row>
    <row r="1563">
      <c r="A1563" s="26" t="s">
        <v>1870</v>
      </c>
      <c r="B1563" s="26" t="s">
        <v>634</v>
      </c>
      <c r="C1563" s="27">
        <v>45864.0</v>
      </c>
      <c r="D1563" s="27">
        <v>45864.0</v>
      </c>
      <c r="E1563" s="26" t="s">
        <v>1121</v>
      </c>
      <c r="F1563" s="26" t="s">
        <v>1200</v>
      </c>
    </row>
    <row r="1564">
      <c r="A1564" s="26" t="s">
        <v>1870</v>
      </c>
      <c r="B1564" s="26" t="s">
        <v>634</v>
      </c>
      <c r="C1564" s="27">
        <v>45864.0</v>
      </c>
      <c r="D1564" s="27">
        <v>45864.0</v>
      </c>
      <c r="E1564" s="26" t="s">
        <v>1121</v>
      </c>
      <c r="F1564" s="26" t="s">
        <v>1200</v>
      </c>
    </row>
    <row r="1565">
      <c r="A1565" s="26" t="s">
        <v>1871</v>
      </c>
      <c r="B1565" s="26" t="s">
        <v>542</v>
      </c>
      <c r="C1565" s="27">
        <v>45863.0</v>
      </c>
      <c r="D1565" s="27">
        <v>45863.0</v>
      </c>
      <c r="E1565" s="26" t="s">
        <v>1121</v>
      </c>
      <c r="F1565" s="26" t="s">
        <v>1200</v>
      </c>
    </row>
    <row r="1566">
      <c r="A1566" s="26" t="s">
        <v>1872</v>
      </c>
      <c r="B1566" s="26" t="s">
        <v>467</v>
      </c>
      <c r="C1566" s="27">
        <v>45863.0</v>
      </c>
      <c r="D1566" s="27">
        <v>45863.0</v>
      </c>
      <c r="E1566" s="26" t="s">
        <v>1121</v>
      </c>
      <c r="F1566" s="26" t="s">
        <v>1200</v>
      </c>
    </row>
    <row r="1567">
      <c r="A1567" s="26" t="s">
        <v>1873</v>
      </c>
      <c r="B1567" s="26" t="s">
        <v>546</v>
      </c>
      <c r="C1567" s="27">
        <v>45863.0</v>
      </c>
      <c r="D1567" s="27">
        <v>45863.0</v>
      </c>
      <c r="E1567" s="26" t="s">
        <v>1121</v>
      </c>
      <c r="F1567" s="26" t="s">
        <v>1200</v>
      </c>
    </row>
    <row r="1568">
      <c r="A1568" s="26" t="s">
        <v>1873</v>
      </c>
      <c r="B1568" s="26" t="s">
        <v>546</v>
      </c>
      <c r="C1568" s="27">
        <v>45863.0</v>
      </c>
      <c r="D1568" s="27">
        <v>45863.0</v>
      </c>
      <c r="E1568" s="26" t="s">
        <v>1121</v>
      </c>
      <c r="F1568" s="26" t="s">
        <v>1200</v>
      </c>
    </row>
    <row r="1569">
      <c r="A1569" s="26" t="s">
        <v>1874</v>
      </c>
      <c r="B1569" s="26" t="s">
        <v>1875</v>
      </c>
      <c r="C1569" s="27">
        <v>45863.0</v>
      </c>
      <c r="D1569" s="27">
        <v>45863.0</v>
      </c>
      <c r="E1569" s="26" t="s">
        <v>1121</v>
      </c>
      <c r="F1569" s="26" t="s">
        <v>1200</v>
      </c>
    </row>
    <row r="1570">
      <c r="A1570" s="26" t="s">
        <v>1874</v>
      </c>
      <c r="B1570" s="26" t="s">
        <v>1875</v>
      </c>
      <c r="C1570" s="27">
        <v>45863.0</v>
      </c>
      <c r="D1570" s="27">
        <v>45863.0</v>
      </c>
      <c r="E1570" s="26" t="s">
        <v>1121</v>
      </c>
      <c r="F1570" s="26" t="s">
        <v>1200</v>
      </c>
    </row>
    <row r="1571">
      <c r="A1571" s="26" t="s">
        <v>1876</v>
      </c>
      <c r="B1571" s="26" t="s">
        <v>472</v>
      </c>
      <c r="C1571" s="27">
        <v>45862.0</v>
      </c>
      <c r="D1571" s="27">
        <v>45862.0</v>
      </c>
      <c r="E1571" s="26" t="s">
        <v>1121</v>
      </c>
      <c r="F1571" s="26" t="s">
        <v>1200</v>
      </c>
    </row>
    <row r="1572">
      <c r="A1572" s="26" t="s">
        <v>1877</v>
      </c>
      <c r="B1572" s="26" t="s">
        <v>739</v>
      </c>
      <c r="C1572" s="27">
        <v>45862.0</v>
      </c>
      <c r="D1572" s="27">
        <v>45862.0</v>
      </c>
      <c r="E1572" s="26" t="s">
        <v>1121</v>
      </c>
      <c r="F1572" s="26" t="s">
        <v>1200</v>
      </c>
    </row>
    <row r="1573">
      <c r="A1573" s="26" t="s">
        <v>1877</v>
      </c>
      <c r="B1573" s="26" t="s">
        <v>739</v>
      </c>
      <c r="C1573" s="27">
        <v>45862.0</v>
      </c>
      <c r="D1573" s="27">
        <v>45862.0</v>
      </c>
      <c r="E1573" s="26" t="s">
        <v>1121</v>
      </c>
      <c r="F1573" s="26" t="s">
        <v>1200</v>
      </c>
    </row>
    <row r="1574">
      <c r="A1574" s="26" t="s">
        <v>1877</v>
      </c>
      <c r="B1574" s="26" t="s">
        <v>739</v>
      </c>
      <c r="C1574" s="27">
        <v>45862.0</v>
      </c>
      <c r="D1574" s="27">
        <v>45862.0</v>
      </c>
      <c r="E1574" s="26" t="s">
        <v>1121</v>
      </c>
      <c r="F1574" s="26" t="s">
        <v>1200</v>
      </c>
    </row>
    <row r="1575">
      <c r="A1575" s="26" t="s">
        <v>1878</v>
      </c>
      <c r="B1575" s="26" t="s">
        <v>781</v>
      </c>
      <c r="C1575" s="27">
        <v>45862.0</v>
      </c>
      <c r="D1575" s="27">
        <v>45862.0</v>
      </c>
      <c r="E1575" s="26" t="s">
        <v>1121</v>
      </c>
      <c r="F1575" s="26" t="s">
        <v>1200</v>
      </c>
    </row>
    <row r="1576">
      <c r="A1576" s="26" t="s">
        <v>1878</v>
      </c>
      <c r="B1576" s="26" t="s">
        <v>781</v>
      </c>
      <c r="C1576" s="27">
        <v>45862.0</v>
      </c>
      <c r="D1576" s="27">
        <v>45862.0</v>
      </c>
      <c r="E1576" s="26" t="s">
        <v>1121</v>
      </c>
      <c r="F1576" s="26" t="s">
        <v>1200</v>
      </c>
    </row>
    <row r="1577">
      <c r="A1577" s="26" t="s">
        <v>1878</v>
      </c>
      <c r="B1577" s="26" t="s">
        <v>781</v>
      </c>
      <c r="C1577" s="27">
        <v>45862.0</v>
      </c>
      <c r="D1577" s="27">
        <v>45862.0</v>
      </c>
      <c r="E1577" s="26" t="s">
        <v>1121</v>
      </c>
      <c r="F1577" s="26" t="s">
        <v>1200</v>
      </c>
    </row>
    <row r="1578">
      <c r="A1578" s="26" t="s">
        <v>1878</v>
      </c>
      <c r="B1578" s="26" t="s">
        <v>781</v>
      </c>
      <c r="C1578" s="27">
        <v>45862.0</v>
      </c>
      <c r="D1578" s="27">
        <v>45862.0</v>
      </c>
      <c r="E1578" s="26" t="s">
        <v>1121</v>
      </c>
      <c r="F1578" s="26" t="s">
        <v>1200</v>
      </c>
    </row>
    <row r="1579">
      <c r="A1579" s="26" t="s">
        <v>1879</v>
      </c>
      <c r="B1579" s="26" t="s">
        <v>461</v>
      </c>
      <c r="C1579" s="27">
        <v>45862.0</v>
      </c>
      <c r="D1579" s="27">
        <v>45862.0</v>
      </c>
      <c r="E1579" s="26" t="s">
        <v>1121</v>
      </c>
      <c r="F1579" s="26" t="s">
        <v>1200</v>
      </c>
    </row>
    <row r="1580">
      <c r="A1580" s="26" t="s">
        <v>1880</v>
      </c>
      <c r="B1580" s="26" t="s">
        <v>651</v>
      </c>
      <c r="C1580" s="27">
        <v>45861.0</v>
      </c>
      <c r="D1580" s="27">
        <v>45861.0</v>
      </c>
      <c r="E1580" s="26" t="s">
        <v>1121</v>
      </c>
      <c r="F1580" s="26" t="s">
        <v>1200</v>
      </c>
    </row>
    <row r="1581">
      <c r="A1581" s="26" t="s">
        <v>1881</v>
      </c>
      <c r="B1581" s="26" t="s">
        <v>432</v>
      </c>
      <c r="C1581" s="27">
        <v>45860.0</v>
      </c>
      <c r="D1581" s="27">
        <v>45860.0</v>
      </c>
      <c r="E1581" s="26" t="s">
        <v>1121</v>
      </c>
      <c r="F1581" s="26" t="s">
        <v>1200</v>
      </c>
    </row>
    <row r="1582">
      <c r="A1582" s="26" t="s">
        <v>1881</v>
      </c>
      <c r="B1582" s="26" t="s">
        <v>432</v>
      </c>
      <c r="C1582" s="27">
        <v>45860.0</v>
      </c>
      <c r="D1582" s="27">
        <v>45860.0</v>
      </c>
      <c r="E1582" s="26" t="s">
        <v>1121</v>
      </c>
      <c r="F1582" s="26" t="s">
        <v>1200</v>
      </c>
    </row>
    <row r="1583">
      <c r="A1583" s="26" t="s">
        <v>1882</v>
      </c>
      <c r="B1583" s="26" t="s">
        <v>736</v>
      </c>
      <c r="C1583" s="27">
        <v>45860.0</v>
      </c>
      <c r="D1583" s="27">
        <v>45860.0</v>
      </c>
      <c r="E1583" s="26" t="s">
        <v>1121</v>
      </c>
      <c r="F1583" s="26" t="s">
        <v>1200</v>
      </c>
    </row>
    <row r="1584">
      <c r="A1584" s="26" t="s">
        <v>1882</v>
      </c>
      <c r="B1584" s="26" t="s">
        <v>736</v>
      </c>
      <c r="C1584" s="27">
        <v>45860.0</v>
      </c>
      <c r="D1584" s="27">
        <v>45860.0</v>
      </c>
      <c r="E1584" s="26" t="s">
        <v>1121</v>
      </c>
      <c r="F1584" s="26" t="s">
        <v>1200</v>
      </c>
    </row>
    <row r="1585">
      <c r="A1585" s="26" t="s">
        <v>1882</v>
      </c>
      <c r="B1585" s="26" t="s">
        <v>736</v>
      </c>
      <c r="C1585" s="27">
        <v>45860.0</v>
      </c>
      <c r="D1585" s="27">
        <v>45860.0</v>
      </c>
      <c r="E1585" s="26" t="s">
        <v>1121</v>
      </c>
      <c r="F1585" s="26" t="s">
        <v>1200</v>
      </c>
    </row>
    <row r="1586">
      <c r="A1586" s="26" t="s">
        <v>1882</v>
      </c>
      <c r="B1586" s="26" t="s">
        <v>736</v>
      </c>
      <c r="C1586" s="27">
        <v>45860.0</v>
      </c>
      <c r="D1586" s="27">
        <v>45860.0</v>
      </c>
      <c r="E1586" s="26" t="s">
        <v>1121</v>
      </c>
      <c r="F1586" s="26" t="s">
        <v>1200</v>
      </c>
    </row>
    <row r="1587">
      <c r="A1587" s="26" t="s">
        <v>1882</v>
      </c>
      <c r="B1587" s="26" t="s">
        <v>736</v>
      </c>
      <c r="C1587" s="27">
        <v>45860.0</v>
      </c>
      <c r="D1587" s="27">
        <v>45860.0</v>
      </c>
      <c r="E1587" s="26" t="s">
        <v>1121</v>
      </c>
      <c r="F1587" s="26" t="s">
        <v>1200</v>
      </c>
    </row>
    <row r="1588">
      <c r="A1588" s="26" t="s">
        <v>1882</v>
      </c>
      <c r="B1588" s="26" t="s">
        <v>736</v>
      </c>
      <c r="C1588" s="27">
        <v>45860.0</v>
      </c>
      <c r="D1588" s="27">
        <v>45860.0</v>
      </c>
      <c r="E1588" s="26" t="s">
        <v>1121</v>
      </c>
      <c r="F1588" s="26" t="s">
        <v>1200</v>
      </c>
    </row>
    <row r="1589">
      <c r="A1589" s="26" t="s">
        <v>1882</v>
      </c>
      <c r="B1589" s="26" t="s">
        <v>736</v>
      </c>
      <c r="C1589" s="27">
        <v>45860.0</v>
      </c>
      <c r="D1589" s="27">
        <v>45860.0</v>
      </c>
      <c r="E1589" s="26" t="s">
        <v>1121</v>
      </c>
      <c r="F1589" s="26" t="s">
        <v>1200</v>
      </c>
    </row>
    <row r="1590">
      <c r="A1590" s="26" t="s">
        <v>1882</v>
      </c>
      <c r="B1590" s="26" t="s">
        <v>736</v>
      </c>
      <c r="C1590" s="27">
        <v>45860.0</v>
      </c>
      <c r="D1590" s="27">
        <v>45860.0</v>
      </c>
      <c r="E1590" s="26" t="s">
        <v>1121</v>
      </c>
      <c r="F1590" s="26" t="s">
        <v>1200</v>
      </c>
    </row>
    <row r="1591">
      <c r="A1591" s="26" t="s">
        <v>1883</v>
      </c>
      <c r="B1591" s="26" t="s">
        <v>483</v>
      </c>
      <c r="C1591" s="27">
        <v>45859.0</v>
      </c>
      <c r="D1591" s="27">
        <v>45859.0</v>
      </c>
      <c r="E1591" s="26" t="s">
        <v>1121</v>
      </c>
      <c r="F1591" s="26" t="s">
        <v>1200</v>
      </c>
    </row>
    <row r="1592">
      <c r="A1592" s="26" t="s">
        <v>1884</v>
      </c>
      <c r="B1592" s="26" t="s">
        <v>546</v>
      </c>
      <c r="C1592" s="27">
        <v>45859.0</v>
      </c>
      <c r="D1592" s="27">
        <v>45859.0</v>
      </c>
      <c r="E1592" s="26" t="s">
        <v>1121</v>
      </c>
      <c r="F1592" s="26" t="s">
        <v>1200</v>
      </c>
    </row>
    <row r="1593">
      <c r="A1593" s="26" t="s">
        <v>1885</v>
      </c>
      <c r="B1593" s="26" t="s">
        <v>444</v>
      </c>
      <c r="C1593" s="27">
        <v>45859.0</v>
      </c>
      <c r="D1593" s="27">
        <v>45859.0</v>
      </c>
      <c r="E1593" s="26" t="s">
        <v>1121</v>
      </c>
      <c r="F1593" s="26" t="s">
        <v>1200</v>
      </c>
    </row>
    <row r="1594">
      <c r="A1594" s="26" t="s">
        <v>1885</v>
      </c>
      <c r="B1594" s="26" t="s">
        <v>444</v>
      </c>
      <c r="C1594" s="27">
        <v>45859.0</v>
      </c>
      <c r="D1594" s="27">
        <v>45859.0</v>
      </c>
      <c r="E1594" s="26" t="s">
        <v>1121</v>
      </c>
      <c r="F1594" s="26" t="s">
        <v>1200</v>
      </c>
    </row>
    <row r="1595">
      <c r="A1595" s="26" t="s">
        <v>1886</v>
      </c>
      <c r="B1595" s="26" t="s">
        <v>656</v>
      </c>
      <c r="C1595" s="27">
        <v>45859.0</v>
      </c>
      <c r="D1595" s="27">
        <v>45859.0</v>
      </c>
      <c r="E1595" s="26" t="s">
        <v>1121</v>
      </c>
      <c r="F1595" s="26" t="s">
        <v>1200</v>
      </c>
    </row>
    <row r="1596">
      <c r="A1596" s="26" t="s">
        <v>1886</v>
      </c>
      <c r="B1596" s="26" t="s">
        <v>656</v>
      </c>
      <c r="C1596" s="27">
        <v>45859.0</v>
      </c>
      <c r="D1596" s="27">
        <v>45859.0</v>
      </c>
      <c r="E1596" s="26" t="s">
        <v>1121</v>
      </c>
      <c r="F1596" s="26" t="s">
        <v>1200</v>
      </c>
    </row>
    <row r="1597">
      <c r="A1597" s="26" t="s">
        <v>1886</v>
      </c>
      <c r="B1597" s="26" t="s">
        <v>656</v>
      </c>
      <c r="C1597" s="27">
        <v>45859.0</v>
      </c>
      <c r="D1597" s="27">
        <v>45859.0</v>
      </c>
      <c r="E1597" s="26" t="s">
        <v>1121</v>
      </c>
      <c r="F1597" s="26" t="s">
        <v>1200</v>
      </c>
    </row>
    <row r="1598">
      <c r="A1598" s="26" t="s">
        <v>1886</v>
      </c>
      <c r="B1598" s="26" t="s">
        <v>656</v>
      </c>
      <c r="C1598" s="27">
        <v>45859.0</v>
      </c>
      <c r="D1598" s="27">
        <v>45859.0</v>
      </c>
      <c r="E1598" s="26" t="s">
        <v>1121</v>
      </c>
      <c r="F1598" s="26" t="s">
        <v>1200</v>
      </c>
    </row>
    <row r="1599">
      <c r="A1599" s="26" t="s">
        <v>1887</v>
      </c>
      <c r="B1599" s="26" t="s">
        <v>1335</v>
      </c>
      <c r="C1599" s="27">
        <v>45856.0</v>
      </c>
      <c r="D1599" s="27">
        <v>45856.0</v>
      </c>
      <c r="E1599" s="26" t="s">
        <v>1121</v>
      </c>
      <c r="F1599" s="26" t="s">
        <v>1200</v>
      </c>
    </row>
    <row r="1600">
      <c r="A1600" s="26" t="s">
        <v>1887</v>
      </c>
      <c r="B1600" s="26" t="s">
        <v>1335</v>
      </c>
      <c r="C1600" s="27">
        <v>45856.0</v>
      </c>
      <c r="D1600" s="27">
        <v>45856.0</v>
      </c>
      <c r="E1600" s="26" t="s">
        <v>1121</v>
      </c>
      <c r="F1600" s="26" t="s">
        <v>1200</v>
      </c>
    </row>
    <row r="1601">
      <c r="A1601" s="26" t="s">
        <v>1887</v>
      </c>
      <c r="B1601" s="26" t="s">
        <v>1335</v>
      </c>
      <c r="C1601" s="27">
        <v>45856.0</v>
      </c>
      <c r="D1601" s="27">
        <v>45856.0</v>
      </c>
      <c r="E1601" s="26" t="s">
        <v>1121</v>
      </c>
      <c r="F1601" s="26" t="s">
        <v>1200</v>
      </c>
    </row>
    <row r="1602">
      <c r="A1602" s="26" t="s">
        <v>1887</v>
      </c>
      <c r="B1602" s="26" t="s">
        <v>1335</v>
      </c>
      <c r="C1602" s="27">
        <v>45856.0</v>
      </c>
      <c r="D1602" s="27">
        <v>45856.0</v>
      </c>
      <c r="E1602" s="26" t="s">
        <v>1121</v>
      </c>
      <c r="F1602" s="26" t="s">
        <v>1200</v>
      </c>
    </row>
    <row r="1603">
      <c r="A1603" s="26" t="s">
        <v>1887</v>
      </c>
      <c r="B1603" s="26" t="s">
        <v>1335</v>
      </c>
      <c r="C1603" s="27">
        <v>45856.0</v>
      </c>
      <c r="D1603" s="27">
        <v>45856.0</v>
      </c>
      <c r="E1603" s="26" t="s">
        <v>1121</v>
      </c>
      <c r="F1603" s="26" t="s">
        <v>1200</v>
      </c>
    </row>
    <row r="1604">
      <c r="A1604" s="26" t="s">
        <v>1888</v>
      </c>
      <c r="B1604" s="26" t="s">
        <v>580</v>
      </c>
      <c r="C1604" s="27">
        <v>45856.0</v>
      </c>
      <c r="D1604" s="27">
        <v>45856.0</v>
      </c>
      <c r="E1604" s="26" t="s">
        <v>1121</v>
      </c>
      <c r="F1604" s="26" t="s">
        <v>1200</v>
      </c>
    </row>
    <row r="1605">
      <c r="A1605" s="26" t="s">
        <v>1889</v>
      </c>
      <c r="B1605" s="26" t="s">
        <v>1766</v>
      </c>
      <c r="C1605" s="27">
        <v>45856.0</v>
      </c>
      <c r="D1605" s="27">
        <v>45856.0</v>
      </c>
      <c r="E1605" s="26" t="s">
        <v>1121</v>
      </c>
      <c r="F1605" s="26" t="s">
        <v>1200</v>
      </c>
    </row>
    <row r="1606">
      <c r="A1606" s="26" t="s">
        <v>1889</v>
      </c>
      <c r="B1606" s="26" t="s">
        <v>1766</v>
      </c>
      <c r="C1606" s="27">
        <v>45856.0</v>
      </c>
      <c r="D1606" s="27">
        <v>45856.0</v>
      </c>
      <c r="E1606" s="26" t="s">
        <v>1121</v>
      </c>
      <c r="F1606" s="26" t="s">
        <v>1200</v>
      </c>
    </row>
    <row r="1607">
      <c r="A1607" s="26" t="s">
        <v>1890</v>
      </c>
      <c r="B1607" s="26" t="s">
        <v>428</v>
      </c>
      <c r="C1607" s="27">
        <v>45856.0</v>
      </c>
      <c r="D1607" s="27">
        <v>45856.0</v>
      </c>
      <c r="E1607" s="26" t="s">
        <v>1121</v>
      </c>
      <c r="F1607" s="26" t="s">
        <v>1200</v>
      </c>
    </row>
    <row r="1608">
      <c r="A1608" s="26" t="s">
        <v>1891</v>
      </c>
      <c r="B1608" s="26" t="s">
        <v>516</v>
      </c>
      <c r="C1608" s="27">
        <v>45855.0</v>
      </c>
      <c r="D1608" s="27">
        <v>45855.0</v>
      </c>
      <c r="E1608" s="26" t="s">
        <v>1121</v>
      </c>
      <c r="F1608" s="26" t="s">
        <v>1200</v>
      </c>
    </row>
    <row r="1609">
      <c r="A1609" s="26" t="s">
        <v>1891</v>
      </c>
      <c r="B1609" s="26" t="s">
        <v>516</v>
      </c>
      <c r="C1609" s="27">
        <v>45855.0</v>
      </c>
      <c r="D1609" s="27">
        <v>45855.0</v>
      </c>
      <c r="E1609" s="26" t="s">
        <v>1121</v>
      </c>
      <c r="F1609" s="26" t="s">
        <v>1200</v>
      </c>
    </row>
    <row r="1610">
      <c r="A1610" s="26" t="s">
        <v>1891</v>
      </c>
      <c r="B1610" s="26" t="s">
        <v>516</v>
      </c>
      <c r="C1610" s="27">
        <v>45855.0</v>
      </c>
      <c r="D1610" s="27">
        <v>45855.0</v>
      </c>
      <c r="E1610" s="26" t="s">
        <v>1121</v>
      </c>
      <c r="F1610" s="26" t="s">
        <v>1200</v>
      </c>
    </row>
    <row r="1611">
      <c r="A1611" s="26" t="s">
        <v>1892</v>
      </c>
      <c r="B1611" s="26" t="s">
        <v>542</v>
      </c>
      <c r="C1611" s="27">
        <v>45855.0</v>
      </c>
      <c r="D1611" s="27">
        <v>45855.0</v>
      </c>
      <c r="E1611" s="26" t="s">
        <v>1121</v>
      </c>
      <c r="F1611" s="26" t="s">
        <v>1200</v>
      </c>
    </row>
    <row r="1612">
      <c r="A1612" s="26" t="s">
        <v>1892</v>
      </c>
      <c r="B1612" s="26" t="s">
        <v>542</v>
      </c>
      <c r="C1612" s="27">
        <v>45855.0</v>
      </c>
      <c r="D1612" s="27">
        <v>45855.0</v>
      </c>
      <c r="E1612" s="26" t="s">
        <v>1121</v>
      </c>
      <c r="F1612" s="26" t="s">
        <v>1200</v>
      </c>
    </row>
    <row r="1613">
      <c r="A1613" s="26" t="s">
        <v>1892</v>
      </c>
      <c r="B1613" s="26" t="s">
        <v>542</v>
      </c>
      <c r="C1613" s="27">
        <v>45855.0</v>
      </c>
      <c r="D1613" s="27">
        <v>45855.0</v>
      </c>
      <c r="E1613" s="26" t="s">
        <v>1121</v>
      </c>
      <c r="F1613" s="26" t="s">
        <v>1200</v>
      </c>
    </row>
    <row r="1614">
      <c r="A1614" s="26" t="s">
        <v>1892</v>
      </c>
      <c r="B1614" s="26" t="s">
        <v>542</v>
      </c>
      <c r="C1614" s="27">
        <v>45855.0</v>
      </c>
      <c r="D1614" s="27">
        <v>45855.0</v>
      </c>
      <c r="E1614" s="26" t="s">
        <v>1121</v>
      </c>
      <c r="F1614" s="26" t="s">
        <v>1200</v>
      </c>
    </row>
    <row r="1615">
      <c r="A1615" s="26" t="s">
        <v>1892</v>
      </c>
      <c r="B1615" s="26" t="s">
        <v>542</v>
      </c>
      <c r="C1615" s="27">
        <v>45855.0</v>
      </c>
      <c r="D1615" s="27">
        <v>45855.0</v>
      </c>
      <c r="E1615" s="26" t="s">
        <v>1121</v>
      </c>
      <c r="F1615" s="26" t="s">
        <v>1200</v>
      </c>
    </row>
    <row r="1616">
      <c r="A1616" s="26" t="s">
        <v>1892</v>
      </c>
      <c r="B1616" s="26" t="s">
        <v>542</v>
      </c>
      <c r="C1616" s="27">
        <v>45855.0</v>
      </c>
      <c r="D1616" s="27">
        <v>45855.0</v>
      </c>
      <c r="E1616" s="26" t="s">
        <v>1121</v>
      </c>
      <c r="F1616" s="26" t="s">
        <v>1200</v>
      </c>
    </row>
    <row r="1617">
      <c r="A1617" s="26" t="s">
        <v>1893</v>
      </c>
      <c r="B1617" s="26" t="s">
        <v>444</v>
      </c>
      <c r="C1617" s="27">
        <v>45854.0</v>
      </c>
      <c r="D1617" s="27">
        <v>45854.0</v>
      </c>
      <c r="E1617" s="26" t="s">
        <v>1121</v>
      </c>
      <c r="F1617" s="26" t="s">
        <v>1200</v>
      </c>
    </row>
    <row r="1618">
      <c r="A1618" s="26" t="s">
        <v>1894</v>
      </c>
      <c r="B1618" s="26" t="s">
        <v>516</v>
      </c>
      <c r="C1618" s="27">
        <v>45854.0</v>
      </c>
      <c r="D1618" s="27">
        <v>45854.0</v>
      </c>
      <c r="E1618" s="26" t="s">
        <v>1121</v>
      </c>
      <c r="F1618" s="26" t="s">
        <v>1200</v>
      </c>
    </row>
    <row r="1619">
      <c r="A1619" s="26" t="s">
        <v>1894</v>
      </c>
      <c r="B1619" s="26" t="s">
        <v>516</v>
      </c>
      <c r="C1619" s="27">
        <v>45854.0</v>
      </c>
      <c r="D1619" s="27">
        <v>45854.0</v>
      </c>
      <c r="E1619" s="26" t="s">
        <v>1121</v>
      </c>
      <c r="F1619" s="26" t="s">
        <v>1200</v>
      </c>
    </row>
    <row r="1620">
      <c r="A1620" s="26" t="s">
        <v>1894</v>
      </c>
      <c r="B1620" s="26" t="s">
        <v>516</v>
      </c>
      <c r="C1620" s="27">
        <v>45854.0</v>
      </c>
      <c r="D1620" s="27">
        <v>45854.0</v>
      </c>
      <c r="E1620" s="26" t="s">
        <v>1121</v>
      </c>
      <c r="F1620" s="26" t="s">
        <v>1200</v>
      </c>
    </row>
    <row r="1621">
      <c r="A1621" s="26" t="s">
        <v>1895</v>
      </c>
      <c r="B1621" s="26" t="s">
        <v>512</v>
      </c>
      <c r="C1621" s="27">
        <v>45854.0</v>
      </c>
      <c r="D1621" s="27">
        <v>45854.0</v>
      </c>
      <c r="E1621" s="26" t="s">
        <v>1121</v>
      </c>
      <c r="F1621" s="26" t="s">
        <v>1200</v>
      </c>
    </row>
    <row r="1622">
      <c r="A1622" s="26" t="s">
        <v>1895</v>
      </c>
      <c r="B1622" s="26" t="s">
        <v>512</v>
      </c>
      <c r="C1622" s="27">
        <v>45854.0</v>
      </c>
      <c r="D1622" s="27">
        <v>45854.0</v>
      </c>
      <c r="E1622" s="26" t="s">
        <v>1121</v>
      </c>
      <c r="F1622" s="26" t="s">
        <v>1200</v>
      </c>
    </row>
    <row r="1623">
      <c r="A1623" s="26" t="s">
        <v>1896</v>
      </c>
      <c r="B1623" s="26" t="s">
        <v>668</v>
      </c>
      <c r="C1623" s="27">
        <v>45853.0</v>
      </c>
      <c r="D1623" s="27">
        <v>45853.0</v>
      </c>
      <c r="E1623" s="26" t="s">
        <v>1121</v>
      </c>
      <c r="F1623" s="26" t="s">
        <v>1200</v>
      </c>
    </row>
    <row r="1624">
      <c r="A1624" s="26" t="s">
        <v>1896</v>
      </c>
      <c r="B1624" s="26" t="s">
        <v>668</v>
      </c>
      <c r="C1624" s="27">
        <v>45853.0</v>
      </c>
      <c r="D1624" s="27">
        <v>45853.0</v>
      </c>
      <c r="E1624" s="26" t="s">
        <v>1121</v>
      </c>
      <c r="F1624" s="26" t="s">
        <v>1200</v>
      </c>
    </row>
    <row r="1625">
      <c r="A1625" s="26" t="s">
        <v>1897</v>
      </c>
      <c r="B1625" s="26" t="s">
        <v>505</v>
      </c>
      <c r="C1625" s="27">
        <v>45853.0</v>
      </c>
      <c r="D1625" s="27">
        <v>45853.0</v>
      </c>
      <c r="E1625" s="26" t="s">
        <v>1121</v>
      </c>
      <c r="F1625" s="26" t="s">
        <v>1200</v>
      </c>
    </row>
    <row r="1626">
      <c r="A1626" s="26" t="s">
        <v>1898</v>
      </c>
      <c r="B1626" s="26" t="s">
        <v>432</v>
      </c>
      <c r="C1626" s="27">
        <v>45853.0</v>
      </c>
      <c r="D1626" s="27">
        <v>45853.0</v>
      </c>
      <c r="E1626" s="26" t="s">
        <v>1121</v>
      </c>
      <c r="F1626" s="26" t="s">
        <v>1200</v>
      </c>
    </row>
    <row r="1627">
      <c r="A1627" s="26" t="s">
        <v>1899</v>
      </c>
      <c r="B1627" s="26" t="s">
        <v>546</v>
      </c>
      <c r="C1627" s="27">
        <v>45852.0</v>
      </c>
      <c r="D1627" s="27">
        <v>45852.0</v>
      </c>
      <c r="E1627" s="26" t="s">
        <v>1121</v>
      </c>
      <c r="F1627" s="26" t="s">
        <v>1200</v>
      </c>
    </row>
    <row r="1628">
      <c r="A1628" s="26" t="s">
        <v>1899</v>
      </c>
      <c r="B1628" s="26" t="s">
        <v>546</v>
      </c>
      <c r="C1628" s="27">
        <v>45852.0</v>
      </c>
      <c r="D1628" s="27">
        <v>45852.0</v>
      </c>
      <c r="E1628" s="26" t="s">
        <v>1121</v>
      </c>
      <c r="F1628" s="26" t="s">
        <v>1200</v>
      </c>
    </row>
    <row r="1629">
      <c r="A1629" s="26" t="s">
        <v>1900</v>
      </c>
      <c r="B1629" s="26" t="s">
        <v>295</v>
      </c>
      <c r="C1629" s="27">
        <v>45852.0</v>
      </c>
      <c r="D1629" s="27">
        <v>45852.0</v>
      </c>
      <c r="E1629" s="26" t="s">
        <v>1121</v>
      </c>
      <c r="F1629" s="26" t="s">
        <v>1200</v>
      </c>
    </row>
    <row r="1630">
      <c r="A1630" s="26" t="s">
        <v>1901</v>
      </c>
      <c r="B1630" s="26" t="s">
        <v>512</v>
      </c>
      <c r="C1630" s="27">
        <v>45852.0</v>
      </c>
      <c r="D1630" s="27">
        <v>45852.0</v>
      </c>
      <c r="E1630" s="26" t="s">
        <v>1121</v>
      </c>
      <c r="F1630" s="26" t="s">
        <v>1200</v>
      </c>
    </row>
    <row r="1631">
      <c r="A1631" s="26" t="s">
        <v>1901</v>
      </c>
      <c r="B1631" s="26" t="s">
        <v>512</v>
      </c>
      <c r="C1631" s="27">
        <v>45852.0</v>
      </c>
      <c r="D1631" s="27">
        <v>45852.0</v>
      </c>
      <c r="E1631" s="26" t="s">
        <v>1121</v>
      </c>
      <c r="F1631" s="26" t="s">
        <v>1200</v>
      </c>
    </row>
    <row r="1632">
      <c r="A1632" s="26" t="s">
        <v>1901</v>
      </c>
      <c r="B1632" s="26" t="s">
        <v>512</v>
      </c>
      <c r="C1632" s="27">
        <v>45852.0</v>
      </c>
      <c r="D1632" s="27">
        <v>45852.0</v>
      </c>
      <c r="E1632" s="26" t="s">
        <v>1121</v>
      </c>
      <c r="F1632" s="26" t="s">
        <v>1200</v>
      </c>
    </row>
    <row r="1633">
      <c r="A1633" s="26" t="s">
        <v>1901</v>
      </c>
      <c r="B1633" s="26" t="s">
        <v>512</v>
      </c>
      <c r="C1633" s="27">
        <v>45852.0</v>
      </c>
      <c r="D1633" s="27">
        <v>45852.0</v>
      </c>
      <c r="E1633" s="26" t="s">
        <v>1121</v>
      </c>
      <c r="F1633" s="26" t="s">
        <v>1200</v>
      </c>
    </row>
    <row r="1634">
      <c r="A1634" s="26" t="s">
        <v>1901</v>
      </c>
      <c r="B1634" s="26" t="s">
        <v>512</v>
      </c>
      <c r="C1634" s="27">
        <v>45852.0</v>
      </c>
      <c r="D1634" s="27">
        <v>45852.0</v>
      </c>
      <c r="E1634" s="26" t="s">
        <v>1121</v>
      </c>
      <c r="F1634" s="26" t="s">
        <v>1200</v>
      </c>
    </row>
    <row r="1635">
      <c r="A1635" s="26" t="s">
        <v>1901</v>
      </c>
      <c r="B1635" s="26" t="s">
        <v>512</v>
      </c>
      <c r="C1635" s="27">
        <v>45852.0</v>
      </c>
      <c r="D1635" s="27">
        <v>45852.0</v>
      </c>
      <c r="E1635" s="26" t="s">
        <v>1121</v>
      </c>
      <c r="F1635" s="26" t="s">
        <v>1200</v>
      </c>
    </row>
    <row r="1636">
      <c r="A1636" s="26" t="s">
        <v>1901</v>
      </c>
      <c r="B1636" s="26" t="s">
        <v>512</v>
      </c>
      <c r="C1636" s="27">
        <v>45852.0</v>
      </c>
      <c r="D1636" s="27">
        <v>45852.0</v>
      </c>
      <c r="E1636" s="26" t="s">
        <v>1121</v>
      </c>
      <c r="F1636" s="26" t="s">
        <v>1200</v>
      </c>
    </row>
    <row r="1637">
      <c r="A1637" s="26" t="s">
        <v>1902</v>
      </c>
      <c r="B1637" s="26" t="s">
        <v>574</v>
      </c>
      <c r="C1637" s="27">
        <v>45852.0</v>
      </c>
      <c r="D1637" s="27">
        <v>45852.0</v>
      </c>
      <c r="E1637" s="26" t="s">
        <v>1121</v>
      </c>
      <c r="F1637" s="26" t="s">
        <v>1200</v>
      </c>
    </row>
    <row r="1638">
      <c r="A1638" s="26" t="s">
        <v>1903</v>
      </c>
      <c r="B1638" s="26" t="s">
        <v>546</v>
      </c>
      <c r="C1638" s="27">
        <v>45850.0</v>
      </c>
      <c r="D1638" s="27">
        <v>45850.0</v>
      </c>
      <c r="E1638" s="26" t="s">
        <v>1121</v>
      </c>
      <c r="F1638" s="26" t="s">
        <v>1200</v>
      </c>
    </row>
    <row r="1639">
      <c r="A1639" s="26" t="s">
        <v>1904</v>
      </c>
      <c r="B1639" s="26" t="s">
        <v>639</v>
      </c>
      <c r="C1639" s="27">
        <v>45850.0</v>
      </c>
      <c r="D1639" s="27">
        <v>45850.0</v>
      </c>
      <c r="E1639" s="26" t="s">
        <v>1121</v>
      </c>
      <c r="F1639" s="26" t="s">
        <v>1200</v>
      </c>
    </row>
    <row r="1640">
      <c r="A1640" s="26" t="s">
        <v>1905</v>
      </c>
      <c r="B1640" s="26" t="s">
        <v>467</v>
      </c>
      <c r="C1640" s="27">
        <v>45850.0</v>
      </c>
      <c r="D1640" s="27">
        <v>45850.0</v>
      </c>
      <c r="E1640" s="26" t="s">
        <v>1121</v>
      </c>
      <c r="F1640" s="26" t="s">
        <v>1200</v>
      </c>
    </row>
    <row r="1641">
      <c r="A1641" s="26" t="s">
        <v>1906</v>
      </c>
      <c r="B1641" s="26" t="s">
        <v>472</v>
      </c>
      <c r="C1641" s="27">
        <v>45850.0</v>
      </c>
      <c r="D1641" s="27">
        <v>45850.0</v>
      </c>
      <c r="E1641" s="26" t="s">
        <v>1121</v>
      </c>
      <c r="F1641" s="26" t="s">
        <v>1200</v>
      </c>
    </row>
    <row r="1642">
      <c r="A1642" s="26" t="s">
        <v>1906</v>
      </c>
      <c r="B1642" s="26" t="s">
        <v>472</v>
      </c>
      <c r="C1642" s="27">
        <v>45850.0</v>
      </c>
      <c r="D1642" s="27">
        <v>45850.0</v>
      </c>
      <c r="E1642" s="26" t="s">
        <v>1121</v>
      </c>
      <c r="F1642" s="26" t="s">
        <v>1200</v>
      </c>
    </row>
    <row r="1643">
      <c r="A1643" s="26" t="s">
        <v>1907</v>
      </c>
      <c r="B1643" s="26" t="s">
        <v>424</v>
      </c>
      <c r="C1643" s="27">
        <v>45850.0</v>
      </c>
      <c r="D1643" s="27">
        <v>45850.0</v>
      </c>
      <c r="E1643" s="26" t="s">
        <v>1121</v>
      </c>
      <c r="F1643" s="26" t="s">
        <v>1200</v>
      </c>
    </row>
    <row r="1644">
      <c r="A1644" s="26" t="s">
        <v>1907</v>
      </c>
      <c r="B1644" s="26" t="s">
        <v>424</v>
      </c>
      <c r="C1644" s="27">
        <v>45850.0</v>
      </c>
      <c r="D1644" s="27">
        <v>45850.0</v>
      </c>
      <c r="E1644" s="26" t="s">
        <v>1121</v>
      </c>
      <c r="F1644" s="26" t="s">
        <v>1200</v>
      </c>
    </row>
    <row r="1645">
      <c r="A1645" s="26" t="s">
        <v>1907</v>
      </c>
      <c r="B1645" s="26" t="s">
        <v>424</v>
      </c>
      <c r="C1645" s="27">
        <v>45850.0</v>
      </c>
      <c r="D1645" s="27">
        <v>45850.0</v>
      </c>
      <c r="E1645" s="26" t="s">
        <v>1121</v>
      </c>
      <c r="F1645" s="26" t="s">
        <v>1200</v>
      </c>
    </row>
    <row r="1646">
      <c r="A1646" s="26" t="s">
        <v>1908</v>
      </c>
      <c r="B1646" s="26" t="s">
        <v>483</v>
      </c>
      <c r="C1646" s="27">
        <v>45850.0</v>
      </c>
      <c r="D1646" s="27">
        <v>45850.0</v>
      </c>
      <c r="E1646" s="26" t="s">
        <v>1121</v>
      </c>
      <c r="F1646" s="26" t="s">
        <v>1200</v>
      </c>
    </row>
    <row r="1647">
      <c r="A1647" s="26" t="s">
        <v>1909</v>
      </c>
      <c r="B1647" s="26" t="s">
        <v>379</v>
      </c>
      <c r="C1647" s="27">
        <v>45849.0</v>
      </c>
      <c r="D1647" s="27">
        <v>45849.0</v>
      </c>
      <c r="E1647" s="26" t="s">
        <v>1121</v>
      </c>
      <c r="F1647" s="26" t="s">
        <v>1200</v>
      </c>
    </row>
    <row r="1648">
      <c r="A1648" s="26" t="s">
        <v>1909</v>
      </c>
      <c r="B1648" s="26" t="s">
        <v>379</v>
      </c>
      <c r="C1648" s="27">
        <v>45849.0</v>
      </c>
      <c r="D1648" s="27">
        <v>45849.0</v>
      </c>
      <c r="E1648" s="26" t="s">
        <v>1121</v>
      </c>
      <c r="F1648" s="26" t="s">
        <v>1200</v>
      </c>
    </row>
    <row r="1649">
      <c r="A1649" s="26" t="s">
        <v>1909</v>
      </c>
      <c r="B1649" s="26" t="s">
        <v>379</v>
      </c>
      <c r="C1649" s="27">
        <v>45849.0</v>
      </c>
      <c r="D1649" s="27">
        <v>45849.0</v>
      </c>
      <c r="E1649" s="26" t="s">
        <v>1121</v>
      </c>
      <c r="F1649" s="26" t="s">
        <v>1200</v>
      </c>
    </row>
    <row r="1650">
      <c r="A1650" s="26" t="s">
        <v>1910</v>
      </c>
      <c r="B1650" s="26" t="s">
        <v>497</v>
      </c>
      <c r="C1650" s="27">
        <v>45849.0</v>
      </c>
      <c r="D1650" s="27">
        <v>45849.0</v>
      </c>
      <c r="E1650" s="26" t="s">
        <v>1121</v>
      </c>
      <c r="F1650" s="26" t="s">
        <v>1200</v>
      </c>
    </row>
    <row r="1651">
      <c r="A1651" s="26" t="s">
        <v>1911</v>
      </c>
      <c r="B1651" s="26" t="s">
        <v>604</v>
      </c>
      <c r="C1651" s="27">
        <v>45849.0</v>
      </c>
      <c r="D1651" s="27">
        <v>45849.0</v>
      </c>
      <c r="E1651" s="26" t="s">
        <v>1121</v>
      </c>
      <c r="F1651" s="26" t="s">
        <v>1200</v>
      </c>
    </row>
    <row r="1652">
      <c r="A1652" s="26" t="s">
        <v>1911</v>
      </c>
      <c r="B1652" s="26" t="s">
        <v>604</v>
      </c>
      <c r="C1652" s="27">
        <v>45849.0</v>
      </c>
      <c r="D1652" s="27">
        <v>45849.0</v>
      </c>
      <c r="E1652" s="26" t="s">
        <v>1121</v>
      </c>
      <c r="F1652" s="26" t="s">
        <v>1200</v>
      </c>
    </row>
    <row r="1653">
      <c r="A1653" s="26" t="s">
        <v>1911</v>
      </c>
      <c r="B1653" s="26" t="s">
        <v>604</v>
      </c>
      <c r="C1653" s="27">
        <v>45849.0</v>
      </c>
      <c r="D1653" s="27">
        <v>45849.0</v>
      </c>
      <c r="E1653" s="26" t="s">
        <v>1121</v>
      </c>
      <c r="F1653" s="26" t="s">
        <v>1200</v>
      </c>
    </row>
    <row r="1654">
      <c r="A1654" s="26" t="s">
        <v>1911</v>
      </c>
      <c r="B1654" s="26" t="s">
        <v>604</v>
      </c>
      <c r="C1654" s="27">
        <v>45849.0</v>
      </c>
      <c r="D1654" s="27">
        <v>45849.0</v>
      </c>
      <c r="E1654" s="26" t="s">
        <v>1121</v>
      </c>
      <c r="F1654" s="26" t="s">
        <v>1200</v>
      </c>
    </row>
    <row r="1655">
      <c r="A1655" s="26" t="s">
        <v>1912</v>
      </c>
      <c r="B1655" s="26" t="s">
        <v>416</v>
      </c>
      <c r="C1655" s="27">
        <v>45847.0</v>
      </c>
      <c r="D1655" s="27">
        <v>45847.0</v>
      </c>
      <c r="E1655" s="26" t="s">
        <v>1121</v>
      </c>
      <c r="F1655" s="26" t="s">
        <v>1200</v>
      </c>
    </row>
    <row r="1656">
      <c r="A1656" s="26" t="s">
        <v>1912</v>
      </c>
      <c r="B1656" s="26" t="s">
        <v>416</v>
      </c>
      <c r="C1656" s="27">
        <v>45847.0</v>
      </c>
      <c r="D1656" s="27">
        <v>45847.0</v>
      </c>
      <c r="E1656" s="26" t="s">
        <v>1121</v>
      </c>
      <c r="F1656" s="26" t="s">
        <v>1200</v>
      </c>
    </row>
    <row r="1657">
      <c r="A1657" s="26" t="s">
        <v>1912</v>
      </c>
      <c r="B1657" s="26" t="s">
        <v>416</v>
      </c>
      <c r="C1657" s="27">
        <v>45847.0</v>
      </c>
      <c r="D1657" s="27">
        <v>45847.0</v>
      </c>
      <c r="E1657" s="26" t="s">
        <v>1121</v>
      </c>
      <c r="F1657" s="26" t="s">
        <v>1200</v>
      </c>
    </row>
    <row r="1658">
      <c r="A1658" s="26" t="s">
        <v>1913</v>
      </c>
      <c r="B1658" s="26" t="s">
        <v>444</v>
      </c>
      <c r="C1658" s="27">
        <v>45847.0</v>
      </c>
      <c r="D1658" s="27">
        <v>45847.0</v>
      </c>
      <c r="E1658" s="26" t="s">
        <v>1121</v>
      </c>
      <c r="F1658" s="26" t="s">
        <v>1200</v>
      </c>
    </row>
    <row r="1659">
      <c r="A1659" s="26" t="s">
        <v>1913</v>
      </c>
      <c r="B1659" s="26" t="s">
        <v>444</v>
      </c>
      <c r="C1659" s="27">
        <v>45847.0</v>
      </c>
      <c r="D1659" s="27">
        <v>45847.0</v>
      </c>
      <c r="E1659" s="26" t="s">
        <v>1121</v>
      </c>
      <c r="F1659" s="26" t="s">
        <v>1200</v>
      </c>
    </row>
    <row r="1660">
      <c r="A1660" s="26" t="s">
        <v>1913</v>
      </c>
      <c r="B1660" s="26" t="s">
        <v>444</v>
      </c>
      <c r="C1660" s="27">
        <v>45847.0</v>
      </c>
      <c r="D1660" s="27">
        <v>45847.0</v>
      </c>
      <c r="E1660" s="26" t="s">
        <v>1121</v>
      </c>
      <c r="F1660" s="26" t="s">
        <v>1200</v>
      </c>
    </row>
    <row r="1661">
      <c r="A1661" s="26" t="s">
        <v>1913</v>
      </c>
      <c r="B1661" s="26" t="s">
        <v>444</v>
      </c>
      <c r="C1661" s="27">
        <v>45847.0</v>
      </c>
      <c r="D1661" s="27">
        <v>45847.0</v>
      </c>
      <c r="E1661" s="26" t="s">
        <v>1121</v>
      </c>
      <c r="F1661" s="26" t="s">
        <v>1200</v>
      </c>
    </row>
    <row r="1662">
      <c r="A1662" s="26" t="s">
        <v>1914</v>
      </c>
      <c r="B1662" s="26" t="s">
        <v>736</v>
      </c>
      <c r="C1662" s="27">
        <v>45846.0</v>
      </c>
      <c r="D1662" s="27">
        <v>45846.0</v>
      </c>
      <c r="E1662" s="26" t="s">
        <v>1121</v>
      </c>
      <c r="F1662" s="26" t="s">
        <v>1200</v>
      </c>
    </row>
    <row r="1663">
      <c r="A1663" s="26" t="s">
        <v>1914</v>
      </c>
      <c r="B1663" s="26" t="s">
        <v>736</v>
      </c>
      <c r="C1663" s="27">
        <v>45846.0</v>
      </c>
      <c r="D1663" s="27">
        <v>45846.0</v>
      </c>
      <c r="E1663" s="26" t="s">
        <v>1121</v>
      </c>
      <c r="F1663" s="26" t="s">
        <v>1200</v>
      </c>
    </row>
    <row r="1664">
      <c r="A1664" s="26" t="s">
        <v>1914</v>
      </c>
      <c r="B1664" s="26" t="s">
        <v>736</v>
      </c>
      <c r="C1664" s="27">
        <v>45846.0</v>
      </c>
      <c r="D1664" s="27">
        <v>45846.0</v>
      </c>
      <c r="E1664" s="26" t="s">
        <v>1121</v>
      </c>
      <c r="F1664" s="26" t="s">
        <v>1200</v>
      </c>
    </row>
    <row r="1665">
      <c r="A1665" s="26" t="s">
        <v>1915</v>
      </c>
      <c r="B1665" s="26" t="s">
        <v>1916</v>
      </c>
      <c r="C1665" s="27">
        <v>45845.0</v>
      </c>
      <c r="D1665" s="27">
        <v>45845.0</v>
      </c>
      <c r="E1665" s="26" t="s">
        <v>1121</v>
      </c>
      <c r="F1665" s="26" t="s">
        <v>1200</v>
      </c>
    </row>
    <row r="1666">
      <c r="A1666" s="26" t="s">
        <v>1917</v>
      </c>
      <c r="B1666" s="26" t="s">
        <v>461</v>
      </c>
      <c r="C1666" s="27">
        <v>45845.0</v>
      </c>
      <c r="D1666" s="27">
        <v>45845.0</v>
      </c>
      <c r="E1666" s="26" t="s">
        <v>1121</v>
      </c>
      <c r="F1666" s="26" t="s">
        <v>1200</v>
      </c>
    </row>
    <row r="1667">
      <c r="A1667" s="26" t="s">
        <v>1918</v>
      </c>
      <c r="B1667" s="26" t="s">
        <v>776</v>
      </c>
      <c r="C1667" s="27">
        <v>45845.0</v>
      </c>
      <c r="D1667" s="27">
        <v>45845.0</v>
      </c>
      <c r="E1667" s="26" t="s">
        <v>1121</v>
      </c>
      <c r="F1667" s="26" t="s">
        <v>1200</v>
      </c>
    </row>
    <row r="1668">
      <c r="A1668" s="26" t="s">
        <v>1918</v>
      </c>
      <c r="B1668" s="26" t="s">
        <v>776</v>
      </c>
      <c r="C1668" s="27">
        <v>45845.0</v>
      </c>
      <c r="D1668" s="27">
        <v>45845.0</v>
      </c>
      <c r="E1668" s="26" t="s">
        <v>1121</v>
      </c>
      <c r="F1668" s="26" t="s">
        <v>1200</v>
      </c>
    </row>
    <row r="1669">
      <c r="A1669" s="26" t="s">
        <v>1918</v>
      </c>
      <c r="B1669" s="26" t="s">
        <v>776</v>
      </c>
      <c r="C1669" s="27">
        <v>45845.0</v>
      </c>
      <c r="D1669" s="27">
        <v>45845.0</v>
      </c>
      <c r="E1669" s="26" t="s">
        <v>1121</v>
      </c>
      <c r="F1669" s="26" t="s">
        <v>1200</v>
      </c>
    </row>
    <row r="1670">
      <c r="A1670" s="26" t="s">
        <v>1918</v>
      </c>
      <c r="B1670" s="26" t="s">
        <v>776</v>
      </c>
      <c r="C1670" s="27">
        <v>45845.0</v>
      </c>
      <c r="D1670" s="27">
        <v>45845.0</v>
      </c>
      <c r="E1670" s="26" t="s">
        <v>1121</v>
      </c>
      <c r="F1670" s="26" t="s">
        <v>1200</v>
      </c>
    </row>
    <row r="1671">
      <c r="A1671" s="26" t="s">
        <v>1918</v>
      </c>
      <c r="B1671" s="26" t="s">
        <v>776</v>
      </c>
      <c r="C1671" s="27">
        <v>45845.0</v>
      </c>
      <c r="D1671" s="27">
        <v>45845.0</v>
      </c>
      <c r="E1671" s="26" t="s">
        <v>1121</v>
      </c>
      <c r="F1671" s="26" t="s">
        <v>1200</v>
      </c>
    </row>
    <row r="1672">
      <c r="A1672" s="26" t="s">
        <v>1919</v>
      </c>
      <c r="B1672" s="26" t="s">
        <v>357</v>
      </c>
      <c r="C1672" s="27">
        <v>45845.0</v>
      </c>
      <c r="D1672" s="27">
        <v>45845.0</v>
      </c>
      <c r="E1672" s="26" t="s">
        <v>1121</v>
      </c>
      <c r="F1672" s="26" t="s">
        <v>1200</v>
      </c>
    </row>
    <row r="1673">
      <c r="A1673" s="26" t="s">
        <v>1919</v>
      </c>
      <c r="B1673" s="26" t="s">
        <v>357</v>
      </c>
      <c r="C1673" s="27">
        <v>45845.0</v>
      </c>
      <c r="D1673" s="27">
        <v>45845.0</v>
      </c>
      <c r="E1673" s="26" t="s">
        <v>1121</v>
      </c>
      <c r="F1673" s="26" t="s">
        <v>1200</v>
      </c>
    </row>
    <row r="1674">
      <c r="A1674" s="26" t="s">
        <v>1920</v>
      </c>
      <c r="B1674" s="26" t="s">
        <v>546</v>
      </c>
      <c r="C1674" s="27">
        <v>45843.0</v>
      </c>
      <c r="D1674" s="27">
        <v>45843.0</v>
      </c>
      <c r="E1674" s="26" t="s">
        <v>1121</v>
      </c>
      <c r="F1674" s="26" t="s">
        <v>1200</v>
      </c>
    </row>
    <row r="1675">
      <c r="A1675" s="26" t="s">
        <v>1920</v>
      </c>
      <c r="B1675" s="26" t="s">
        <v>546</v>
      </c>
      <c r="C1675" s="27">
        <v>45843.0</v>
      </c>
      <c r="D1675" s="27">
        <v>45843.0</v>
      </c>
      <c r="E1675" s="26" t="s">
        <v>1121</v>
      </c>
      <c r="F1675" s="26" t="s">
        <v>1200</v>
      </c>
    </row>
    <row r="1676">
      <c r="A1676" s="26" t="s">
        <v>1920</v>
      </c>
      <c r="B1676" s="26" t="s">
        <v>546</v>
      </c>
      <c r="C1676" s="27">
        <v>45843.0</v>
      </c>
      <c r="D1676" s="27">
        <v>45843.0</v>
      </c>
      <c r="E1676" s="26" t="s">
        <v>1121</v>
      </c>
      <c r="F1676" s="26" t="s">
        <v>1200</v>
      </c>
    </row>
    <row r="1677">
      <c r="A1677" s="26" t="s">
        <v>1921</v>
      </c>
      <c r="B1677" s="26" t="s">
        <v>461</v>
      </c>
      <c r="C1677" s="27">
        <v>45843.0</v>
      </c>
      <c r="D1677" s="27">
        <v>45843.0</v>
      </c>
      <c r="E1677" s="26" t="s">
        <v>1121</v>
      </c>
      <c r="F1677" s="26" t="s">
        <v>1200</v>
      </c>
    </row>
    <row r="1678">
      <c r="A1678" s="26" t="s">
        <v>1922</v>
      </c>
      <c r="B1678" s="26" t="s">
        <v>435</v>
      </c>
      <c r="C1678" s="27">
        <v>45843.0</v>
      </c>
      <c r="D1678" s="27">
        <v>45843.0</v>
      </c>
      <c r="E1678" s="26" t="s">
        <v>1121</v>
      </c>
      <c r="F1678" s="26" t="s">
        <v>1200</v>
      </c>
    </row>
    <row r="1679">
      <c r="A1679" s="26" t="s">
        <v>1923</v>
      </c>
      <c r="B1679" s="26" t="s">
        <v>516</v>
      </c>
      <c r="C1679" s="27">
        <v>45842.0</v>
      </c>
      <c r="D1679" s="27">
        <v>45842.0</v>
      </c>
      <c r="E1679" s="26" t="s">
        <v>1121</v>
      </c>
      <c r="F1679" s="26" t="s">
        <v>1200</v>
      </c>
    </row>
    <row r="1680">
      <c r="A1680" s="26" t="s">
        <v>1923</v>
      </c>
      <c r="B1680" s="26" t="s">
        <v>516</v>
      </c>
      <c r="C1680" s="27">
        <v>45842.0</v>
      </c>
      <c r="D1680" s="27">
        <v>45842.0</v>
      </c>
      <c r="E1680" s="26" t="s">
        <v>1121</v>
      </c>
      <c r="F1680" s="26" t="s">
        <v>1200</v>
      </c>
    </row>
    <row r="1681">
      <c r="A1681" s="26" t="s">
        <v>1923</v>
      </c>
      <c r="B1681" s="26" t="s">
        <v>516</v>
      </c>
      <c r="C1681" s="27">
        <v>45842.0</v>
      </c>
      <c r="D1681" s="27">
        <v>45842.0</v>
      </c>
      <c r="E1681" s="26" t="s">
        <v>1121</v>
      </c>
      <c r="F1681" s="26" t="s">
        <v>1200</v>
      </c>
    </row>
    <row r="1682">
      <c r="A1682" s="26" t="s">
        <v>1924</v>
      </c>
      <c r="B1682" s="26" t="s">
        <v>435</v>
      </c>
      <c r="C1682" s="27">
        <v>45842.0</v>
      </c>
      <c r="D1682" s="27">
        <v>45842.0</v>
      </c>
      <c r="E1682" s="26" t="s">
        <v>1121</v>
      </c>
      <c r="F1682" s="26" t="s">
        <v>1200</v>
      </c>
    </row>
    <row r="1683">
      <c r="A1683" s="26" t="s">
        <v>1925</v>
      </c>
      <c r="B1683" s="26" t="s">
        <v>739</v>
      </c>
      <c r="C1683" s="27">
        <v>45842.0</v>
      </c>
      <c r="D1683" s="27">
        <v>45842.0</v>
      </c>
      <c r="E1683" s="26" t="s">
        <v>1121</v>
      </c>
      <c r="F1683" s="26" t="s">
        <v>1200</v>
      </c>
    </row>
    <row r="1684">
      <c r="A1684" s="26" t="s">
        <v>1925</v>
      </c>
      <c r="B1684" s="26" t="s">
        <v>739</v>
      </c>
      <c r="C1684" s="27">
        <v>45842.0</v>
      </c>
      <c r="D1684" s="27">
        <v>45842.0</v>
      </c>
      <c r="E1684" s="26" t="s">
        <v>1121</v>
      </c>
      <c r="F1684" s="26" t="s">
        <v>1200</v>
      </c>
    </row>
    <row r="1685">
      <c r="A1685" s="26" t="s">
        <v>1925</v>
      </c>
      <c r="B1685" s="26" t="s">
        <v>739</v>
      </c>
      <c r="C1685" s="27">
        <v>45842.0</v>
      </c>
      <c r="D1685" s="27">
        <v>45842.0</v>
      </c>
      <c r="E1685" s="26" t="s">
        <v>1121</v>
      </c>
      <c r="F1685" s="26" t="s">
        <v>1200</v>
      </c>
    </row>
    <row r="1686">
      <c r="A1686" s="26" t="s">
        <v>1925</v>
      </c>
      <c r="B1686" s="26" t="s">
        <v>739</v>
      </c>
      <c r="C1686" s="27">
        <v>45842.0</v>
      </c>
      <c r="D1686" s="27">
        <v>45842.0</v>
      </c>
      <c r="E1686" s="26" t="s">
        <v>1121</v>
      </c>
      <c r="F1686" s="26" t="s">
        <v>1200</v>
      </c>
    </row>
    <row r="1687">
      <c r="A1687" s="26" t="s">
        <v>1926</v>
      </c>
      <c r="B1687" s="26" t="s">
        <v>745</v>
      </c>
      <c r="C1687" s="27">
        <v>45841.0</v>
      </c>
      <c r="D1687" s="27">
        <v>45841.0</v>
      </c>
      <c r="E1687" s="26" t="s">
        <v>1121</v>
      </c>
      <c r="F1687" s="26" t="s">
        <v>1200</v>
      </c>
    </row>
    <row r="1688">
      <c r="A1688" s="26" t="s">
        <v>1926</v>
      </c>
      <c r="B1688" s="26" t="s">
        <v>745</v>
      </c>
      <c r="C1688" s="27">
        <v>45841.0</v>
      </c>
      <c r="D1688" s="27">
        <v>45841.0</v>
      </c>
      <c r="E1688" s="26" t="s">
        <v>1121</v>
      </c>
      <c r="F1688" s="26" t="s">
        <v>1200</v>
      </c>
    </row>
    <row r="1689">
      <c r="A1689" s="26" t="s">
        <v>1926</v>
      </c>
      <c r="B1689" s="26" t="s">
        <v>745</v>
      </c>
      <c r="C1689" s="27">
        <v>45841.0</v>
      </c>
      <c r="D1689" s="27">
        <v>45841.0</v>
      </c>
      <c r="E1689" s="26" t="s">
        <v>1121</v>
      </c>
      <c r="F1689" s="26" t="s">
        <v>1200</v>
      </c>
    </row>
    <row r="1690">
      <c r="A1690" s="26" t="s">
        <v>1926</v>
      </c>
      <c r="B1690" s="26" t="s">
        <v>745</v>
      </c>
      <c r="C1690" s="27">
        <v>45841.0</v>
      </c>
      <c r="D1690" s="27">
        <v>45841.0</v>
      </c>
      <c r="E1690" s="26" t="s">
        <v>1121</v>
      </c>
      <c r="F1690" s="26" t="s">
        <v>1200</v>
      </c>
    </row>
    <row r="1691">
      <c r="A1691" s="26" t="s">
        <v>1926</v>
      </c>
      <c r="B1691" s="26" t="s">
        <v>745</v>
      </c>
      <c r="C1691" s="27">
        <v>45841.0</v>
      </c>
      <c r="D1691" s="27">
        <v>45841.0</v>
      </c>
      <c r="E1691" s="26" t="s">
        <v>1121</v>
      </c>
      <c r="F1691" s="26" t="s">
        <v>1200</v>
      </c>
    </row>
    <row r="1692">
      <c r="A1692" s="26" t="s">
        <v>1926</v>
      </c>
      <c r="B1692" s="26" t="s">
        <v>745</v>
      </c>
      <c r="C1692" s="27">
        <v>45841.0</v>
      </c>
      <c r="D1692" s="27">
        <v>45841.0</v>
      </c>
      <c r="E1692" s="26" t="s">
        <v>1121</v>
      </c>
      <c r="F1692" s="26" t="s">
        <v>1200</v>
      </c>
    </row>
    <row r="1693">
      <c r="A1693" s="26" t="s">
        <v>1926</v>
      </c>
      <c r="B1693" s="26" t="s">
        <v>745</v>
      </c>
      <c r="C1693" s="27">
        <v>45841.0</v>
      </c>
      <c r="D1693" s="27">
        <v>45841.0</v>
      </c>
      <c r="E1693" s="26" t="s">
        <v>1121</v>
      </c>
      <c r="F1693" s="26" t="s">
        <v>1200</v>
      </c>
    </row>
    <row r="1694">
      <c r="A1694" s="26" t="s">
        <v>1926</v>
      </c>
      <c r="B1694" s="26" t="s">
        <v>745</v>
      </c>
      <c r="C1694" s="27">
        <v>45841.0</v>
      </c>
      <c r="D1694" s="27">
        <v>45841.0</v>
      </c>
      <c r="E1694" s="26" t="s">
        <v>1121</v>
      </c>
      <c r="F1694" s="26" t="s">
        <v>1200</v>
      </c>
    </row>
    <row r="1695">
      <c r="A1695" s="26" t="s">
        <v>1926</v>
      </c>
      <c r="B1695" s="26" t="s">
        <v>745</v>
      </c>
      <c r="C1695" s="27">
        <v>45841.0</v>
      </c>
      <c r="D1695" s="27">
        <v>45841.0</v>
      </c>
      <c r="E1695" s="26" t="s">
        <v>1121</v>
      </c>
      <c r="F1695" s="26" t="s">
        <v>1200</v>
      </c>
    </row>
    <row r="1696">
      <c r="A1696" s="26" t="s">
        <v>1926</v>
      </c>
      <c r="B1696" s="26" t="s">
        <v>745</v>
      </c>
      <c r="C1696" s="27">
        <v>45841.0</v>
      </c>
      <c r="D1696" s="27">
        <v>45841.0</v>
      </c>
      <c r="E1696" s="26" t="s">
        <v>1121</v>
      </c>
      <c r="F1696" s="26" t="s">
        <v>1200</v>
      </c>
    </row>
    <row r="1697">
      <c r="A1697" s="26" t="s">
        <v>1926</v>
      </c>
      <c r="B1697" s="26" t="s">
        <v>745</v>
      </c>
      <c r="C1697" s="27">
        <v>45841.0</v>
      </c>
      <c r="D1697" s="27">
        <v>45841.0</v>
      </c>
      <c r="E1697" s="26" t="s">
        <v>1121</v>
      </c>
      <c r="F1697" s="26" t="s">
        <v>1200</v>
      </c>
    </row>
    <row r="1698">
      <c r="A1698" s="26" t="s">
        <v>1926</v>
      </c>
      <c r="B1698" s="26" t="s">
        <v>745</v>
      </c>
      <c r="C1698" s="27">
        <v>45841.0</v>
      </c>
      <c r="D1698" s="27">
        <v>45841.0</v>
      </c>
      <c r="E1698" s="26" t="s">
        <v>1121</v>
      </c>
      <c r="F1698" s="26" t="s">
        <v>1200</v>
      </c>
    </row>
    <row r="1699">
      <c r="A1699" s="26" t="s">
        <v>1926</v>
      </c>
      <c r="B1699" s="26" t="s">
        <v>745</v>
      </c>
      <c r="C1699" s="27">
        <v>45841.0</v>
      </c>
      <c r="D1699" s="27">
        <v>45841.0</v>
      </c>
      <c r="E1699" s="26" t="s">
        <v>1121</v>
      </c>
      <c r="F1699" s="26" t="s">
        <v>1200</v>
      </c>
    </row>
    <row r="1700">
      <c r="A1700" s="26" t="s">
        <v>1926</v>
      </c>
      <c r="B1700" s="26" t="s">
        <v>745</v>
      </c>
      <c r="C1700" s="27">
        <v>45841.0</v>
      </c>
      <c r="D1700" s="27">
        <v>45841.0</v>
      </c>
      <c r="E1700" s="26" t="s">
        <v>1121</v>
      </c>
      <c r="F1700" s="26" t="s">
        <v>1200</v>
      </c>
    </row>
    <row r="1701">
      <c r="A1701" s="26" t="s">
        <v>1926</v>
      </c>
      <c r="B1701" s="26" t="s">
        <v>745</v>
      </c>
      <c r="C1701" s="27">
        <v>45841.0</v>
      </c>
      <c r="D1701" s="27">
        <v>45841.0</v>
      </c>
      <c r="E1701" s="26" t="s">
        <v>1121</v>
      </c>
      <c r="F1701" s="26" t="s">
        <v>1200</v>
      </c>
    </row>
    <row r="1702">
      <c r="A1702" s="26" t="s">
        <v>1926</v>
      </c>
      <c r="B1702" s="26" t="s">
        <v>745</v>
      </c>
      <c r="C1702" s="27">
        <v>45841.0</v>
      </c>
      <c r="D1702" s="27">
        <v>45841.0</v>
      </c>
      <c r="E1702" s="26" t="s">
        <v>1121</v>
      </c>
      <c r="F1702" s="26" t="s">
        <v>1200</v>
      </c>
    </row>
    <row r="1703">
      <c r="A1703" s="26" t="s">
        <v>1926</v>
      </c>
      <c r="B1703" s="26" t="s">
        <v>745</v>
      </c>
      <c r="C1703" s="27">
        <v>45841.0</v>
      </c>
      <c r="D1703" s="27">
        <v>45841.0</v>
      </c>
      <c r="E1703" s="26" t="s">
        <v>1121</v>
      </c>
      <c r="F1703" s="26" t="s">
        <v>1200</v>
      </c>
    </row>
    <row r="1704">
      <c r="A1704" s="26" t="s">
        <v>1926</v>
      </c>
      <c r="B1704" s="26" t="s">
        <v>745</v>
      </c>
      <c r="C1704" s="27">
        <v>45841.0</v>
      </c>
      <c r="D1704" s="27">
        <v>45841.0</v>
      </c>
      <c r="E1704" s="26" t="s">
        <v>1121</v>
      </c>
      <c r="F1704" s="26" t="s">
        <v>1200</v>
      </c>
    </row>
    <row r="1705">
      <c r="A1705" s="26" t="s">
        <v>1926</v>
      </c>
      <c r="B1705" s="26" t="s">
        <v>745</v>
      </c>
      <c r="C1705" s="27">
        <v>45841.0</v>
      </c>
      <c r="D1705" s="27">
        <v>45841.0</v>
      </c>
      <c r="E1705" s="26" t="s">
        <v>1121</v>
      </c>
      <c r="F1705" s="26" t="s">
        <v>1200</v>
      </c>
    </row>
    <row r="1706">
      <c r="A1706" s="26" t="s">
        <v>1927</v>
      </c>
      <c r="B1706" s="26" t="s">
        <v>1928</v>
      </c>
      <c r="C1706" s="27">
        <v>45841.0</v>
      </c>
      <c r="D1706" s="27">
        <v>45841.0</v>
      </c>
      <c r="E1706" s="26" t="s">
        <v>1121</v>
      </c>
      <c r="F1706" s="26" t="s">
        <v>1200</v>
      </c>
    </row>
    <row r="1707">
      <c r="A1707" s="26" t="s">
        <v>1927</v>
      </c>
      <c r="B1707" s="26" t="s">
        <v>1928</v>
      </c>
      <c r="C1707" s="27">
        <v>45841.0</v>
      </c>
      <c r="D1707" s="27">
        <v>45841.0</v>
      </c>
      <c r="E1707" s="26" t="s">
        <v>1121</v>
      </c>
      <c r="F1707" s="26" t="s">
        <v>1200</v>
      </c>
    </row>
    <row r="1708">
      <c r="A1708" s="26" t="s">
        <v>1927</v>
      </c>
      <c r="B1708" s="26" t="s">
        <v>1928</v>
      </c>
      <c r="C1708" s="27">
        <v>45841.0</v>
      </c>
      <c r="D1708" s="27">
        <v>45841.0</v>
      </c>
      <c r="E1708" s="26" t="s">
        <v>1121</v>
      </c>
      <c r="F1708" s="26" t="s">
        <v>1200</v>
      </c>
    </row>
    <row r="1709">
      <c r="A1709" s="26" t="s">
        <v>1927</v>
      </c>
      <c r="B1709" s="26" t="s">
        <v>1928</v>
      </c>
      <c r="C1709" s="27">
        <v>45841.0</v>
      </c>
      <c r="D1709" s="27">
        <v>45841.0</v>
      </c>
      <c r="E1709" s="26" t="s">
        <v>1121</v>
      </c>
      <c r="F1709" s="26" t="s">
        <v>1200</v>
      </c>
    </row>
    <row r="1710">
      <c r="A1710" s="26" t="s">
        <v>1927</v>
      </c>
      <c r="B1710" s="26" t="s">
        <v>1928</v>
      </c>
      <c r="C1710" s="27">
        <v>45841.0</v>
      </c>
      <c r="D1710" s="27">
        <v>45841.0</v>
      </c>
      <c r="E1710" s="26" t="s">
        <v>1121</v>
      </c>
      <c r="F1710" s="26" t="s">
        <v>1200</v>
      </c>
    </row>
    <row r="1711">
      <c r="A1711" s="26" t="s">
        <v>1927</v>
      </c>
      <c r="B1711" s="26" t="s">
        <v>1928</v>
      </c>
      <c r="C1711" s="27">
        <v>45841.0</v>
      </c>
      <c r="D1711" s="27">
        <v>45841.0</v>
      </c>
      <c r="E1711" s="26" t="s">
        <v>1121</v>
      </c>
      <c r="F1711" s="26" t="s">
        <v>1200</v>
      </c>
    </row>
    <row r="1712">
      <c r="A1712" s="26" t="s">
        <v>1927</v>
      </c>
      <c r="B1712" s="26" t="s">
        <v>1928</v>
      </c>
      <c r="C1712" s="27">
        <v>45841.0</v>
      </c>
      <c r="D1712" s="27">
        <v>45841.0</v>
      </c>
      <c r="E1712" s="26" t="s">
        <v>1121</v>
      </c>
      <c r="F1712" s="26" t="s">
        <v>1200</v>
      </c>
    </row>
    <row r="1713">
      <c r="A1713" s="26" t="s">
        <v>1927</v>
      </c>
      <c r="B1713" s="26" t="s">
        <v>1928</v>
      </c>
      <c r="C1713" s="27">
        <v>45841.0</v>
      </c>
      <c r="D1713" s="27">
        <v>45841.0</v>
      </c>
      <c r="E1713" s="26" t="s">
        <v>1121</v>
      </c>
      <c r="F1713" s="26" t="s">
        <v>1200</v>
      </c>
    </row>
    <row r="1714">
      <c r="A1714" s="26" t="s">
        <v>1927</v>
      </c>
      <c r="B1714" s="26" t="s">
        <v>1928</v>
      </c>
      <c r="C1714" s="27">
        <v>45841.0</v>
      </c>
      <c r="D1714" s="27">
        <v>45841.0</v>
      </c>
      <c r="E1714" s="26" t="s">
        <v>1121</v>
      </c>
      <c r="F1714" s="26" t="s">
        <v>1200</v>
      </c>
    </row>
    <row r="1715">
      <c r="A1715" s="26" t="s">
        <v>1929</v>
      </c>
      <c r="B1715" s="26" t="s">
        <v>467</v>
      </c>
      <c r="C1715" s="27">
        <v>45841.0</v>
      </c>
      <c r="D1715" s="27">
        <v>45841.0</v>
      </c>
      <c r="E1715" s="26" t="s">
        <v>1121</v>
      </c>
      <c r="F1715" s="26" t="s">
        <v>1200</v>
      </c>
    </row>
    <row r="1716">
      <c r="A1716" s="26" t="s">
        <v>1930</v>
      </c>
      <c r="B1716" s="26" t="s">
        <v>439</v>
      </c>
      <c r="C1716" s="27">
        <v>45841.0</v>
      </c>
      <c r="D1716" s="27">
        <v>45841.0</v>
      </c>
      <c r="E1716" s="26" t="s">
        <v>1121</v>
      </c>
      <c r="F1716" s="26" t="s">
        <v>1200</v>
      </c>
    </row>
    <row r="1717">
      <c r="A1717" s="26" t="s">
        <v>1930</v>
      </c>
      <c r="B1717" s="26" t="s">
        <v>439</v>
      </c>
      <c r="C1717" s="27">
        <v>45841.0</v>
      </c>
      <c r="D1717" s="27">
        <v>45841.0</v>
      </c>
      <c r="E1717" s="26" t="s">
        <v>1121</v>
      </c>
      <c r="F1717" s="26" t="s">
        <v>1200</v>
      </c>
    </row>
    <row r="1718">
      <c r="A1718" s="26" t="s">
        <v>1931</v>
      </c>
      <c r="B1718" s="26" t="s">
        <v>483</v>
      </c>
      <c r="C1718" s="27">
        <v>45841.0</v>
      </c>
      <c r="D1718" s="27">
        <v>45841.0</v>
      </c>
      <c r="E1718" s="26" t="s">
        <v>1121</v>
      </c>
      <c r="F1718" s="26" t="s">
        <v>1200</v>
      </c>
    </row>
    <row r="1719">
      <c r="A1719" s="26" t="s">
        <v>1931</v>
      </c>
      <c r="B1719" s="26" t="s">
        <v>483</v>
      </c>
      <c r="C1719" s="27">
        <v>45841.0</v>
      </c>
      <c r="D1719" s="27">
        <v>45841.0</v>
      </c>
      <c r="E1719" s="26" t="s">
        <v>1121</v>
      </c>
      <c r="F1719" s="26" t="s">
        <v>1200</v>
      </c>
    </row>
    <row r="1720">
      <c r="A1720" s="26" t="s">
        <v>1932</v>
      </c>
      <c r="B1720" s="26" t="s">
        <v>542</v>
      </c>
      <c r="C1720" s="27">
        <v>45840.0</v>
      </c>
      <c r="D1720" s="27">
        <v>45840.0</v>
      </c>
      <c r="E1720" s="26" t="s">
        <v>1121</v>
      </c>
      <c r="F1720" s="26" t="s">
        <v>1200</v>
      </c>
    </row>
    <row r="1721">
      <c r="A1721" s="26" t="s">
        <v>1932</v>
      </c>
      <c r="B1721" s="26" t="s">
        <v>542</v>
      </c>
      <c r="C1721" s="27">
        <v>45840.0</v>
      </c>
      <c r="D1721" s="27">
        <v>45840.0</v>
      </c>
      <c r="E1721" s="26" t="s">
        <v>1121</v>
      </c>
      <c r="F1721" s="26" t="s">
        <v>1200</v>
      </c>
    </row>
    <row r="1722">
      <c r="A1722" s="26" t="s">
        <v>1932</v>
      </c>
      <c r="B1722" s="26" t="s">
        <v>542</v>
      </c>
      <c r="C1722" s="27">
        <v>45840.0</v>
      </c>
      <c r="D1722" s="27">
        <v>45840.0</v>
      </c>
      <c r="E1722" s="26" t="s">
        <v>1121</v>
      </c>
      <c r="F1722" s="26" t="s">
        <v>1200</v>
      </c>
    </row>
    <row r="1723">
      <c r="A1723" s="26" t="s">
        <v>1932</v>
      </c>
      <c r="B1723" s="26" t="s">
        <v>542</v>
      </c>
      <c r="C1723" s="27">
        <v>45840.0</v>
      </c>
      <c r="D1723" s="27">
        <v>45840.0</v>
      </c>
      <c r="E1723" s="26" t="s">
        <v>1121</v>
      </c>
      <c r="F1723" s="26" t="s">
        <v>1200</v>
      </c>
    </row>
    <row r="1724">
      <c r="A1724" s="26" t="s">
        <v>1932</v>
      </c>
      <c r="B1724" s="26" t="s">
        <v>542</v>
      </c>
      <c r="C1724" s="27">
        <v>45840.0</v>
      </c>
      <c r="D1724" s="27">
        <v>45840.0</v>
      </c>
      <c r="E1724" s="26" t="s">
        <v>1121</v>
      </c>
      <c r="F1724" s="26" t="s">
        <v>1200</v>
      </c>
    </row>
    <row r="1725">
      <c r="A1725" s="26" t="s">
        <v>1932</v>
      </c>
      <c r="B1725" s="26" t="s">
        <v>542</v>
      </c>
      <c r="C1725" s="27">
        <v>45840.0</v>
      </c>
      <c r="D1725" s="27">
        <v>45840.0</v>
      </c>
      <c r="E1725" s="26" t="s">
        <v>1121</v>
      </c>
      <c r="F1725" s="26" t="s">
        <v>1200</v>
      </c>
    </row>
    <row r="1726">
      <c r="A1726" s="26" t="s">
        <v>1933</v>
      </c>
      <c r="B1726" s="26" t="s">
        <v>1335</v>
      </c>
      <c r="C1726" s="27">
        <v>45840.0</v>
      </c>
      <c r="D1726" s="27">
        <v>45840.0</v>
      </c>
      <c r="E1726" s="26" t="s">
        <v>1121</v>
      </c>
      <c r="F1726" s="26" t="s">
        <v>1200</v>
      </c>
    </row>
    <row r="1727">
      <c r="A1727" s="26" t="s">
        <v>1933</v>
      </c>
      <c r="B1727" s="26" t="s">
        <v>1335</v>
      </c>
      <c r="C1727" s="27">
        <v>45840.0</v>
      </c>
      <c r="D1727" s="27">
        <v>45840.0</v>
      </c>
      <c r="E1727" s="26" t="s">
        <v>1121</v>
      </c>
      <c r="F1727" s="26" t="s">
        <v>1200</v>
      </c>
    </row>
    <row r="1728">
      <c r="A1728" s="26" t="s">
        <v>1934</v>
      </c>
      <c r="B1728" s="26" t="s">
        <v>1319</v>
      </c>
      <c r="C1728" s="27">
        <v>45839.0</v>
      </c>
      <c r="D1728" s="27">
        <v>45839.0</v>
      </c>
      <c r="E1728" s="26" t="s">
        <v>1121</v>
      </c>
      <c r="F1728" s="26" t="s">
        <v>1200</v>
      </c>
    </row>
    <row r="1729">
      <c r="A1729" s="26" t="s">
        <v>1934</v>
      </c>
      <c r="B1729" s="26" t="s">
        <v>1319</v>
      </c>
      <c r="C1729" s="27">
        <v>45839.0</v>
      </c>
      <c r="D1729" s="27">
        <v>45839.0</v>
      </c>
      <c r="E1729" s="26" t="s">
        <v>1121</v>
      </c>
      <c r="F1729" s="26" t="s">
        <v>1200</v>
      </c>
    </row>
    <row r="1730">
      <c r="A1730" s="26" t="s">
        <v>1934</v>
      </c>
      <c r="B1730" s="26" t="s">
        <v>1319</v>
      </c>
      <c r="C1730" s="27">
        <v>45839.0</v>
      </c>
      <c r="D1730" s="27">
        <v>45839.0</v>
      </c>
      <c r="E1730" s="26" t="s">
        <v>1121</v>
      </c>
      <c r="F1730" s="26" t="s">
        <v>1200</v>
      </c>
    </row>
    <row r="1731">
      <c r="A1731" s="26" t="s">
        <v>1934</v>
      </c>
      <c r="B1731" s="26" t="s">
        <v>1319</v>
      </c>
      <c r="C1731" s="27">
        <v>45839.0</v>
      </c>
      <c r="D1731" s="27">
        <v>45839.0</v>
      </c>
      <c r="E1731" s="26" t="s">
        <v>1121</v>
      </c>
      <c r="F1731" s="26" t="s">
        <v>1200</v>
      </c>
    </row>
    <row r="1732">
      <c r="A1732" s="26" t="s">
        <v>1934</v>
      </c>
      <c r="B1732" s="26" t="s">
        <v>1319</v>
      </c>
      <c r="C1732" s="27">
        <v>45839.0</v>
      </c>
      <c r="D1732" s="27">
        <v>45839.0</v>
      </c>
      <c r="E1732" s="26" t="s">
        <v>1121</v>
      </c>
      <c r="F1732" s="26" t="s">
        <v>1200</v>
      </c>
    </row>
    <row r="1733">
      <c r="A1733" s="26" t="s">
        <v>1934</v>
      </c>
      <c r="B1733" s="26" t="s">
        <v>1319</v>
      </c>
      <c r="C1733" s="27">
        <v>45839.0</v>
      </c>
      <c r="D1733" s="27">
        <v>45839.0</v>
      </c>
      <c r="E1733" s="26" t="s">
        <v>1121</v>
      </c>
      <c r="F1733" s="26" t="s">
        <v>1200</v>
      </c>
    </row>
    <row r="1734">
      <c r="A1734" s="26" t="s">
        <v>1934</v>
      </c>
      <c r="B1734" s="26" t="s">
        <v>1319</v>
      </c>
      <c r="C1734" s="27">
        <v>45839.0</v>
      </c>
      <c r="D1734" s="27">
        <v>45839.0</v>
      </c>
      <c r="E1734" s="26" t="s">
        <v>1121</v>
      </c>
      <c r="F1734" s="26" t="s">
        <v>1200</v>
      </c>
    </row>
    <row r="1735">
      <c r="A1735" s="26" t="s">
        <v>1935</v>
      </c>
      <c r="B1735" s="26" t="s">
        <v>599</v>
      </c>
      <c r="C1735" s="27">
        <v>45839.0</v>
      </c>
      <c r="D1735" s="27">
        <v>45839.0</v>
      </c>
      <c r="E1735" s="26" t="s">
        <v>1121</v>
      </c>
      <c r="F1735" s="26" t="s">
        <v>1200</v>
      </c>
    </row>
    <row r="1736">
      <c r="A1736" s="26" t="s">
        <v>1936</v>
      </c>
      <c r="B1736" s="26" t="s">
        <v>1937</v>
      </c>
      <c r="C1736" s="27">
        <v>45839.0</v>
      </c>
      <c r="D1736" s="27">
        <v>45839.0</v>
      </c>
      <c r="E1736" s="26" t="s">
        <v>1121</v>
      </c>
      <c r="F1736" s="26" t="s">
        <v>1200</v>
      </c>
    </row>
    <row r="1737">
      <c r="A1737" s="26" t="s">
        <v>1938</v>
      </c>
      <c r="B1737" s="26" t="s">
        <v>467</v>
      </c>
      <c r="C1737" s="27">
        <v>45839.0</v>
      </c>
      <c r="D1737" s="27">
        <v>45839.0</v>
      </c>
      <c r="E1737" s="26" t="s">
        <v>1121</v>
      </c>
      <c r="F1737" s="26" t="s">
        <v>1200</v>
      </c>
    </row>
    <row r="1738">
      <c r="A1738" s="26" t="s">
        <v>1938</v>
      </c>
      <c r="B1738" s="26" t="s">
        <v>467</v>
      </c>
      <c r="C1738" s="27">
        <v>45839.0</v>
      </c>
      <c r="D1738" s="27">
        <v>45839.0</v>
      </c>
      <c r="E1738" s="26" t="s">
        <v>1121</v>
      </c>
      <c r="F1738" s="26" t="s">
        <v>1200</v>
      </c>
    </row>
    <row r="1739">
      <c r="A1739" s="26" t="s">
        <v>1939</v>
      </c>
      <c r="B1739" s="26" t="s">
        <v>444</v>
      </c>
      <c r="C1739" s="27">
        <v>45839.0</v>
      </c>
      <c r="D1739" s="27">
        <v>45839.0</v>
      </c>
      <c r="E1739" s="26" t="s">
        <v>1121</v>
      </c>
      <c r="F1739" s="26" t="s">
        <v>1200</v>
      </c>
    </row>
    <row r="1740">
      <c r="A1740" s="26" t="s">
        <v>1939</v>
      </c>
      <c r="B1740" s="26" t="s">
        <v>444</v>
      </c>
      <c r="C1740" s="27">
        <v>45839.0</v>
      </c>
      <c r="D1740" s="27">
        <v>45839.0</v>
      </c>
      <c r="E1740" s="26" t="s">
        <v>1121</v>
      </c>
      <c r="F1740" s="26" t="s">
        <v>1200</v>
      </c>
    </row>
    <row r="1741">
      <c r="A1741" s="26" t="s">
        <v>1940</v>
      </c>
      <c r="B1741" s="26" t="s">
        <v>428</v>
      </c>
      <c r="C1741" s="27">
        <v>45839.0</v>
      </c>
      <c r="D1741" s="27">
        <v>45839.0</v>
      </c>
      <c r="E1741" s="26" t="s">
        <v>1121</v>
      </c>
      <c r="F1741" s="26" t="s">
        <v>1200</v>
      </c>
    </row>
    <row r="1742">
      <c r="A1742" s="26" t="s">
        <v>1941</v>
      </c>
      <c r="B1742" s="26" t="s">
        <v>432</v>
      </c>
      <c r="C1742" s="27">
        <v>45839.0</v>
      </c>
      <c r="D1742" s="27">
        <v>45839.0</v>
      </c>
      <c r="E1742" s="26" t="s">
        <v>1121</v>
      </c>
      <c r="F1742" s="26" t="s">
        <v>1200</v>
      </c>
    </row>
    <row r="1743">
      <c r="A1743" s="26" t="s">
        <v>1942</v>
      </c>
      <c r="B1743" s="26" t="s">
        <v>295</v>
      </c>
      <c r="C1743" s="27">
        <v>45838.0</v>
      </c>
      <c r="D1743" s="27">
        <v>45838.0</v>
      </c>
      <c r="E1743" s="26" t="s">
        <v>1121</v>
      </c>
      <c r="F1743" s="26" t="s">
        <v>1200</v>
      </c>
    </row>
    <row r="1744">
      <c r="A1744" s="26" t="s">
        <v>1942</v>
      </c>
      <c r="B1744" s="26" t="s">
        <v>295</v>
      </c>
      <c r="C1744" s="27">
        <v>45838.0</v>
      </c>
      <c r="D1744" s="27">
        <v>45838.0</v>
      </c>
      <c r="E1744" s="26" t="s">
        <v>1121</v>
      </c>
      <c r="F1744" s="26" t="s">
        <v>1200</v>
      </c>
    </row>
    <row r="1745">
      <c r="A1745" s="26" t="s">
        <v>1942</v>
      </c>
      <c r="B1745" s="26" t="s">
        <v>295</v>
      </c>
      <c r="C1745" s="27">
        <v>45838.0</v>
      </c>
      <c r="D1745" s="27">
        <v>45838.0</v>
      </c>
      <c r="E1745" s="26" t="s">
        <v>1121</v>
      </c>
      <c r="F1745" s="26" t="s">
        <v>1200</v>
      </c>
    </row>
    <row r="1746">
      <c r="A1746" s="26" t="s">
        <v>1943</v>
      </c>
      <c r="B1746" s="26" t="s">
        <v>467</v>
      </c>
      <c r="C1746" s="27">
        <v>45838.0</v>
      </c>
      <c r="D1746" s="27">
        <v>45838.0</v>
      </c>
      <c r="E1746" s="26" t="s">
        <v>1121</v>
      </c>
      <c r="F1746" s="26" t="s">
        <v>1200</v>
      </c>
    </row>
    <row r="1747">
      <c r="A1747" s="26" t="s">
        <v>1944</v>
      </c>
      <c r="B1747" s="26" t="s">
        <v>1945</v>
      </c>
      <c r="C1747" s="27">
        <v>45838.0</v>
      </c>
      <c r="D1747" s="27">
        <v>45838.0</v>
      </c>
      <c r="E1747" s="26" t="s">
        <v>1121</v>
      </c>
      <c r="F1747" s="26" t="s">
        <v>1200</v>
      </c>
    </row>
    <row r="1748">
      <c r="A1748" s="26" t="s">
        <v>1944</v>
      </c>
      <c r="B1748" s="26" t="s">
        <v>1945</v>
      </c>
      <c r="C1748" s="27">
        <v>45838.0</v>
      </c>
      <c r="D1748" s="27">
        <v>45838.0</v>
      </c>
      <c r="E1748" s="26" t="s">
        <v>1121</v>
      </c>
      <c r="F1748" s="26" t="s">
        <v>1200</v>
      </c>
    </row>
    <row r="1749">
      <c r="A1749" s="26" t="s">
        <v>1944</v>
      </c>
      <c r="B1749" s="26" t="s">
        <v>1945</v>
      </c>
      <c r="C1749" s="27">
        <v>45838.0</v>
      </c>
      <c r="D1749" s="27">
        <v>45838.0</v>
      </c>
      <c r="E1749" s="26" t="s">
        <v>1121</v>
      </c>
      <c r="F1749" s="26" t="s">
        <v>1200</v>
      </c>
    </row>
    <row r="1750">
      <c r="A1750" s="26" t="s">
        <v>1946</v>
      </c>
      <c r="B1750" s="26" t="s">
        <v>591</v>
      </c>
      <c r="C1750" s="27">
        <v>45838.0</v>
      </c>
      <c r="D1750" s="27">
        <v>45838.0</v>
      </c>
      <c r="E1750" s="26" t="s">
        <v>1121</v>
      </c>
      <c r="F1750" s="26" t="s">
        <v>1200</v>
      </c>
    </row>
    <row r="1751">
      <c r="A1751" s="26" t="s">
        <v>1947</v>
      </c>
      <c r="B1751" s="26" t="s">
        <v>599</v>
      </c>
      <c r="C1751" s="27">
        <v>45836.0</v>
      </c>
      <c r="D1751" s="27">
        <v>45836.0</v>
      </c>
      <c r="E1751" s="26" t="s">
        <v>1121</v>
      </c>
      <c r="F1751" s="26" t="s">
        <v>1200</v>
      </c>
    </row>
    <row r="1752">
      <c r="A1752" s="26" t="s">
        <v>1948</v>
      </c>
      <c r="B1752" s="26" t="s">
        <v>424</v>
      </c>
      <c r="C1752" s="27">
        <v>45836.0</v>
      </c>
      <c r="D1752" s="27">
        <v>45836.0</v>
      </c>
      <c r="E1752" s="26" t="s">
        <v>1121</v>
      </c>
      <c r="F1752" s="26" t="s">
        <v>1200</v>
      </c>
    </row>
    <row r="1753">
      <c r="A1753" s="26" t="s">
        <v>1948</v>
      </c>
      <c r="B1753" s="26" t="s">
        <v>424</v>
      </c>
      <c r="C1753" s="27">
        <v>45836.0</v>
      </c>
      <c r="D1753" s="27">
        <v>45836.0</v>
      </c>
      <c r="E1753" s="26" t="s">
        <v>1121</v>
      </c>
      <c r="F1753" s="26" t="s">
        <v>1200</v>
      </c>
    </row>
    <row r="1754">
      <c r="A1754" s="26" t="s">
        <v>1949</v>
      </c>
      <c r="B1754" s="26" t="s">
        <v>467</v>
      </c>
      <c r="C1754" s="27">
        <v>45836.0</v>
      </c>
      <c r="D1754" s="27">
        <v>45836.0</v>
      </c>
      <c r="E1754" s="26" t="s">
        <v>1121</v>
      </c>
      <c r="F1754" s="26" t="s">
        <v>1200</v>
      </c>
    </row>
    <row r="1755">
      <c r="A1755" s="26" t="s">
        <v>1949</v>
      </c>
      <c r="B1755" s="26" t="s">
        <v>467</v>
      </c>
      <c r="C1755" s="27">
        <v>45836.0</v>
      </c>
      <c r="D1755" s="27">
        <v>45836.0</v>
      </c>
      <c r="E1755" s="26" t="s">
        <v>1121</v>
      </c>
      <c r="F1755" s="26" t="s">
        <v>1200</v>
      </c>
    </row>
    <row r="1756">
      <c r="A1756" s="26" t="s">
        <v>1950</v>
      </c>
      <c r="B1756" s="26" t="s">
        <v>1937</v>
      </c>
      <c r="C1756" s="27">
        <v>45835.0</v>
      </c>
      <c r="D1756" s="27">
        <v>45835.0</v>
      </c>
      <c r="E1756" s="26" t="s">
        <v>1121</v>
      </c>
      <c r="F1756" s="26" t="s">
        <v>1200</v>
      </c>
    </row>
    <row r="1757">
      <c r="A1757" s="26" t="s">
        <v>1950</v>
      </c>
      <c r="B1757" s="26" t="s">
        <v>1937</v>
      </c>
      <c r="C1757" s="27">
        <v>45835.0</v>
      </c>
      <c r="D1757" s="27">
        <v>45835.0</v>
      </c>
      <c r="E1757" s="26" t="s">
        <v>1121</v>
      </c>
      <c r="F1757" s="26" t="s">
        <v>1200</v>
      </c>
    </row>
    <row r="1758">
      <c r="A1758" s="26" t="s">
        <v>1951</v>
      </c>
      <c r="B1758" s="26" t="s">
        <v>1226</v>
      </c>
      <c r="C1758" s="27">
        <v>45834.0</v>
      </c>
      <c r="D1758" s="27">
        <v>45834.0</v>
      </c>
      <c r="E1758" s="26" t="s">
        <v>1121</v>
      </c>
      <c r="F1758" s="26" t="s">
        <v>1200</v>
      </c>
    </row>
    <row r="1759">
      <c r="A1759" s="26" t="s">
        <v>1951</v>
      </c>
      <c r="B1759" s="26" t="s">
        <v>1226</v>
      </c>
      <c r="C1759" s="27">
        <v>45834.0</v>
      </c>
      <c r="D1759" s="27">
        <v>45834.0</v>
      </c>
      <c r="E1759" s="26" t="s">
        <v>1121</v>
      </c>
      <c r="F1759" s="26" t="s">
        <v>1200</v>
      </c>
    </row>
    <row r="1760">
      <c r="A1760" s="26" t="s">
        <v>1951</v>
      </c>
      <c r="B1760" s="26" t="s">
        <v>1226</v>
      </c>
      <c r="C1760" s="27">
        <v>45834.0</v>
      </c>
      <c r="D1760" s="27">
        <v>45834.0</v>
      </c>
      <c r="E1760" s="26" t="s">
        <v>1121</v>
      </c>
      <c r="F1760" s="26" t="s">
        <v>1200</v>
      </c>
    </row>
    <row r="1761">
      <c r="A1761" s="26" t="s">
        <v>1951</v>
      </c>
      <c r="B1761" s="26" t="s">
        <v>1226</v>
      </c>
      <c r="C1761" s="27">
        <v>45834.0</v>
      </c>
      <c r="D1761" s="27">
        <v>45834.0</v>
      </c>
      <c r="E1761" s="26" t="s">
        <v>1121</v>
      </c>
      <c r="F1761" s="26" t="s">
        <v>1200</v>
      </c>
    </row>
    <row r="1762">
      <c r="A1762" s="26" t="s">
        <v>1951</v>
      </c>
      <c r="B1762" s="26" t="s">
        <v>1226</v>
      </c>
      <c r="C1762" s="27">
        <v>45834.0</v>
      </c>
      <c r="D1762" s="27">
        <v>45834.0</v>
      </c>
      <c r="E1762" s="26" t="s">
        <v>1121</v>
      </c>
      <c r="F1762" s="26" t="s">
        <v>1200</v>
      </c>
    </row>
    <row r="1763">
      <c r="A1763" s="26" t="s">
        <v>1952</v>
      </c>
      <c r="B1763" s="26" t="s">
        <v>1258</v>
      </c>
      <c r="C1763" s="27">
        <v>45834.0</v>
      </c>
      <c r="D1763" s="27">
        <v>45834.0</v>
      </c>
      <c r="E1763" s="26" t="s">
        <v>1121</v>
      </c>
      <c r="F1763" s="26" t="s">
        <v>1200</v>
      </c>
    </row>
    <row r="1764">
      <c r="A1764" s="26" t="s">
        <v>1952</v>
      </c>
      <c r="B1764" s="26" t="s">
        <v>1258</v>
      </c>
      <c r="C1764" s="27">
        <v>45834.0</v>
      </c>
      <c r="D1764" s="27">
        <v>45834.0</v>
      </c>
      <c r="E1764" s="26" t="s">
        <v>1121</v>
      </c>
      <c r="F1764" s="26" t="s">
        <v>1200</v>
      </c>
    </row>
    <row r="1765">
      <c r="A1765" s="26" t="s">
        <v>1952</v>
      </c>
      <c r="B1765" s="26" t="s">
        <v>1258</v>
      </c>
      <c r="C1765" s="27">
        <v>45834.0</v>
      </c>
      <c r="D1765" s="27">
        <v>45834.0</v>
      </c>
      <c r="E1765" s="26" t="s">
        <v>1121</v>
      </c>
      <c r="F1765" s="26" t="s">
        <v>1200</v>
      </c>
    </row>
    <row r="1766">
      <c r="A1766" s="26" t="s">
        <v>1952</v>
      </c>
      <c r="B1766" s="26" t="s">
        <v>1258</v>
      </c>
      <c r="C1766" s="27">
        <v>45834.0</v>
      </c>
      <c r="D1766" s="27">
        <v>45834.0</v>
      </c>
      <c r="E1766" s="26" t="s">
        <v>1121</v>
      </c>
      <c r="F1766" s="26" t="s">
        <v>1200</v>
      </c>
    </row>
    <row r="1767">
      <c r="A1767" s="26" t="s">
        <v>1952</v>
      </c>
      <c r="B1767" s="26" t="s">
        <v>1258</v>
      </c>
      <c r="C1767" s="27">
        <v>45834.0</v>
      </c>
      <c r="D1767" s="27">
        <v>45834.0</v>
      </c>
      <c r="E1767" s="26" t="s">
        <v>1121</v>
      </c>
      <c r="F1767" s="26" t="s">
        <v>1200</v>
      </c>
    </row>
    <row r="1768">
      <c r="A1768" s="26" t="s">
        <v>1952</v>
      </c>
      <c r="B1768" s="26" t="s">
        <v>1258</v>
      </c>
      <c r="C1768" s="27">
        <v>45834.0</v>
      </c>
      <c r="D1768" s="27">
        <v>45834.0</v>
      </c>
      <c r="E1768" s="26" t="s">
        <v>1121</v>
      </c>
      <c r="F1768" s="26" t="s">
        <v>1200</v>
      </c>
    </row>
    <row r="1769">
      <c r="A1769" s="26" t="s">
        <v>1953</v>
      </c>
      <c r="B1769" s="26" t="s">
        <v>361</v>
      </c>
      <c r="C1769" s="27">
        <v>45834.0</v>
      </c>
      <c r="D1769" s="27">
        <v>45834.0</v>
      </c>
      <c r="E1769" s="26" t="s">
        <v>1121</v>
      </c>
      <c r="F1769" s="26" t="s">
        <v>1200</v>
      </c>
    </row>
    <row r="1770">
      <c r="A1770" s="26" t="s">
        <v>1953</v>
      </c>
      <c r="B1770" s="26" t="s">
        <v>361</v>
      </c>
      <c r="C1770" s="27">
        <v>45834.0</v>
      </c>
      <c r="D1770" s="27">
        <v>45834.0</v>
      </c>
      <c r="E1770" s="26" t="s">
        <v>1121</v>
      </c>
      <c r="F1770" s="26" t="s">
        <v>1200</v>
      </c>
    </row>
    <row r="1771">
      <c r="A1771" s="26" t="s">
        <v>1953</v>
      </c>
      <c r="B1771" s="26" t="s">
        <v>361</v>
      </c>
      <c r="C1771" s="27">
        <v>45834.0</v>
      </c>
      <c r="D1771" s="27">
        <v>45834.0</v>
      </c>
      <c r="E1771" s="26" t="s">
        <v>1121</v>
      </c>
      <c r="F1771" s="26" t="s">
        <v>1200</v>
      </c>
    </row>
    <row r="1772">
      <c r="A1772" s="26" t="s">
        <v>1953</v>
      </c>
      <c r="B1772" s="26" t="s">
        <v>361</v>
      </c>
      <c r="C1772" s="27">
        <v>45834.0</v>
      </c>
      <c r="D1772" s="27">
        <v>45834.0</v>
      </c>
      <c r="E1772" s="26" t="s">
        <v>1121</v>
      </c>
      <c r="F1772" s="26" t="s">
        <v>1200</v>
      </c>
    </row>
    <row r="1773">
      <c r="A1773" s="26" t="s">
        <v>1954</v>
      </c>
      <c r="B1773" s="26" t="s">
        <v>444</v>
      </c>
      <c r="C1773" s="27">
        <v>45834.0</v>
      </c>
      <c r="D1773" s="27">
        <v>45834.0</v>
      </c>
      <c r="E1773" s="26" t="s">
        <v>1121</v>
      </c>
      <c r="F1773" s="26" t="s">
        <v>1200</v>
      </c>
    </row>
    <row r="1774">
      <c r="A1774" s="26" t="s">
        <v>1955</v>
      </c>
      <c r="B1774" s="26" t="s">
        <v>461</v>
      </c>
      <c r="C1774" s="27">
        <v>45834.0</v>
      </c>
      <c r="D1774" s="27">
        <v>45834.0</v>
      </c>
      <c r="E1774" s="26" t="s">
        <v>1121</v>
      </c>
      <c r="F1774" s="26" t="s">
        <v>1200</v>
      </c>
    </row>
    <row r="1775">
      <c r="A1775" s="26" t="s">
        <v>1955</v>
      </c>
      <c r="B1775" s="26" t="s">
        <v>461</v>
      </c>
      <c r="C1775" s="27">
        <v>45834.0</v>
      </c>
      <c r="D1775" s="27">
        <v>45834.0</v>
      </c>
      <c r="E1775" s="26" t="s">
        <v>1121</v>
      </c>
      <c r="F1775" s="26" t="s">
        <v>1200</v>
      </c>
    </row>
    <row r="1776">
      <c r="A1776" s="26" t="s">
        <v>1956</v>
      </c>
      <c r="B1776" s="26" t="s">
        <v>516</v>
      </c>
      <c r="C1776" s="27">
        <v>45834.0</v>
      </c>
      <c r="D1776" s="27">
        <v>45834.0</v>
      </c>
      <c r="E1776" s="26" t="s">
        <v>1121</v>
      </c>
      <c r="F1776" s="26" t="s">
        <v>1200</v>
      </c>
    </row>
    <row r="1777">
      <c r="A1777" s="26" t="s">
        <v>1956</v>
      </c>
      <c r="B1777" s="26" t="s">
        <v>516</v>
      </c>
      <c r="C1777" s="27">
        <v>45834.0</v>
      </c>
      <c r="D1777" s="27">
        <v>45834.0</v>
      </c>
      <c r="E1777" s="26" t="s">
        <v>1121</v>
      </c>
      <c r="F1777" s="26" t="s">
        <v>1200</v>
      </c>
    </row>
    <row r="1778">
      <c r="A1778" s="26" t="s">
        <v>1957</v>
      </c>
      <c r="B1778" s="26" t="s">
        <v>432</v>
      </c>
      <c r="C1778" s="27">
        <v>45834.0</v>
      </c>
      <c r="D1778" s="27">
        <v>45834.0</v>
      </c>
      <c r="E1778" s="26" t="s">
        <v>1121</v>
      </c>
      <c r="F1778" s="26" t="s">
        <v>1200</v>
      </c>
    </row>
    <row r="1779">
      <c r="A1779" s="26" t="s">
        <v>1957</v>
      </c>
      <c r="B1779" s="26" t="s">
        <v>432</v>
      </c>
      <c r="C1779" s="27">
        <v>45834.0</v>
      </c>
      <c r="D1779" s="27">
        <v>45834.0</v>
      </c>
      <c r="E1779" s="26" t="s">
        <v>1121</v>
      </c>
      <c r="F1779" s="26" t="s">
        <v>1200</v>
      </c>
    </row>
    <row r="1780">
      <c r="A1780" s="26" t="s">
        <v>1958</v>
      </c>
      <c r="B1780" s="26" t="s">
        <v>295</v>
      </c>
      <c r="C1780" s="27">
        <v>45833.0</v>
      </c>
      <c r="D1780" s="27">
        <v>45833.0</v>
      </c>
      <c r="E1780" s="26" t="s">
        <v>1121</v>
      </c>
      <c r="F1780" s="26" t="s">
        <v>1200</v>
      </c>
    </row>
    <row r="1781">
      <c r="A1781" s="26" t="s">
        <v>1958</v>
      </c>
      <c r="B1781" s="26" t="s">
        <v>295</v>
      </c>
      <c r="C1781" s="27">
        <v>45833.0</v>
      </c>
      <c r="D1781" s="27">
        <v>45833.0</v>
      </c>
      <c r="E1781" s="26" t="s">
        <v>1121</v>
      </c>
      <c r="F1781" s="26" t="s">
        <v>1200</v>
      </c>
    </row>
    <row r="1782">
      <c r="A1782" s="26" t="s">
        <v>1958</v>
      </c>
      <c r="B1782" s="26" t="s">
        <v>295</v>
      </c>
      <c r="C1782" s="27">
        <v>45833.0</v>
      </c>
      <c r="D1782" s="27">
        <v>45833.0</v>
      </c>
      <c r="E1782" s="26" t="s">
        <v>1121</v>
      </c>
      <c r="F1782" s="26" t="s">
        <v>1200</v>
      </c>
    </row>
    <row r="1783">
      <c r="A1783" s="26" t="s">
        <v>1958</v>
      </c>
      <c r="B1783" s="26" t="s">
        <v>295</v>
      </c>
      <c r="C1783" s="27">
        <v>45833.0</v>
      </c>
      <c r="D1783" s="27">
        <v>45833.0</v>
      </c>
      <c r="E1783" s="26" t="s">
        <v>1121</v>
      </c>
      <c r="F1783" s="26" t="s">
        <v>1200</v>
      </c>
    </row>
    <row r="1784">
      <c r="A1784" s="26" t="s">
        <v>1959</v>
      </c>
      <c r="B1784" s="26" t="s">
        <v>752</v>
      </c>
      <c r="C1784" s="27">
        <v>45833.0</v>
      </c>
      <c r="D1784" s="27">
        <v>45833.0</v>
      </c>
      <c r="E1784" s="26" t="s">
        <v>1121</v>
      </c>
      <c r="F1784" s="26" t="s">
        <v>1200</v>
      </c>
    </row>
    <row r="1785">
      <c r="A1785" s="26" t="s">
        <v>1960</v>
      </c>
      <c r="B1785" s="26" t="s">
        <v>546</v>
      </c>
      <c r="C1785" s="27">
        <v>45832.0</v>
      </c>
      <c r="D1785" s="27">
        <v>45832.0</v>
      </c>
      <c r="E1785" s="26" t="s">
        <v>1121</v>
      </c>
      <c r="F1785" s="26" t="s">
        <v>1200</v>
      </c>
    </row>
    <row r="1786">
      <c r="A1786" s="26" t="s">
        <v>1960</v>
      </c>
      <c r="B1786" s="26" t="s">
        <v>546</v>
      </c>
      <c r="C1786" s="27">
        <v>45832.0</v>
      </c>
      <c r="D1786" s="27">
        <v>45832.0</v>
      </c>
      <c r="E1786" s="26" t="s">
        <v>1121</v>
      </c>
      <c r="F1786" s="26" t="s">
        <v>1200</v>
      </c>
    </row>
    <row r="1787">
      <c r="A1787" s="26" t="s">
        <v>1961</v>
      </c>
      <c r="B1787" s="26" t="s">
        <v>1928</v>
      </c>
      <c r="C1787" s="27">
        <v>45832.0</v>
      </c>
      <c r="D1787" s="27">
        <v>45832.0</v>
      </c>
      <c r="E1787" s="26" t="s">
        <v>1121</v>
      </c>
      <c r="F1787" s="26" t="s">
        <v>1200</v>
      </c>
    </row>
    <row r="1788">
      <c r="A1788" s="26" t="s">
        <v>1961</v>
      </c>
      <c r="B1788" s="26" t="s">
        <v>1928</v>
      </c>
      <c r="C1788" s="27">
        <v>45832.0</v>
      </c>
      <c r="D1788" s="27">
        <v>45832.0</v>
      </c>
      <c r="E1788" s="26" t="s">
        <v>1121</v>
      </c>
      <c r="F1788" s="26" t="s">
        <v>1200</v>
      </c>
    </row>
    <row r="1789">
      <c r="A1789" s="26" t="s">
        <v>1961</v>
      </c>
      <c r="B1789" s="26" t="s">
        <v>1928</v>
      </c>
      <c r="C1789" s="27">
        <v>45832.0</v>
      </c>
      <c r="D1789" s="27">
        <v>45832.0</v>
      </c>
      <c r="E1789" s="26" t="s">
        <v>1121</v>
      </c>
      <c r="F1789" s="26" t="s">
        <v>1200</v>
      </c>
    </row>
    <row r="1790">
      <c r="A1790" s="26" t="s">
        <v>1961</v>
      </c>
      <c r="B1790" s="26" t="s">
        <v>1928</v>
      </c>
      <c r="C1790" s="27">
        <v>45832.0</v>
      </c>
      <c r="D1790" s="27">
        <v>45832.0</v>
      </c>
      <c r="E1790" s="26" t="s">
        <v>1121</v>
      </c>
      <c r="F1790" s="26" t="s">
        <v>1200</v>
      </c>
    </row>
    <row r="1791">
      <c r="A1791" s="26" t="s">
        <v>1961</v>
      </c>
      <c r="B1791" s="26" t="s">
        <v>1928</v>
      </c>
      <c r="C1791" s="27">
        <v>45832.0</v>
      </c>
      <c r="D1791" s="27">
        <v>45832.0</v>
      </c>
      <c r="E1791" s="26" t="s">
        <v>1121</v>
      </c>
      <c r="F1791" s="26" t="s">
        <v>1200</v>
      </c>
    </row>
    <row r="1792">
      <c r="A1792" s="26" t="s">
        <v>1961</v>
      </c>
      <c r="B1792" s="26" t="s">
        <v>1928</v>
      </c>
      <c r="C1792" s="27">
        <v>45832.0</v>
      </c>
      <c r="D1792" s="27">
        <v>45832.0</v>
      </c>
      <c r="E1792" s="26" t="s">
        <v>1121</v>
      </c>
      <c r="F1792" s="26" t="s">
        <v>1200</v>
      </c>
    </row>
    <row r="1793">
      <c r="A1793" s="26" t="s">
        <v>1961</v>
      </c>
      <c r="B1793" s="26" t="s">
        <v>1928</v>
      </c>
      <c r="C1793" s="27">
        <v>45832.0</v>
      </c>
      <c r="D1793" s="27">
        <v>45832.0</v>
      </c>
      <c r="E1793" s="26" t="s">
        <v>1121</v>
      </c>
      <c r="F1793" s="26" t="s">
        <v>1200</v>
      </c>
    </row>
    <row r="1794">
      <c r="A1794" s="26" t="s">
        <v>1961</v>
      </c>
      <c r="B1794" s="26" t="s">
        <v>1928</v>
      </c>
      <c r="C1794" s="27">
        <v>45832.0</v>
      </c>
      <c r="D1794" s="27">
        <v>45832.0</v>
      </c>
      <c r="E1794" s="26" t="s">
        <v>1121</v>
      </c>
      <c r="F1794" s="26" t="s">
        <v>1200</v>
      </c>
    </row>
    <row r="1795">
      <c r="A1795" s="26" t="s">
        <v>1961</v>
      </c>
      <c r="B1795" s="26" t="s">
        <v>1928</v>
      </c>
      <c r="C1795" s="27">
        <v>45832.0</v>
      </c>
      <c r="D1795" s="27">
        <v>45832.0</v>
      </c>
      <c r="E1795" s="26" t="s">
        <v>1121</v>
      </c>
      <c r="F1795" s="26" t="s">
        <v>1200</v>
      </c>
    </row>
    <row r="1796">
      <c r="A1796" s="26" t="s">
        <v>1962</v>
      </c>
      <c r="B1796" s="26" t="s">
        <v>444</v>
      </c>
      <c r="C1796" s="27">
        <v>45831.0</v>
      </c>
      <c r="D1796" s="27">
        <v>45831.0</v>
      </c>
      <c r="E1796" s="26" t="s">
        <v>1121</v>
      </c>
      <c r="F1796" s="26" t="s">
        <v>1200</v>
      </c>
    </row>
    <row r="1797">
      <c r="A1797" s="26" t="s">
        <v>1962</v>
      </c>
      <c r="B1797" s="26" t="s">
        <v>444</v>
      </c>
      <c r="C1797" s="27">
        <v>45831.0</v>
      </c>
      <c r="D1797" s="27">
        <v>45831.0</v>
      </c>
      <c r="E1797" s="26" t="s">
        <v>1121</v>
      </c>
      <c r="F1797" s="26" t="s">
        <v>1200</v>
      </c>
    </row>
    <row r="1798">
      <c r="A1798" s="26" t="s">
        <v>1962</v>
      </c>
      <c r="B1798" s="26" t="s">
        <v>444</v>
      </c>
      <c r="C1798" s="27">
        <v>45831.0</v>
      </c>
      <c r="D1798" s="27">
        <v>45831.0</v>
      </c>
      <c r="E1798" s="26" t="s">
        <v>1121</v>
      </c>
      <c r="F1798" s="26" t="s">
        <v>1200</v>
      </c>
    </row>
    <row r="1799">
      <c r="A1799" s="26" t="s">
        <v>1963</v>
      </c>
      <c r="B1799" s="26" t="s">
        <v>516</v>
      </c>
      <c r="C1799" s="27">
        <v>45831.0</v>
      </c>
      <c r="D1799" s="27">
        <v>45831.0</v>
      </c>
      <c r="E1799" s="26" t="s">
        <v>1121</v>
      </c>
      <c r="F1799" s="26" t="s">
        <v>1200</v>
      </c>
    </row>
    <row r="1800">
      <c r="A1800" s="26" t="s">
        <v>1963</v>
      </c>
      <c r="B1800" s="26" t="s">
        <v>516</v>
      </c>
      <c r="C1800" s="27">
        <v>45831.0</v>
      </c>
      <c r="D1800" s="27">
        <v>45831.0</v>
      </c>
      <c r="E1800" s="26" t="s">
        <v>1121</v>
      </c>
      <c r="F1800" s="26" t="s">
        <v>1200</v>
      </c>
    </row>
    <row r="1801">
      <c r="A1801" s="26" t="s">
        <v>1964</v>
      </c>
      <c r="B1801" s="26" t="s">
        <v>483</v>
      </c>
      <c r="C1801" s="27">
        <v>45831.0</v>
      </c>
      <c r="D1801" s="27">
        <v>45831.0</v>
      </c>
      <c r="E1801" s="26" t="s">
        <v>1121</v>
      </c>
      <c r="F1801" s="26" t="s">
        <v>1200</v>
      </c>
    </row>
    <row r="1802">
      <c r="A1802" s="26" t="s">
        <v>1965</v>
      </c>
      <c r="B1802" s="26" t="s">
        <v>1966</v>
      </c>
      <c r="C1802" s="27">
        <v>45831.0</v>
      </c>
      <c r="D1802" s="27">
        <v>45831.0</v>
      </c>
      <c r="E1802" s="26" t="s">
        <v>1121</v>
      </c>
      <c r="F1802" s="26" t="s">
        <v>1200</v>
      </c>
    </row>
    <row r="1803">
      <c r="A1803" s="26" t="s">
        <v>1965</v>
      </c>
      <c r="B1803" s="26" t="s">
        <v>1966</v>
      </c>
      <c r="C1803" s="27">
        <v>45831.0</v>
      </c>
      <c r="D1803" s="27">
        <v>45831.0</v>
      </c>
      <c r="E1803" s="26" t="s">
        <v>1121</v>
      </c>
      <c r="F1803" s="26" t="s">
        <v>1200</v>
      </c>
    </row>
    <row r="1804">
      <c r="A1804" s="26" t="s">
        <v>1965</v>
      </c>
      <c r="B1804" s="26" t="s">
        <v>1966</v>
      </c>
      <c r="C1804" s="27">
        <v>45831.0</v>
      </c>
      <c r="D1804" s="27">
        <v>45831.0</v>
      </c>
      <c r="E1804" s="26" t="s">
        <v>1121</v>
      </c>
      <c r="F1804" s="26" t="s">
        <v>1200</v>
      </c>
    </row>
    <row r="1805">
      <c r="A1805" s="26" t="s">
        <v>1965</v>
      </c>
      <c r="B1805" s="26" t="s">
        <v>1966</v>
      </c>
      <c r="C1805" s="27">
        <v>45831.0</v>
      </c>
      <c r="D1805" s="27">
        <v>45831.0</v>
      </c>
      <c r="E1805" s="26" t="s">
        <v>1121</v>
      </c>
      <c r="F1805" s="26" t="s">
        <v>1200</v>
      </c>
    </row>
    <row r="1806">
      <c r="A1806" s="26" t="s">
        <v>1965</v>
      </c>
      <c r="B1806" s="26" t="s">
        <v>1966</v>
      </c>
      <c r="C1806" s="27">
        <v>45831.0</v>
      </c>
      <c r="D1806" s="27">
        <v>45831.0</v>
      </c>
      <c r="E1806" s="26" t="s">
        <v>1121</v>
      </c>
      <c r="F1806" s="26" t="s">
        <v>1200</v>
      </c>
    </row>
    <row r="1807">
      <c r="A1807" s="26" t="s">
        <v>1965</v>
      </c>
      <c r="B1807" s="26" t="s">
        <v>1966</v>
      </c>
      <c r="C1807" s="27">
        <v>45831.0</v>
      </c>
      <c r="D1807" s="27">
        <v>45831.0</v>
      </c>
      <c r="E1807" s="26" t="s">
        <v>1121</v>
      </c>
      <c r="F1807" s="26" t="s">
        <v>1200</v>
      </c>
    </row>
    <row r="1808">
      <c r="A1808" s="26" t="s">
        <v>1967</v>
      </c>
      <c r="B1808" s="26" t="s">
        <v>656</v>
      </c>
      <c r="C1808" s="27">
        <v>45831.0</v>
      </c>
      <c r="D1808" s="27">
        <v>45831.0</v>
      </c>
      <c r="E1808" s="26" t="s">
        <v>1121</v>
      </c>
      <c r="F1808" s="26" t="s">
        <v>1200</v>
      </c>
    </row>
    <row r="1809">
      <c r="A1809" s="26" t="s">
        <v>1967</v>
      </c>
      <c r="B1809" s="26" t="s">
        <v>656</v>
      </c>
      <c r="C1809" s="27">
        <v>45831.0</v>
      </c>
      <c r="D1809" s="27">
        <v>45831.0</v>
      </c>
      <c r="E1809" s="26" t="s">
        <v>1121</v>
      </c>
      <c r="F1809" s="26" t="s">
        <v>1200</v>
      </c>
    </row>
    <row r="1810">
      <c r="A1810" s="26" t="s">
        <v>1967</v>
      </c>
      <c r="B1810" s="26" t="s">
        <v>656</v>
      </c>
      <c r="C1810" s="27">
        <v>45831.0</v>
      </c>
      <c r="D1810" s="27">
        <v>45831.0</v>
      </c>
      <c r="E1810" s="26" t="s">
        <v>1121</v>
      </c>
      <c r="F1810" s="26" t="s">
        <v>1200</v>
      </c>
    </row>
    <row r="1811">
      <c r="A1811" s="26" t="s">
        <v>1967</v>
      </c>
      <c r="B1811" s="26" t="s">
        <v>656</v>
      </c>
      <c r="C1811" s="27">
        <v>45831.0</v>
      </c>
      <c r="D1811" s="27">
        <v>45831.0</v>
      </c>
      <c r="E1811" s="26" t="s">
        <v>1121</v>
      </c>
      <c r="F1811" s="26" t="s">
        <v>1200</v>
      </c>
    </row>
    <row r="1812">
      <c r="A1812" s="26" t="s">
        <v>1967</v>
      </c>
      <c r="B1812" s="26" t="s">
        <v>656</v>
      </c>
      <c r="C1812" s="27">
        <v>45831.0</v>
      </c>
      <c r="D1812" s="27">
        <v>45831.0</v>
      </c>
      <c r="E1812" s="26" t="s">
        <v>1121</v>
      </c>
      <c r="F1812" s="26" t="s">
        <v>1200</v>
      </c>
    </row>
    <row r="1813">
      <c r="A1813" s="26" t="s">
        <v>1967</v>
      </c>
      <c r="B1813" s="26" t="s">
        <v>656</v>
      </c>
      <c r="C1813" s="27">
        <v>45831.0</v>
      </c>
      <c r="D1813" s="27">
        <v>45831.0</v>
      </c>
      <c r="E1813" s="26" t="s">
        <v>1121</v>
      </c>
      <c r="F1813" s="26" t="s">
        <v>1200</v>
      </c>
    </row>
    <row r="1814">
      <c r="A1814" s="26" t="s">
        <v>1968</v>
      </c>
      <c r="B1814" s="26" t="s">
        <v>493</v>
      </c>
      <c r="C1814" s="27">
        <v>45831.0</v>
      </c>
      <c r="D1814" s="27">
        <v>45831.0</v>
      </c>
      <c r="E1814" s="26" t="s">
        <v>1121</v>
      </c>
      <c r="F1814" s="26" t="s">
        <v>1200</v>
      </c>
    </row>
    <row r="1815">
      <c r="A1815" s="26" t="s">
        <v>1969</v>
      </c>
      <c r="B1815" s="26" t="s">
        <v>1970</v>
      </c>
      <c r="C1815" s="27">
        <v>45831.0</v>
      </c>
      <c r="D1815" s="27">
        <v>45831.0</v>
      </c>
      <c r="E1815" s="26" t="s">
        <v>1121</v>
      </c>
      <c r="F1815" s="26" t="s">
        <v>1200</v>
      </c>
    </row>
    <row r="1816">
      <c r="A1816" s="26" t="s">
        <v>1969</v>
      </c>
      <c r="B1816" s="26" t="s">
        <v>1970</v>
      </c>
      <c r="C1816" s="27">
        <v>45831.0</v>
      </c>
      <c r="D1816" s="27">
        <v>45831.0</v>
      </c>
      <c r="E1816" s="26" t="s">
        <v>1121</v>
      </c>
      <c r="F1816" s="26" t="s">
        <v>1200</v>
      </c>
    </row>
    <row r="1817">
      <c r="A1817" s="26" t="s">
        <v>1969</v>
      </c>
      <c r="B1817" s="26" t="s">
        <v>1970</v>
      </c>
      <c r="C1817" s="27">
        <v>45831.0</v>
      </c>
      <c r="D1817" s="27">
        <v>45831.0</v>
      </c>
      <c r="E1817" s="26" t="s">
        <v>1121</v>
      </c>
      <c r="F1817" s="26" t="s">
        <v>1200</v>
      </c>
    </row>
    <row r="1818">
      <c r="A1818" s="26" t="s">
        <v>1971</v>
      </c>
      <c r="B1818" s="26" t="s">
        <v>448</v>
      </c>
      <c r="C1818" s="27">
        <v>45829.0</v>
      </c>
      <c r="D1818" s="27">
        <v>45829.0</v>
      </c>
      <c r="E1818" s="26" t="s">
        <v>1121</v>
      </c>
      <c r="F1818" s="26" t="s">
        <v>1200</v>
      </c>
    </row>
    <row r="1819">
      <c r="A1819" s="26" t="s">
        <v>1971</v>
      </c>
      <c r="B1819" s="26" t="s">
        <v>448</v>
      </c>
      <c r="C1819" s="27">
        <v>45829.0</v>
      </c>
      <c r="D1819" s="27">
        <v>45829.0</v>
      </c>
      <c r="E1819" s="26" t="s">
        <v>1121</v>
      </c>
      <c r="F1819" s="26" t="s">
        <v>1200</v>
      </c>
    </row>
    <row r="1820">
      <c r="A1820" s="26" t="s">
        <v>1972</v>
      </c>
      <c r="B1820" s="26" t="s">
        <v>467</v>
      </c>
      <c r="C1820" s="27">
        <v>45829.0</v>
      </c>
      <c r="D1820" s="27">
        <v>45829.0</v>
      </c>
      <c r="E1820" s="26" t="s">
        <v>1121</v>
      </c>
      <c r="F1820" s="26" t="s">
        <v>1200</v>
      </c>
    </row>
    <row r="1821">
      <c r="A1821" s="26" t="s">
        <v>1973</v>
      </c>
      <c r="B1821" s="26" t="s">
        <v>432</v>
      </c>
      <c r="C1821" s="27">
        <v>45828.0</v>
      </c>
      <c r="D1821" s="27">
        <v>45828.0</v>
      </c>
      <c r="E1821" s="26" t="s">
        <v>1121</v>
      </c>
      <c r="F1821" s="26" t="s">
        <v>1200</v>
      </c>
    </row>
    <row r="1822">
      <c r="A1822" s="26" t="s">
        <v>1974</v>
      </c>
      <c r="B1822" s="26" t="s">
        <v>634</v>
      </c>
      <c r="C1822" s="27">
        <v>45828.0</v>
      </c>
      <c r="D1822" s="27">
        <v>45828.0</v>
      </c>
      <c r="E1822" s="26" t="s">
        <v>1121</v>
      </c>
      <c r="F1822" s="26" t="s">
        <v>1200</v>
      </c>
    </row>
    <row r="1823">
      <c r="A1823" s="26" t="s">
        <v>1974</v>
      </c>
      <c r="B1823" s="26" t="s">
        <v>634</v>
      </c>
      <c r="C1823" s="27">
        <v>45828.0</v>
      </c>
      <c r="D1823" s="27">
        <v>45828.0</v>
      </c>
      <c r="E1823" s="26" t="s">
        <v>1121</v>
      </c>
      <c r="F1823" s="26" t="s">
        <v>1200</v>
      </c>
    </row>
    <row r="1824">
      <c r="A1824" s="26" t="s">
        <v>1974</v>
      </c>
      <c r="B1824" s="26" t="s">
        <v>634</v>
      </c>
      <c r="C1824" s="27">
        <v>45828.0</v>
      </c>
      <c r="D1824" s="27">
        <v>45828.0</v>
      </c>
      <c r="E1824" s="26" t="s">
        <v>1121</v>
      </c>
      <c r="F1824" s="26" t="s">
        <v>1200</v>
      </c>
    </row>
    <row r="1825">
      <c r="A1825" s="26" t="s">
        <v>1974</v>
      </c>
      <c r="B1825" s="26" t="s">
        <v>634</v>
      </c>
      <c r="C1825" s="27">
        <v>45828.0</v>
      </c>
      <c r="D1825" s="27">
        <v>45828.0</v>
      </c>
      <c r="E1825" s="26" t="s">
        <v>1121</v>
      </c>
      <c r="F1825" s="26" t="s">
        <v>1200</v>
      </c>
    </row>
    <row r="1826">
      <c r="A1826" s="26" t="s">
        <v>1974</v>
      </c>
      <c r="B1826" s="26" t="s">
        <v>634</v>
      </c>
      <c r="C1826" s="27">
        <v>45828.0</v>
      </c>
      <c r="D1826" s="27">
        <v>45828.0</v>
      </c>
      <c r="E1826" s="26" t="s">
        <v>1121</v>
      </c>
      <c r="F1826" s="26" t="s">
        <v>1200</v>
      </c>
    </row>
    <row r="1827">
      <c r="A1827" s="26" t="s">
        <v>1974</v>
      </c>
      <c r="B1827" s="26" t="s">
        <v>634</v>
      </c>
      <c r="C1827" s="27">
        <v>45828.0</v>
      </c>
      <c r="D1827" s="27">
        <v>45828.0</v>
      </c>
      <c r="E1827" s="26" t="s">
        <v>1121</v>
      </c>
      <c r="F1827" s="26" t="s">
        <v>1200</v>
      </c>
    </row>
    <row r="1828">
      <c r="A1828" s="26" t="e">
        <v>#N/A</v>
      </c>
      <c r="B1828" s="26" t="s">
        <v>1975</v>
      </c>
      <c r="C1828" s="27">
        <v>45827.0</v>
      </c>
      <c r="D1828" s="27">
        <v>45827.0</v>
      </c>
      <c r="E1828" s="26" t="s">
        <v>1121</v>
      </c>
      <c r="F1828" s="26" t="s">
        <v>1200</v>
      </c>
    </row>
    <row r="1829">
      <c r="A1829" s="26" t="e">
        <v>#N/A</v>
      </c>
      <c r="B1829" s="26" t="s">
        <v>1975</v>
      </c>
      <c r="C1829" s="27">
        <v>45827.0</v>
      </c>
      <c r="D1829" s="27">
        <v>45827.0</v>
      </c>
      <c r="E1829" s="26" t="s">
        <v>1121</v>
      </c>
      <c r="F1829" s="26" t="s">
        <v>1200</v>
      </c>
    </row>
    <row r="1830">
      <c r="A1830" s="26" t="e">
        <v>#N/A</v>
      </c>
      <c r="B1830" s="26" t="s">
        <v>1975</v>
      </c>
      <c r="C1830" s="27">
        <v>45827.0</v>
      </c>
      <c r="D1830" s="27">
        <v>45827.0</v>
      </c>
      <c r="E1830" s="26" t="s">
        <v>1121</v>
      </c>
      <c r="F1830" s="26" t="s">
        <v>1200</v>
      </c>
    </row>
    <row r="1831">
      <c r="A1831" s="26" t="e">
        <v>#N/A</v>
      </c>
      <c r="B1831" s="26" t="s">
        <v>1975</v>
      </c>
      <c r="C1831" s="27">
        <v>45827.0</v>
      </c>
      <c r="D1831" s="27">
        <v>45827.0</v>
      </c>
      <c r="E1831" s="26" t="s">
        <v>1121</v>
      </c>
      <c r="F1831" s="26" t="s">
        <v>1200</v>
      </c>
    </row>
    <row r="1832">
      <c r="A1832" s="26" t="e">
        <v>#N/A</v>
      </c>
      <c r="B1832" s="26" t="s">
        <v>1975</v>
      </c>
      <c r="C1832" s="27">
        <v>45827.0</v>
      </c>
      <c r="D1832" s="27">
        <v>45827.0</v>
      </c>
      <c r="E1832" s="26" t="s">
        <v>1121</v>
      </c>
      <c r="F1832" s="26" t="s">
        <v>1200</v>
      </c>
    </row>
    <row r="1833">
      <c r="A1833" s="26" t="e">
        <v>#N/A</v>
      </c>
      <c r="B1833" s="26" t="s">
        <v>1975</v>
      </c>
      <c r="C1833" s="27">
        <v>45827.0</v>
      </c>
      <c r="D1833" s="27">
        <v>45827.0</v>
      </c>
      <c r="E1833" s="26" t="s">
        <v>1121</v>
      </c>
      <c r="F1833" s="26" t="s">
        <v>1200</v>
      </c>
    </row>
    <row r="1834">
      <c r="A1834" s="26" t="s">
        <v>1976</v>
      </c>
      <c r="B1834" s="26" t="s">
        <v>435</v>
      </c>
      <c r="C1834" s="27">
        <v>45827.0</v>
      </c>
      <c r="D1834" s="27">
        <v>45827.0</v>
      </c>
      <c r="E1834" s="26" t="s">
        <v>1121</v>
      </c>
      <c r="F1834" s="26" t="s">
        <v>1200</v>
      </c>
    </row>
    <row r="1835">
      <c r="A1835" s="26" t="s">
        <v>1977</v>
      </c>
      <c r="B1835" s="26" t="s">
        <v>516</v>
      </c>
      <c r="C1835" s="27">
        <v>45826.0</v>
      </c>
      <c r="D1835" s="27">
        <v>45826.0</v>
      </c>
      <c r="E1835" s="26" t="s">
        <v>1121</v>
      </c>
      <c r="F1835" s="26" t="s">
        <v>1200</v>
      </c>
    </row>
    <row r="1836">
      <c r="A1836" s="26" t="s">
        <v>1978</v>
      </c>
      <c r="B1836" s="26" t="s">
        <v>1335</v>
      </c>
      <c r="C1836" s="27">
        <v>45826.0</v>
      </c>
      <c r="D1836" s="27">
        <v>45826.0</v>
      </c>
      <c r="E1836" s="26" t="s">
        <v>1121</v>
      </c>
      <c r="F1836" s="26" t="s">
        <v>1200</v>
      </c>
    </row>
    <row r="1837">
      <c r="A1837" s="26" t="s">
        <v>1978</v>
      </c>
      <c r="B1837" s="26" t="s">
        <v>1335</v>
      </c>
      <c r="C1837" s="27">
        <v>45826.0</v>
      </c>
      <c r="D1837" s="27">
        <v>45826.0</v>
      </c>
      <c r="E1837" s="26" t="s">
        <v>1121</v>
      </c>
      <c r="F1837" s="26" t="s">
        <v>1200</v>
      </c>
    </row>
    <row r="1838">
      <c r="A1838" s="26" t="s">
        <v>1978</v>
      </c>
      <c r="B1838" s="26" t="s">
        <v>1335</v>
      </c>
      <c r="C1838" s="27">
        <v>45826.0</v>
      </c>
      <c r="D1838" s="27">
        <v>45826.0</v>
      </c>
      <c r="E1838" s="26" t="s">
        <v>1121</v>
      </c>
      <c r="F1838" s="26" t="s">
        <v>1200</v>
      </c>
    </row>
    <row r="1839">
      <c r="A1839" s="26" t="s">
        <v>1978</v>
      </c>
      <c r="B1839" s="26" t="s">
        <v>1335</v>
      </c>
      <c r="C1839" s="27">
        <v>45826.0</v>
      </c>
      <c r="D1839" s="27">
        <v>45826.0</v>
      </c>
      <c r="E1839" s="26" t="s">
        <v>1121</v>
      </c>
      <c r="F1839" s="26" t="s">
        <v>1200</v>
      </c>
    </row>
    <row r="1840">
      <c r="A1840" s="26" t="s">
        <v>1978</v>
      </c>
      <c r="B1840" s="26" t="s">
        <v>1335</v>
      </c>
      <c r="C1840" s="27">
        <v>45826.0</v>
      </c>
      <c r="D1840" s="27">
        <v>45826.0</v>
      </c>
      <c r="E1840" s="26" t="s">
        <v>1121</v>
      </c>
      <c r="F1840" s="26" t="s">
        <v>1200</v>
      </c>
    </row>
    <row r="1841">
      <c r="A1841" s="26" t="s">
        <v>1978</v>
      </c>
      <c r="B1841" s="26" t="s">
        <v>1335</v>
      </c>
      <c r="C1841" s="27">
        <v>45826.0</v>
      </c>
      <c r="D1841" s="27">
        <v>45826.0</v>
      </c>
      <c r="E1841" s="26" t="s">
        <v>1121</v>
      </c>
      <c r="F1841" s="26" t="s">
        <v>1200</v>
      </c>
    </row>
    <row r="1842">
      <c r="A1842" s="26" t="s">
        <v>1979</v>
      </c>
      <c r="B1842" s="26" t="s">
        <v>1853</v>
      </c>
      <c r="C1842" s="27">
        <v>45826.0</v>
      </c>
      <c r="D1842" s="27">
        <v>45826.0</v>
      </c>
      <c r="E1842" s="26" t="s">
        <v>1121</v>
      </c>
      <c r="F1842" s="26" t="s">
        <v>1200</v>
      </c>
    </row>
    <row r="1843">
      <c r="A1843" s="26" t="s">
        <v>1979</v>
      </c>
      <c r="B1843" s="26" t="s">
        <v>1853</v>
      </c>
      <c r="C1843" s="27">
        <v>45826.0</v>
      </c>
      <c r="D1843" s="27">
        <v>45826.0</v>
      </c>
      <c r="E1843" s="26" t="s">
        <v>1121</v>
      </c>
      <c r="F1843" s="26" t="s">
        <v>1200</v>
      </c>
    </row>
    <row r="1844">
      <c r="A1844" s="26" t="s">
        <v>1979</v>
      </c>
      <c r="B1844" s="26" t="s">
        <v>1853</v>
      </c>
      <c r="C1844" s="27">
        <v>45826.0</v>
      </c>
      <c r="D1844" s="27">
        <v>45826.0</v>
      </c>
      <c r="E1844" s="26" t="s">
        <v>1121</v>
      </c>
      <c r="F1844" s="26" t="s">
        <v>1200</v>
      </c>
    </row>
    <row r="1845">
      <c r="A1845" s="26" t="s">
        <v>1979</v>
      </c>
      <c r="B1845" s="26" t="s">
        <v>1853</v>
      </c>
      <c r="C1845" s="27">
        <v>45826.0</v>
      </c>
      <c r="D1845" s="27">
        <v>45826.0</v>
      </c>
      <c r="E1845" s="26" t="s">
        <v>1121</v>
      </c>
      <c r="F1845" s="26" t="s">
        <v>1200</v>
      </c>
    </row>
    <row r="1846">
      <c r="A1846" s="26" t="s">
        <v>1979</v>
      </c>
      <c r="B1846" s="26" t="s">
        <v>1853</v>
      </c>
      <c r="C1846" s="27">
        <v>45826.0</v>
      </c>
      <c r="D1846" s="27">
        <v>45826.0</v>
      </c>
      <c r="E1846" s="26" t="s">
        <v>1121</v>
      </c>
      <c r="F1846" s="26" t="s">
        <v>1200</v>
      </c>
    </row>
    <row r="1847">
      <c r="A1847" s="26" t="s">
        <v>1979</v>
      </c>
      <c r="B1847" s="26" t="s">
        <v>1853</v>
      </c>
      <c r="C1847" s="27">
        <v>45826.0</v>
      </c>
      <c r="D1847" s="27">
        <v>45826.0</v>
      </c>
      <c r="E1847" s="26" t="s">
        <v>1121</v>
      </c>
      <c r="F1847" s="26" t="s">
        <v>1200</v>
      </c>
    </row>
    <row r="1848">
      <c r="A1848" s="26" t="s">
        <v>1979</v>
      </c>
      <c r="B1848" s="26" t="s">
        <v>1853</v>
      </c>
      <c r="C1848" s="27">
        <v>45826.0</v>
      </c>
      <c r="D1848" s="27">
        <v>45826.0</v>
      </c>
      <c r="E1848" s="26" t="s">
        <v>1121</v>
      </c>
      <c r="F1848" s="26" t="s">
        <v>1200</v>
      </c>
    </row>
    <row r="1849">
      <c r="A1849" s="26" t="s">
        <v>1979</v>
      </c>
      <c r="B1849" s="26" t="s">
        <v>1853</v>
      </c>
      <c r="C1849" s="27">
        <v>45826.0</v>
      </c>
      <c r="D1849" s="27">
        <v>45826.0</v>
      </c>
      <c r="E1849" s="26" t="s">
        <v>1121</v>
      </c>
      <c r="F1849" s="26" t="s">
        <v>1200</v>
      </c>
    </row>
    <row r="1850">
      <c r="A1850" s="26" t="s">
        <v>1980</v>
      </c>
      <c r="B1850" s="26" t="s">
        <v>295</v>
      </c>
      <c r="C1850" s="27">
        <v>45826.0</v>
      </c>
      <c r="D1850" s="27">
        <v>45826.0</v>
      </c>
      <c r="E1850" s="26" t="s">
        <v>1121</v>
      </c>
      <c r="F1850" s="26" t="s">
        <v>1200</v>
      </c>
    </row>
    <row r="1851">
      <c r="A1851" s="26" t="s">
        <v>1980</v>
      </c>
      <c r="B1851" s="26" t="s">
        <v>295</v>
      </c>
      <c r="C1851" s="27">
        <v>45826.0</v>
      </c>
      <c r="D1851" s="27">
        <v>45826.0</v>
      </c>
      <c r="E1851" s="26" t="s">
        <v>1121</v>
      </c>
      <c r="F1851" s="26" t="s">
        <v>1200</v>
      </c>
    </row>
    <row r="1852">
      <c r="A1852" s="26" t="s">
        <v>1980</v>
      </c>
      <c r="B1852" s="26" t="s">
        <v>295</v>
      </c>
      <c r="C1852" s="27">
        <v>45826.0</v>
      </c>
      <c r="D1852" s="27">
        <v>45826.0</v>
      </c>
      <c r="E1852" s="26" t="s">
        <v>1121</v>
      </c>
      <c r="F1852" s="26" t="s">
        <v>1200</v>
      </c>
    </row>
    <row r="1853">
      <c r="A1853" s="26" t="s">
        <v>1981</v>
      </c>
      <c r="B1853" s="26" t="s">
        <v>736</v>
      </c>
      <c r="C1853" s="27">
        <v>45825.0</v>
      </c>
      <c r="D1853" s="27">
        <v>45825.0</v>
      </c>
      <c r="E1853" s="26" t="s">
        <v>1121</v>
      </c>
      <c r="F1853" s="26" t="s">
        <v>1200</v>
      </c>
    </row>
    <row r="1854">
      <c r="A1854" s="26" t="s">
        <v>1981</v>
      </c>
      <c r="B1854" s="26" t="s">
        <v>736</v>
      </c>
      <c r="C1854" s="27">
        <v>45825.0</v>
      </c>
      <c r="D1854" s="27">
        <v>45825.0</v>
      </c>
      <c r="E1854" s="26" t="s">
        <v>1121</v>
      </c>
      <c r="F1854" s="26" t="s">
        <v>1200</v>
      </c>
    </row>
    <row r="1855">
      <c r="A1855" s="26" t="s">
        <v>1981</v>
      </c>
      <c r="B1855" s="26" t="s">
        <v>736</v>
      </c>
      <c r="C1855" s="27">
        <v>45825.0</v>
      </c>
      <c r="D1855" s="27">
        <v>45825.0</v>
      </c>
      <c r="E1855" s="26" t="s">
        <v>1121</v>
      </c>
      <c r="F1855" s="26" t="s">
        <v>1200</v>
      </c>
    </row>
    <row r="1856">
      <c r="A1856" s="26" t="s">
        <v>1981</v>
      </c>
      <c r="B1856" s="26" t="s">
        <v>736</v>
      </c>
      <c r="C1856" s="27">
        <v>45825.0</v>
      </c>
      <c r="D1856" s="27">
        <v>45825.0</v>
      </c>
      <c r="E1856" s="26" t="s">
        <v>1121</v>
      </c>
      <c r="F1856" s="26" t="s">
        <v>1200</v>
      </c>
    </row>
    <row r="1857">
      <c r="A1857" s="26" t="s">
        <v>1981</v>
      </c>
      <c r="B1857" s="26" t="s">
        <v>736</v>
      </c>
      <c r="C1857" s="27">
        <v>45825.0</v>
      </c>
      <c r="D1857" s="27">
        <v>45825.0</v>
      </c>
      <c r="E1857" s="26" t="s">
        <v>1121</v>
      </c>
      <c r="F1857" s="26" t="s">
        <v>1200</v>
      </c>
    </row>
    <row r="1858">
      <c r="A1858" s="26" t="s">
        <v>1981</v>
      </c>
      <c r="B1858" s="26" t="s">
        <v>736</v>
      </c>
      <c r="C1858" s="27">
        <v>45825.0</v>
      </c>
      <c r="D1858" s="27">
        <v>45825.0</v>
      </c>
      <c r="E1858" s="26" t="s">
        <v>1121</v>
      </c>
      <c r="F1858" s="26" t="s">
        <v>1200</v>
      </c>
    </row>
    <row r="1859">
      <c r="A1859" s="26" t="s">
        <v>1981</v>
      </c>
      <c r="B1859" s="26" t="s">
        <v>736</v>
      </c>
      <c r="C1859" s="27">
        <v>45825.0</v>
      </c>
      <c r="D1859" s="27">
        <v>45825.0</v>
      </c>
      <c r="E1859" s="26" t="s">
        <v>1121</v>
      </c>
      <c r="F1859" s="26" t="s">
        <v>1200</v>
      </c>
    </row>
    <row r="1860">
      <c r="A1860" s="26" t="s">
        <v>1981</v>
      </c>
      <c r="B1860" s="26" t="s">
        <v>736</v>
      </c>
      <c r="C1860" s="27">
        <v>45825.0</v>
      </c>
      <c r="D1860" s="27">
        <v>45825.0</v>
      </c>
      <c r="E1860" s="26" t="s">
        <v>1121</v>
      </c>
      <c r="F1860" s="26" t="s">
        <v>1200</v>
      </c>
    </row>
    <row r="1861">
      <c r="A1861" s="26" t="s">
        <v>1981</v>
      </c>
      <c r="B1861" s="26" t="s">
        <v>736</v>
      </c>
      <c r="C1861" s="27">
        <v>45825.0</v>
      </c>
      <c r="D1861" s="27">
        <v>45825.0</v>
      </c>
      <c r="E1861" s="26" t="s">
        <v>1121</v>
      </c>
      <c r="F1861" s="26" t="s">
        <v>1200</v>
      </c>
    </row>
    <row r="1862">
      <c r="A1862" s="26" t="s">
        <v>1982</v>
      </c>
      <c r="B1862" s="26" t="s">
        <v>340</v>
      </c>
      <c r="C1862" s="27">
        <v>45824.0</v>
      </c>
      <c r="D1862" s="27">
        <v>45824.0</v>
      </c>
      <c r="E1862" s="26" t="s">
        <v>1121</v>
      </c>
      <c r="F1862" s="26" t="s">
        <v>1200</v>
      </c>
    </row>
    <row r="1863">
      <c r="A1863" s="26" t="s">
        <v>1982</v>
      </c>
      <c r="B1863" s="26" t="s">
        <v>340</v>
      </c>
      <c r="C1863" s="27">
        <v>45824.0</v>
      </c>
      <c r="D1863" s="27">
        <v>45824.0</v>
      </c>
      <c r="E1863" s="26" t="s">
        <v>1121</v>
      </c>
      <c r="F1863" s="26" t="s">
        <v>1200</v>
      </c>
    </row>
    <row r="1864">
      <c r="A1864" s="26" t="s">
        <v>1982</v>
      </c>
      <c r="B1864" s="26" t="s">
        <v>340</v>
      </c>
      <c r="C1864" s="27">
        <v>45824.0</v>
      </c>
      <c r="D1864" s="27">
        <v>45824.0</v>
      </c>
      <c r="E1864" s="26" t="s">
        <v>1121</v>
      </c>
      <c r="F1864" s="26" t="s">
        <v>1200</v>
      </c>
    </row>
    <row r="1865">
      <c r="A1865" s="26" t="s">
        <v>1982</v>
      </c>
      <c r="B1865" s="26" t="s">
        <v>340</v>
      </c>
      <c r="C1865" s="27">
        <v>45824.0</v>
      </c>
      <c r="D1865" s="27">
        <v>45824.0</v>
      </c>
      <c r="E1865" s="26" t="s">
        <v>1121</v>
      </c>
      <c r="F1865" s="26" t="s">
        <v>1200</v>
      </c>
    </row>
    <row r="1866">
      <c r="A1866" s="26" t="s">
        <v>1983</v>
      </c>
      <c r="B1866" s="26" t="s">
        <v>546</v>
      </c>
      <c r="C1866" s="27">
        <v>45824.0</v>
      </c>
      <c r="D1866" s="27">
        <v>45824.0</v>
      </c>
      <c r="E1866" s="26" t="s">
        <v>1121</v>
      </c>
      <c r="F1866" s="26" t="s">
        <v>1200</v>
      </c>
    </row>
    <row r="1867">
      <c r="A1867" s="26" t="s">
        <v>1983</v>
      </c>
      <c r="B1867" s="26" t="s">
        <v>546</v>
      </c>
      <c r="C1867" s="27">
        <v>45824.0</v>
      </c>
      <c r="D1867" s="27">
        <v>45824.0</v>
      </c>
      <c r="E1867" s="26" t="s">
        <v>1121</v>
      </c>
      <c r="F1867" s="26" t="s">
        <v>1200</v>
      </c>
    </row>
    <row r="1868">
      <c r="A1868" s="26" t="s">
        <v>1984</v>
      </c>
      <c r="B1868" s="26" t="s">
        <v>483</v>
      </c>
      <c r="C1868" s="27">
        <v>45824.0</v>
      </c>
      <c r="D1868" s="27">
        <v>45824.0</v>
      </c>
      <c r="E1868" s="26" t="s">
        <v>1121</v>
      </c>
      <c r="F1868" s="26" t="s">
        <v>1200</v>
      </c>
    </row>
    <row r="1869">
      <c r="A1869" s="26" t="s">
        <v>1985</v>
      </c>
      <c r="B1869" s="26" t="s">
        <v>1258</v>
      </c>
      <c r="C1869" s="27">
        <v>45824.0</v>
      </c>
      <c r="D1869" s="27">
        <v>45824.0</v>
      </c>
      <c r="E1869" s="26" t="s">
        <v>1121</v>
      </c>
      <c r="F1869" s="26" t="s">
        <v>1200</v>
      </c>
    </row>
    <row r="1870">
      <c r="A1870" s="26" t="s">
        <v>1985</v>
      </c>
      <c r="B1870" s="26" t="s">
        <v>1258</v>
      </c>
      <c r="C1870" s="27">
        <v>45824.0</v>
      </c>
      <c r="D1870" s="27">
        <v>45824.0</v>
      </c>
      <c r="E1870" s="26" t="s">
        <v>1121</v>
      </c>
      <c r="F1870" s="26" t="s">
        <v>1200</v>
      </c>
    </row>
    <row r="1871">
      <c r="A1871" s="26" t="s">
        <v>1985</v>
      </c>
      <c r="B1871" s="26" t="s">
        <v>1258</v>
      </c>
      <c r="C1871" s="27">
        <v>45824.0</v>
      </c>
      <c r="D1871" s="27">
        <v>45824.0</v>
      </c>
      <c r="E1871" s="26" t="s">
        <v>1121</v>
      </c>
      <c r="F1871" s="26" t="s">
        <v>1200</v>
      </c>
    </row>
    <row r="1872">
      <c r="A1872" s="26" t="s">
        <v>1985</v>
      </c>
      <c r="B1872" s="26" t="s">
        <v>1258</v>
      </c>
      <c r="C1872" s="27">
        <v>45824.0</v>
      </c>
      <c r="D1872" s="27">
        <v>45824.0</v>
      </c>
      <c r="E1872" s="26" t="s">
        <v>1121</v>
      </c>
      <c r="F1872" s="26" t="s">
        <v>1200</v>
      </c>
    </row>
    <row r="1873">
      <c r="A1873" s="26" t="s">
        <v>1985</v>
      </c>
      <c r="B1873" s="26" t="s">
        <v>1258</v>
      </c>
      <c r="C1873" s="27">
        <v>45824.0</v>
      </c>
      <c r="D1873" s="27">
        <v>45824.0</v>
      </c>
      <c r="E1873" s="26" t="s">
        <v>1121</v>
      </c>
      <c r="F1873" s="26" t="s">
        <v>1200</v>
      </c>
    </row>
    <row r="1874">
      <c r="A1874" s="26" t="s">
        <v>1985</v>
      </c>
      <c r="B1874" s="26" t="s">
        <v>1258</v>
      </c>
      <c r="C1874" s="27">
        <v>45824.0</v>
      </c>
      <c r="D1874" s="27">
        <v>45824.0</v>
      </c>
      <c r="E1874" s="26" t="s">
        <v>1121</v>
      </c>
      <c r="F1874" s="26" t="s">
        <v>1200</v>
      </c>
    </row>
    <row r="1875">
      <c r="A1875" s="26" t="s">
        <v>1985</v>
      </c>
      <c r="B1875" s="26" t="s">
        <v>1258</v>
      </c>
      <c r="C1875" s="27">
        <v>45824.0</v>
      </c>
      <c r="D1875" s="27">
        <v>45824.0</v>
      </c>
      <c r="E1875" s="26" t="s">
        <v>1121</v>
      </c>
      <c r="F1875" s="26" t="s">
        <v>1200</v>
      </c>
    </row>
    <row r="1876">
      <c r="A1876" s="26" t="s">
        <v>1985</v>
      </c>
      <c r="B1876" s="26" t="s">
        <v>1258</v>
      </c>
      <c r="C1876" s="27">
        <v>45824.0</v>
      </c>
      <c r="D1876" s="27">
        <v>45824.0</v>
      </c>
      <c r="E1876" s="26" t="s">
        <v>1121</v>
      </c>
      <c r="F1876" s="26" t="s">
        <v>1200</v>
      </c>
    </row>
    <row r="1877">
      <c r="A1877" s="26" t="s">
        <v>1986</v>
      </c>
      <c r="B1877" s="26" t="s">
        <v>1987</v>
      </c>
      <c r="C1877" s="27">
        <v>45824.0</v>
      </c>
      <c r="D1877" s="27">
        <v>45824.0</v>
      </c>
      <c r="E1877" s="26" t="s">
        <v>1121</v>
      </c>
      <c r="F1877" s="26" t="s">
        <v>1200</v>
      </c>
    </row>
    <row r="1878">
      <c r="A1878" s="26" t="s">
        <v>1986</v>
      </c>
      <c r="B1878" s="26" t="s">
        <v>1987</v>
      </c>
      <c r="C1878" s="27">
        <v>45824.0</v>
      </c>
      <c r="D1878" s="27">
        <v>45824.0</v>
      </c>
      <c r="E1878" s="26" t="s">
        <v>1121</v>
      </c>
      <c r="F1878" s="26" t="s">
        <v>1200</v>
      </c>
    </row>
    <row r="1879">
      <c r="A1879" s="26" t="s">
        <v>1986</v>
      </c>
      <c r="B1879" s="26" t="s">
        <v>1987</v>
      </c>
      <c r="C1879" s="27">
        <v>45824.0</v>
      </c>
      <c r="D1879" s="27">
        <v>45824.0</v>
      </c>
      <c r="E1879" s="26" t="s">
        <v>1121</v>
      </c>
      <c r="F1879" s="26" t="s">
        <v>1200</v>
      </c>
    </row>
    <row r="1880">
      <c r="A1880" s="26" t="s">
        <v>1986</v>
      </c>
      <c r="B1880" s="26" t="s">
        <v>1987</v>
      </c>
      <c r="C1880" s="27">
        <v>45824.0</v>
      </c>
      <c r="D1880" s="27">
        <v>45824.0</v>
      </c>
      <c r="E1880" s="26" t="s">
        <v>1121</v>
      </c>
      <c r="F1880" s="26" t="s">
        <v>1200</v>
      </c>
    </row>
    <row r="1881">
      <c r="A1881" s="26" t="s">
        <v>1988</v>
      </c>
      <c r="B1881" s="26" t="s">
        <v>444</v>
      </c>
      <c r="C1881" s="27">
        <v>45824.0</v>
      </c>
      <c r="D1881" s="27">
        <v>45824.0</v>
      </c>
      <c r="E1881" s="26" t="s">
        <v>1121</v>
      </c>
      <c r="F1881" s="26" t="s">
        <v>1200</v>
      </c>
    </row>
    <row r="1882">
      <c r="A1882" s="26" t="s">
        <v>1988</v>
      </c>
      <c r="B1882" s="26" t="s">
        <v>444</v>
      </c>
      <c r="C1882" s="27">
        <v>45824.0</v>
      </c>
      <c r="D1882" s="27">
        <v>45824.0</v>
      </c>
      <c r="E1882" s="26" t="s">
        <v>1121</v>
      </c>
      <c r="F1882" s="26" t="s">
        <v>1200</v>
      </c>
    </row>
    <row r="1883">
      <c r="A1883" s="26" t="s">
        <v>1989</v>
      </c>
      <c r="B1883" s="26" t="s">
        <v>516</v>
      </c>
      <c r="C1883" s="27">
        <v>45824.0</v>
      </c>
      <c r="D1883" s="27">
        <v>45824.0</v>
      </c>
      <c r="E1883" s="26" t="s">
        <v>1121</v>
      </c>
      <c r="F1883" s="26" t="s">
        <v>1200</v>
      </c>
    </row>
    <row r="1884">
      <c r="A1884" s="26" t="s">
        <v>1989</v>
      </c>
      <c r="B1884" s="26" t="s">
        <v>516</v>
      </c>
      <c r="C1884" s="27">
        <v>45824.0</v>
      </c>
      <c r="D1884" s="27">
        <v>45824.0</v>
      </c>
      <c r="E1884" s="26" t="s">
        <v>1121</v>
      </c>
      <c r="F1884" s="26" t="s">
        <v>1200</v>
      </c>
    </row>
    <row r="1885">
      <c r="A1885" s="26" t="s">
        <v>1989</v>
      </c>
      <c r="B1885" s="26" t="s">
        <v>516</v>
      </c>
      <c r="C1885" s="27">
        <v>45824.0</v>
      </c>
      <c r="D1885" s="27">
        <v>45824.0</v>
      </c>
      <c r="E1885" s="26" t="s">
        <v>1121</v>
      </c>
      <c r="F1885" s="26" t="s">
        <v>1200</v>
      </c>
    </row>
    <row r="1886">
      <c r="A1886" s="26" t="s">
        <v>1990</v>
      </c>
      <c r="B1886" s="26" t="s">
        <v>546</v>
      </c>
      <c r="C1886" s="27">
        <v>45822.0</v>
      </c>
      <c r="D1886" s="27">
        <v>45822.0</v>
      </c>
      <c r="E1886" s="26" t="s">
        <v>1121</v>
      </c>
      <c r="F1886" s="26" t="s">
        <v>1200</v>
      </c>
    </row>
    <row r="1887">
      <c r="A1887" s="26" t="s">
        <v>1991</v>
      </c>
      <c r="B1887" s="26" t="s">
        <v>1766</v>
      </c>
      <c r="C1887" s="27">
        <v>45822.0</v>
      </c>
      <c r="D1887" s="27">
        <v>45822.0</v>
      </c>
      <c r="E1887" s="26" t="s">
        <v>1121</v>
      </c>
      <c r="F1887" s="26" t="s">
        <v>1200</v>
      </c>
    </row>
    <row r="1888">
      <c r="A1888" s="26" t="s">
        <v>1992</v>
      </c>
      <c r="B1888" s="26" t="s">
        <v>444</v>
      </c>
      <c r="C1888" s="27">
        <v>45822.0</v>
      </c>
      <c r="D1888" s="27">
        <v>45822.0</v>
      </c>
      <c r="E1888" s="26" t="s">
        <v>1121</v>
      </c>
      <c r="F1888" s="26" t="s">
        <v>1200</v>
      </c>
    </row>
    <row r="1889">
      <c r="A1889" s="26" t="s">
        <v>1992</v>
      </c>
      <c r="B1889" s="26" t="s">
        <v>444</v>
      </c>
      <c r="C1889" s="27">
        <v>45822.0</v>
      </c>
      <c r="D1889" s="27">
        <v>45822.0</v>
      </c>
      <c r="E1889" s="26" t="s">
        <v>1121</v>
      </c>
      <c r="F1889" s="26" t="s">
        <v>1200</v>
      </c>
    </row>
    <row r="1890">
      <c r="A1890" s="26" t="s">
        <v>1992</v>
      </c>
      <c r="B1890" s="26" t="s">
        <v>444</v>
      </c>
      <c r="C1890" s="27">
        <v>45822.0</v>
      </c>
      <c r="D1890" s="27">
        <v>45822.0</v>
      </c>
      <c r="E1890" s="26" t="s">
        <v>1121</v>
      </c>
      <c r="F1890" s="26" t="s">
        <v>1200</v>
      </c>
    </row>
    <row r="1891">
      <c r="A1891" s="26" t="s">
        <v>1992</v>
      </c>
      <c r="B1891" s="26" t="s">
        <v>444</v>
      </c>
      <c r="C1891" s="27">
        <v>45822.0</v>
      </c>
      <c r="D1891" s="27">
        <v>45822.0</v>
      </c>
      <c r="E1891" s="26" t="s">
        <v>1121</v>
      </c>
      <c r="F1891" s="26" t="s">
        <v>1200</v>
      </c>
    </row>
    <row r="1892">
      <c r="A1892" s="26" t="s">
        <v>1993</v>
      </c>
      <c r="B1892" s="26" t="s">
        <v>467</v>
      </c>
      <c r="C1892" s="27">
        <v>45821.0</v>
      </c>
      <c r="D1892" s="27">
        <v>45821.0</v>
      </c>
      <c r="E1892" s="26" t="s">
        <v>1121</v>
      </c>
      <c r="F1892" s="26" t="s">
        <v>1200</v>
      </c>
    </row>
    <row r="1893">
      <c r="A1893" s="26" t="s">
        <v>1993</v>
      </c>
      <c r="B1893" s="26" t="s">
        <v>467</v>
      </c>
      <c r="C1893" s="27">
        <v>45821.0</v>
      </c>
      <c r="D1893" s="27">
        <v>45821.0</v>
      </c>
      <c r="E1893" s="26" t="s">
        <v>1121</v>
      </c>
      <c r="F1893" s="26" t="s">
        <v>1200</v>
      </c>
    </row>
    <row r="1894">
      <c r="A1894" s="26" t="s">
        <v>1994</v>
      </c>
      <c r="B1894" s="26" t="s">
        <v>424</v>
      </c>
      <c r="C1894" s="27">
        <v>45821.0</v>
      </c>
      <c r="D1894" s="27">
        <v>45821.0</v>
      </c>
      <c r="E1894" s="26" t="s">
        <v>1121</v>
      </c>
      <c r="F1894" s="26" t="s">
        <v>1200</v>
      </c>
    </row>
    <row r="1895">
      <c r="A1895" s="26" t="s">
        <v>1995</v>
      </c>
      <c r="B1895" s="26" t="s">
        <v>416</v>
      </c>
      <c r="C1895" s="27">
        <v>45821.0</v>
      </c>
      <c r="D1895" s="27">
        <v>45821.0</v>
      </c>
      <c r="E1895" s="26" t="s">
        <v>1121</v>
      </c>
      <c r="F1895" s="26" t="s">
        <v>1200</v>
      </c>
    </row>
    <row r="1896">
      <c r="A1896" s="26" t="s">
        <v>1996</v>
      </c>
      <c r="B1896" s="26" t="s">
        <v>483</v>
      </c>
      <c r="C1896" s="27">
        <v>45821.0</v>
      </c>
      <c r="D1896" s="27">
        <v>45821.0</v>
      </c>
      <c r="E1896" s="26" t="s">
        <v>1121</v>
      </c>
      <c r="F1896" s="26" t="s">
        <v>1200</v>
      </c>
    </row>
    <row r="1897">
      <c r="A1897" s="26" t="s">
        <v>1997</v>
      </c>
      <c r="B1897" s="26" t="s">
        <v>631</v>
      </c>
      <c r="C1897" s="27">
        <v>45820.0</v>
      </c>
      <c r="D1897" s="27">
        <v>45820.0</v>
      </c>
      <c r="E1897" s="26" t="s">
        <v>1121</v>
      </c>
      <c r="F1897" s="26" t="s">
        <v>1200</v>
      </c>
    </row>
    <row r="1898">
      <c r="A1898" s="26" t="s">
        <v>1998</v>
      </c>
      <c r="B1898" s="26" t="s">
        <v>776</v>
      </c>
      <c r="C1898" s="27">
        <v>45819.0</v>
      </c>
      <c r="D1898" s="27">
        <v>45819.0</v>
      </c>
      <c r="E1898" s="26" t="s">
        <v>1121</v>
      </c>
      <c r="F1898" s="26" t="s">
        <v>1200</v>
      </c>
    </row>
    <row r="1899">
      <c r="A1899" s="26" t="s">
        <v>1998</v>
      </c>
      <c r="B1899" s="26" t="s">
        <v>776</v>
      </c>
      <c r="C1899" s="27">
        <v>45819.0</v>
      </c>
      <c r="D1899" s="27">
        <v>45819.0</v>
      </c>
      <c r="E1899" s="26" t="s">
        <v>1121</v>
      </c>
      <c r="F1899" s="26" t="s">
        <v>1200</v>
      </c>
    </row>
    <row r="1900">
      <c r="A1900" s="26" t="s">
        <v>1998</v>
      </c>
      <c r="B1900" s="26" t="s">
        <v>776</v>
      </c>
      <c r="C1900" s="27">
        <v>45819.0</v>
      </c>
      <c r="D1900" s="27">
        <v>45819.0</v>
      </c>
      <c r="E1900" s="26" t="s">
        <v>1121</v>
      </c>
      <c r="F1900" s="26" t="s">
        <v>1200</v>
      </c>
    </row>
    <row r="1901">
      <c r="A1901" s="26" t="s">
        <v>1998</v>
      </c>
      <c r="B1901" s="26" t="s">
        <v>776</v>
      </c>
      <c r="C1901" s="27">
        <v>45819.0</v>
      </c>
      <c r="D1901" s="27">
        <v>45819.0</v>
      </c>
      <c r="E1901" s="26" t="s">
        <v>1121</v>
      </c>
      <c r="F1901" s="26" t="s">
        <v>1200</v>
      </c>
    </row>
    <row r="1902">
      <c r="A1902" s="26" t="s">
        <v>1999</v>
      </c>
      <c r="B1902" s="26" t="s">
        <v>432</v>
      </c>
      <c r="C1902" s="27">
        <v>45818.0</v>
      </c>
      <c r="D1902" s="27">
        <v>45818.0</v>
      </c>
      <c r="E1902" s="26" t="s">
        <v>1121</v>
      </c>
      <c r="F1902" s="26" t="s">
        <v>1200</v>
      </c>
    </row>
    <row r="1903">
      <c r="A1903" s="26" t="s">
        <v>1999</v>
      </c>
      <c r="B1903" s="26" t="s">
        <v>432</v>
      </c>
      <c r="C1903" s="27">
        <v>45818.0</v>
      </c>
      <c r="D1903" s="27">
        <v>45818.0</v>
      </c>
      <c r="E1903" s="26" t="s">
        <v>1121</v>
      </c>
      <c r="F1903" s="26" t="s">
        <v>1200</v>
      </c>
    </row>
    <row r="1904">
      <c r="A1904" s="26" t="s">
        <v>2000</v>
      </c>
      <c r="B1904" s="26" t="s">
        <v>745</v>
      </c>
      <c r="C1904" s="27">
        <v>45818.0</v>
      </c>
      <c r="D1904" s="27">
        <v>45818.0</v>
      </c>
      <c r="E1904" s="26" t="s">
        <v>1121</v>
      </c>
      <c r="F1904" s="26" t="s">
        <v>1200</v>
      </c>
    </row>
    <row r="1905">
      <c r="A1905" s="26" t="s">
        <v>2000</v>
      </c>
      <c r="B1905" s="26" t="s">
        <v>745</v>
      </c>
      <c r="C1905" s="27">
        <v>45818.0</v>
      </c>
      <c r="D1905" s="27">
        <v>45818.0</v>
      </c>
      <c r="E1905" s="26" t="s">
        <v>1121</v>
      </c>
      <c r="F1905" s="26" t="s">
        <v>1200</v>
      </c>
    </row>
    <row r="1906">
      <c r="A1906" s="26" t="s">
        <v>2000</v>
      </c>
      <c r="B1906" s="26" t="s">
        <v>745</v>
      </c>
      <c r="C1906" s="27">
        <v>45818.0</v>
      </c>
      <c r="D1906" s="27">
        <v>45818.0</v>
      </c>
      <c r="E1906" s="26" t="s">
        <v>1121</v>
      </c>
      <c r="F1906" s="26" t="s">
        <v>1200</v>
      </c>
    </row>
    <row r="1907">
      <c r="A1907" s="26" t="s">
        <v>2000</v>
      </c>
      <c r="B1907" s="26" t="s">
        <v>745</v>
      </c>
      <c r="C1907" s="27">
        <v>45818.0</v>
      </c>
      <c r="D1907" s="27">
        <v>45818.0</v>
      </c>
      <c r="E1907" s="26" t="s">
        <v>1121</v>
      </c>
      <c r="F1907" s="26" t="s">
        <v>1200</v>
      </c>
    </row>
    <row r="1908">
      <c r="A1908" s="26" t="s">
        <v>2000</v>
      </c>
      <c r="B1908" s="26" t="s">
        <v>745</v>
      </c>
      <c r="C1908" s="27">
        <v>45818.0</v>
      </c>
      <c r="D1908" s="27">
        <v>45818.0</v>
      </c>
      <c r="E1908" s="26" t="s">
        <v>1121</v>
      </c>
      <c r="F1908" s="26" t="s">
        <v>1200</v>
      </c>
    </row>
    <row r="1909">
      <c r="A1909" s="26" t="s">
        <v>2000</v>
      </c>
      <c r="B1909" s="26" t="s">
        <v>745</v>
      </c>
      <c r="C1909" s="27">
        <v>45818.0</v>
      </c>
      <c r="D1909" s="27">
        <v>45818.0</v>
      </c>
      <c r="E1909" s="26" t="s">
        <v>1121</v>
      </c>
      <c r="F1909" s="26" t="s">
        <v>1200</v>
      </c>
    </row>
    <row r="1910">
      <c r="A1910" s="26" t="s">
        <v>2000</v>
      </c>
      <c r="B1910" s="26" t="s">
        <v>745</v>
      </c>
      <c r="C1910" s="27">
        <v>45818.0</v>
      </c>
      <c r="D1910" s="27">
        <v>45818.0</v>
      </c>
      <c r="E1910" s="26" t="s">
        <v>1121</v>
      </c>
      <c r="F1910" s="26" t="s">
        <v>1200</v>
      </c>
    </row>
    <row r="1911">
      <c r="A1911" s="26" t="s">
        <v>2000</v>
      </c>
      <c r="B1911" s="26" t="s">
        <v>745</v>
      </c>
      <c r="C1911" s="27">
        <v>45818.0</v>
      </c>
      <c r="D1911" s="27">
        <v>45818.0</v>
      </c>
      <c r="E1911" s="26" t="s">
        <v>1121</v>
      </c>
      <c r="F1911" s="26" t="s">
        <v>1200</v>
      </c>
    </row>
    <row r="1912">
      <c r="A1912" s="26" t="s">
        <v>2000</v>
      </c>
      <c r="B1912" s="26" t="s">
        <v>745</v>
      </c>
      <c r="C1912" s="27">
        <v>45818.0</v>
      </c>
      <c r="D1912" s="27">
        <v>45818.0</v>
      </c>
      <c r="E1912" s="26" t="s">
        <v>1121</v>
      </c>
      <c r="F1912" s="26" t="s">
        <v>1200</v>
      </c>
    </row>
    <row r="1913">
      <c r="A1913" s="26" t="s">
        <v>2000</v>
      </c>
      <c r="B1913" s="26" t="s">
        <v>745</v>
      </c>
      <c r="C1913" s="27">
        <v>45818.0</v>
      </c>
      <c r="D1913" s="27">
        <v>45818.0</v>
      </c>
      <c r="E1913" s="26" t="s">
        <v>1121</v>
      </c>
      <c r="F1913" s="26" t="s">
        <v>1200</v>
      </c>
    </row>
    <row r="1914">
      <c r="A1914" s="26" t="s">
        <v>2000</v>
      </c>
      <c r="B1914" s="26" t="s">
        <v>745</v>
      </c>
      <c r="C1914" s="27">
        <v>45818.0</v>
      </c>
      <c r="D1914" s="27">
        <v>45818.0</v>
      </c>
      <c r="E1914" s="26" t="s">
        <v>1121</v>
      </c>
      <c r="F1914" s="26" t="s">
        <v>1200</v>
      </c>
    </row>
    <row r="1915">
      <c r="A1915" s="26" t="s">
        <v>2000</v>
      </c>
      <c r="B1915" s="26" t="s">
        <v>745</v>
      </c>
      <c r="C1915" s="27">
        <v>45818.0</v>
      </c>
      <c r="D1915" s="27">
        <v>45818.0</v>
      </c>
      <c r="E1915" s="26" t="s">
        <v>1121</v>
      </c>
      <c r="F1915" s="26" t="s">
        <v>1200</v>
      </c>
    </row>
    <row r="1916">
      <c r="A1916" s="26" t="s">
        <v>2000</v>
      </c>
      <c r="B1916" s="26" t="s">
        <v>745</v>
      </c>
      <c r="C1916" s="27">
        <v>45818.0</v>
      </c>
      <c r="D1916" s="27">
        <v>45818.0</v>
      </c>
      <c r="E1916" s="26" t="s">
        <v>1121</v>
      </c>
      <c r="F1916" s="26" t="s">
        <v>1200</v>
      </c>
    </row>
    <row r="1917">
      <c r="A1917" s="26" t="s">
        <v>2000</v>
      </c>
      <c r="B1917" s="26" t="s">
        <v>745</v>
      </c>
      <c r="C1917" s="27">
        <v>45818.0</v>
      </c>
      <c r="D1917" s="27">
        <v>45818.0</v>
      </c>
      <c r="E1917" s="26" t="s">
        <v>1121</v>
      </c>
      <c r="F1917" s="26" t="s">
        <v>1200</v>
      </c>
    </row>
    <row r="1918">
      <c r="A1918" s="26" t="s">
        <v>2000</v>
      </c>
      <c r="B1918" s="26" t="s">
        <v>745</v>
      </c>
      <c r="C1918" s="27">
        <v>45818.0</v>
      </c>
      <c r="D1918" s="27">
        <v>45818.0</v>
      </c>
      <c r="E1918" s="26" t="s">
        <v>1121</v>
      </c>
      <c r="F1918" s="26" t="s">
        <v>1200</v>
      </c>
    </row>
    <row r="1919">
      <c r="A1919" s="26" t="s">
        <v>2000</v>
      </c>
      <c r="B1919" s="26" t="s">
        <v>745</v>
      </c>
      <c r="C1919" s="27">
        <v>45818.0</v>
      </c>
      <c r="D1919" s="27">
        <v>45818.0</v>
      </c>
      <c r="E1919" s="26" t="s">
        <v>1121</v>
      </c>
      <c r="F1919" s="26" t="s">
        <v>1200</v>
      </c>
    </row>
    <row r="1920">
      <c r="A1920" s="26" t="s">
        <v>2000</v>
      </c>
      <c r="B1920" s="26" t="s">
        <v>745</v>
      </c>
      <c r="C1920" s="27">
        <v>45818.0</v>
      </c>
      <c r="D1920" s="27">
        <v>45818.0</v>
      </c>
      <c r="E1920" s="26" t="s">
        <v>1121</v>
      </c>
      <c r="F1920" s="26" t="s">
        <v>1200</v>
      </c>
    </row>
    <row r="1921">
      <c r="A1921" s="26" t="s">
        <v>2000</v>
      </c>
      <c r="B1921" s="26" t="s">
        <v>745</v>
      </c>
      <c r="C1921" s="27">
        <v>45818.0</v>
      </c>
      <c r="D1921" s="27">
        <v>45818.0</v>
      </c>
      <c r="E1921" s="26" t="s">
        <v>1121</v>
      </c>
      <c r="F1921" s="26" t="s">
        <v>1200</v>
      </c>
    </row>
    <row r="1922">
      <c r="A1922" s="26" t="s">
        <v>2000</v>
      </c>
      <c r="B1922" s="26" t="s">
        <v>745</v>
      </c>
      <c r="C1922" s="27">
        <v>45818.0</v>
      </c>
      <c r="D1922" s="27">
        <v>45818.0</v>
      </c>
      <c r="E1922" s="26" t="s">
        <v>1121</v>
      </c>
      <c r="F1922" s="26" t="s">
        <v>1200</v>
      </c>
    </row>
    <row r="1923">
      <c r="A1923" s="26" t="s">
        <v>2001</v>
      </c>
      <c r="B1923" s="26" t="s">
        <v>512</v>
      </c>
      <c r="C1923" s="27">
        <v>45818.0</v>
      </c>
      <c r="D1923" s="27">
        <v>45818.0</v>
      </c>
      <c r="E1923" s="26" t="s">
        <v>1121</v>
      </c>
      <c r="F1923" s="26" t="s">
        <v>1200</v>
      </c>
    </row>
    <row r="1924">
      <c r="A1924" s="26" t="s">
        <v>2001</v>
      </c>
      <c r="B1924" s="26" t="s">
        <v>512</v>
      </c>
      <c r="C1924" s="27">
        <v>45818.0</v>
      </c>
      <c r="D1924" s="27">
        <v>45818.0</v>
      </c>
      <c r="E1924" s="26" t="s">
        <v>1121</v>
      </c>
      <c r="F1924" s="26" t="s">
        <v>1200</v>
      </c>
    </row>
    <row r="1925">
      <c r="A1925" s="26" t="s">
        <v>2002</v>
      </c>
      <c r="B1925" s="26" t="s">
        <v>542</v>
      </c>
      <c r="C1925" s="27">
        <v>45818.0</v>
      </c>
      <c r="D1925" s="27">
        <v>45818.0</v>
      </c>
      <c r="E1925" s="26" t="s">
        <v>1121</v>
      </c>
      <c r="F1925" s="26" t="s">
        <v>1200</v>
      </c>
    </row>
    <row r="1926">
      <c r="A1926" s="26" t="s">
        <v>2002</v>
      </c>
      <c r="B1926" s="26" t="s">
        <v>542</v>
      </c>
      <c r="C1926" s="27">
        <v>45818.0</v>
      </c>
      <c r="D1926" s="27">
        <v>45818.0</v>
      </c>
      <c r="E1926" s="26" t="s">
        <v>1121</v>
      </c>
      <c r="F1926" s="26" t="s">
        <v>1200</v>
      </c>
    </row>
    <row r="1927">
      <c r="A1927" s="26" t="s">
        <v>2002</v>
      </c>
      <c r="B1927" s="26" t="s">
        <v>542</v>
      </c>
      <c r="C1927" s="27">
        <v>45818.0</v>
      </c>
      <c r="D1927" s="27">
        <v>45818.0</v>
      </c>
      <c r="E1927" s="26" t="s">
        <v>1121</v>
      </c>
      <c r="F1927" s="26" t="s">
        <v>1200</v>
      </c>
    </row>
    <row r="1928">
      <c r="A1928" s="26" t="s">
        <v>2003</v>
      </c>
      <c r="B1928" s="26" t="s">
        <v>624</v>
      </c>
      <c r="C1928" s="27">
        <v>45818.0</v>
      </c>
      <c r="D1928" s="27">
        <v>45818.0</v>
      </c>
      <c r="E1928" s="26" t="s">
        <v>1121</v>
      </c>
      <c r="F1928" s="26" t="s">
        <v>1200</v>
      </c>
    </row>
    <row r="1929">
      <c r="A1929" s="26" t="s">
        <v>2003</v>
      </c>
      <c r="B1929" s="26" t="s">
        <v>624</v>
      </c>
      <c r="C1929" s="27">
        <v>45818.0</v>
      </c>
      <c r="D1929" s="27">
        <v>45818.0</v>
      </c>
      <c r="E1929" s="26" t="s">
        <v>1121</v>
      </c>
      <c r="F1929" s="26" t="s">
        <v>1200</v>
      </c>
    </row>
    <row r="1930">
      <c r="A1930" s="26" t="s">
        <v>2003</v>
      </c>
      <c r="B1930" s="26" t="s">
        <v>624</v>
      </c>
      <c r="C1930" s="27">
        <v>45818.0</v>
      </c>
      <c r="D1930" s="27">
        <v>45818.0</v>
      </c>
      <c r="E1930" s="26" t="s">
        <v>1121</v>
      </c>
      <c r="F1930" s="26" t="s">
        <v>1200</v>
      </c>
    </row>
    <row r="1931">
      <c r="A1931" s="26" t="s">
        <v>2003</v>
      </c>
      <c r="B1931" s="26" t="s">
        <v>624</v>
      </c>
      <c r="C1931" s="27">
        <v>45818.0</v>
      </c>
      <c r="D1931" s="27">
        <v>45818.0</v>
      </c>
      <c r="E1931" s="26" t="s">
        <v>1121</v>
      </c>
      <c r="F1931" s="26" t="s">
        <v>1200</v>
      </c>
    </row>
    <row r="1932">
      <c r="A1932" s="26" t="s">
        <v>2004</v>
      </c>
      <c r="B1932" s="26" t="s">
        <v>379</v>
      </c>
      <c r="C1932" s="27">
        <v>45817.0</v>
      </c>
      <c r="D1932" s="27">
        <v>45817.0</v>
      </c>
      <c r="E1932" s="26" t="s">
        <v>1121</v>
      </c>
      <c r="F1932" s="26" t="s">
        <v>1200</v>
      </c>
    </row>
    <row r="1933">
      <c r="A1933" s="26" t="s">
        <v>2004</v>
      </c>
      <c r="B1933" s="26" t="s">
        <v>379</v>
      </c>
      <c r="C1933" s="27">
        <v>45817.0</v>
      </c>
      <c r="D1933" s="27">
        <v>45817.0</v>
      </c>
      <c r="E1933" s="26" t="s">
        <v>1121</v>
      </c>
      <c r="F1933" s="26" t="s">
        <v>1200</v>
      </c>
    </row>
    <row r="1934">
      <c r="A1934" s="26" t="s">
        <v>2004</v>
      </c>
      <c r="B1934" s="26" t="s">
        <v>379</v>
      </c>
      <c r="C1934" s="27">
        <v>45817.0</v>
      </c>
      <c r="D1934" s="27">
        <v>45817.0</v>
      </c>
      <c r="E1934" s="26" t="s">
        <v>1121</v>
      </c>
      <c r="F1934" s="26" t="s">
        <v>1200</v>
      </c>
    </row>
    <row r="1935">
      <c r="A1935" s="26" t="s">
        <v>2005</v>
      </c>
      <c r="B1935" s="26" t="s">
        <v>467</v>
      </c>
      <c r="C1935" s="27">
        <v>45817.0</v>
      </c>
      <c r="D1935" s="27">
        <v>45817.0</v>
      </c>
      <c r="E1935" s="26" t="s">
        <v>1121</v>
      </c>
      <c r="F1935" s="26" t="s">
        <v>1200</v>
      </c>
    </row>
    <row r="1936">
      <c r="A1936" s="26" t="s">
        <v>2006</v>
      </c>
      <c r="B1936" s="26" t="s">
        <v>444</v>
      </c>
      <c r="C1936" s="27">
        <v>45817.0</v>
      </c>
      <c r="D1936" s="27">
        <v>45817.0</v>
      </c>
      <c r="E1936" s="26" t="s">
        <v>1121</v>
      </c>
      <c r="F1936" s="26" t="s">
        <v>1200</v>
      </c>
    </row>
    <row r="1937">
      <c r="A1937" s="26" t="s">
        <v>2007</v>
      </c>
      <c r="B1937" s="26" t="s">
        <v>595</v>
      </c>
      <c r="C1937" s="27">
        <v>45817.0</v>
      </c>
      <c r="D1937" s="27">
        <v>45817.0</v>
      </c>
      <c r="E1937" s="26" t="s">
        <v>1121</v>
      </c>
      <c r="F1937" s="26" t="s">
        <v>1200</v>
      </c>
    </row>
    <row r="1938">
      <c r="A1938" s="26" t="s">
        <v>2007</v>
      </c>
      <c r="B1938" s="26" t="s">
        <v>595</v>
      </c>
      <c r="C1938" s="27">
        <v>45817.0</v>
      </c>
      <c r="D1938" s="27">
        <v>45817.0</v>
      </c>
      <c r="E1938" s="26" t="s">
        <v>1121</v>
      </c>
      <c r="F1938" s="26" t="s">
        <v>1200</v>
      </c>
    </row>
    <row r="1939">
      <c r="A1939" s="26" t="s">
        <v>2008</v>
      </c>
      <c r="B1939" s="26" t="s">
        <v>2009</v>
      </c>
      <c r="C1939" s="27">
        <v>45817.0</v>
      </c>
      <c r="D1939" s="27">
        <v>45817.0</v>
      </c>
      <c r="E1939" s="26" t="s">
        <v>1121</v>
      </c>
      <c r="F1939" s="26" t="s">
        <v>1200</v>
      </c>
    </row>
    <row r="1940">
      <c r="A1940" s="26" t="s">
        <v>2008</v>
      </c>
      <c r="B1940" s="26" t="s">
        <v>2009</v>
      </c>
      <c r="C1940" s="27">
        <v>45817.0</v>
      </c>
      <c r="D1940" s="27">
        <v>45817.0</v>
      </c>
      <c r="E1940" s="26" t="s">
        <v>1121</v>
      </c>
      <c r="F1940" s="26" t="s">
        <v>1200</v>
      </c>
    </row>
    <row r="1941">
      <c r="A1941" s="26" t="s">
        <v>2008</v>
      </c>
      <c r="B1941" s="26" t="s">
        <v>2009</v>
      </c>
      <c r="C1941" s="27">
        <v>45817.0</v>
      </c>
      <c r="D1941" s="27">
        <v>45817.0</v>
      </c>
      <c r="E1941" s="26" t="s">
        <v>1121</v>
      </c>
      <c r="F1941" s="26" t="s">
        <v>1200</v>
      </c>
    </row>
    <row r="1942">
      <c r="A1942" s="26" t="s">
        <v>2008</v>
      </c>
      <c r="B1942" s="26" t="s">
        <v>2009</v>
      </c>
      <c r="C1942" s="27">
        <v>45817.0</v>
      </c>
      <c r="D1942" s="27">
        <v>45817.0</v>
      </c>
      <c r="E1942" s="26" t="s">
        <v>1121</v>
      </c>
      <c r="F1942" s="26" t="s">
        <v>1200</v>
      </c>
    </row>
    <row r="1943">
      <c r="A1943" s="26" t="s">
        <v>2010</v>
      </c>
      <c r="B1943" s="26" t="s">
        <v>546</v>
      </c>
      <c r="C1943" s="27">
        <v>45815.0</v>
      </c>
      <c r="D1943" s="27">
        <v>45815.0</v>
      </c>
      <c r="E1943" s="26" t="s">
        <v>1121</v>
      </c>
      <c r="F1943" s="26" t="s">
        <v>1200</v>
      </c>
    </row>
    <row r="1944">
      <c r="A1944" s="26" t="s">
        <v>2010</v>
      </c>
      <c r="B1944" s="26" t="s">
        <v>546</v>
      </c>
      <c r="C1944" s="27">
        <v>45815.0</v>
      </c>
      <c r="D1944" s="27">
        <v>45815.0</v>
      </c>
      <c r="E1944" s="26" t="s">
        <v>1121</v>
      </c>
      <c r="F1944" s="26" t="s">
        <v>1200</v>
      </c>
    </row>
    <row r="1945">
      <c r="A1945" s="26" t="s">
        <v>2010</v>
      </c>
      <c r="B1945" s="26" t="s">
        <v>546</v>
      </c>
      <c r="C1945" s="27">
        <v>45815.0</v>
      </c>
      <c r="D1945" s="27">
        <v>45815.0</v>
      </c>
      <c r="E1945" s="26" t="s">
        <v>1121</v>
      </c>
      <c r="F1945" s="26" t="s">
        <v>1200</v>
      </c>
    </row>
    <row r="1946">
      <c r="A1946" s="26" t="s">
        <v>2011</v>
      </c>
      <c r="B1946" s="26" t="s">
        <v>512</v>
      </c>
      <c r="C1946" s="27">
        <v>45815.0</v>
      </c>
      <c r="D1946" s="27">
        <v>45815.0</v>
      </c>
      <c r="E1946" s="26" t="s">
        <v>1121</v>
      </c>
      <c r="F1946" s="26" t="s">
        <v>1200</v>
      </c>
    </row>
    <row r="1947">
      <c r="A1947" s="26" t="s">
        <v>2012</v>
      </c>
      <c r="B1947" s="26" t="s">
        <v>1916</v>
      </c>
      <c r="C1947" s="27">
        <v>45815.0</v>
      </c>
      <c r="D1947" s="27">
        <v>45815.0</v>
      </c>
      <c r="E1947" s="26" t="s">
        <v>1121</v>
      </c>
      <c r="F1947" s="26" t="s">
        <v>1200</v>
      </c>
    </row>
    <row r="1948">
      <c r="A1948" s="26" t="s">
        <v>2013</v>
      </c>
      <c r="B1948" s="26" t="s">
        <v>435</v>
      </c>
      <c r="C1948" s="27">
        <v>45815.0</v>
      </c>
      <c r="D1948" s="27">
        <v>45815.0</v>
      </c>
      <c r="E1948" s="26" t="s">
        <v>1121</v>
      </c>
      <c r="F1948" s="26" t="s">
        <v>1200</v>
      </c>
    </row>
    <row r="1949">
      <c r="A1949" s="26" t="s">
        <v>2014</v>
      </c>
      <c r="B1949" s="26" t="s">
        <v>574</v>
      </c>
      <c r="C1949" s="27">
        <v>45814.0</v>
      </c>
      <c r="D1949" s="27">
        <v>45814.0</v>
      </c>
      <c r="E1949" s="26" t="s">
        <v>1121</v>
      </c>
      <c r="F1949" s="26" t="s">
        <v>1200</v>
      </c>
    </row>
    <row r="1950">
      <c r="A1950" s="26" t="s">
        <v>2015</v>
      </c>
      <c r="B1950" s="26" t="s">
        <v>736</v>
      </c>
      <c r="C1950" s="27">
        <v>45813.0</v>
      </c>
      <c r="D1950" s="27">
        <v>45813.0</v>
      </c>
      <c r="E1950" s="26" t="s">
        <v>1121</v>
      </c>
      <c r="F1950" s="26" t="s">
        <v>1200</v>
      </c>
    </row>
    <row r="1951">
      <c r="A1951" s="26" t="s">
        <v>2015</v>
      </c>
      <c r="B1951" s="26" t="s">
        <v>736</v>
      </c>
      <c r="C1951" s="27">
        <v>45813.0</v>
      </c>
      <c r="D1951" s="27">
        <v>45813.0</v>
      </c>
      <c r="E1951" s="26" t="s">
        <v>1121</v>
      </c>
      <c r="F1951" s="26" t="s">
        <v>1200</v>
      </c>
    </row>
    <row r="1952">
      <c r="A1952" s="26" t="s">
        <v>2015</v>
      </c>
      <c r="B1952" s="26" t="s">
        <v>736</v>
      </c>
      <c r="C1952" s="27">
        <v>45813.0</v>
      </c>
      <c r="D1952" s="27">
        <v>45813.0</v>
      </c>
      <c r="E1952" s="26" t="s">
        <v>1121</v>
      </c>
      <c r="F1952" s="26" t="s">
        <v>1200</v>
      </c>
    </row>
    <row r="1953">
      <c r="A1953" s="26" t="s">
        <v>2016</v>
      </c>
      <c r="B1953" s="26" t="s">
        <v>461</v>
      </c>
      <c r="C1953" s="27">
        <v>45813.0</v>
      </c>
      <c r="D1953" s="27">
        <v>45813.0</v>
      </c>
      <c r="E1953" s="26" t="s">
        <v>1121</v>
      </c>
      <c r="F1953" s="26" t="s">
        <v>1200</v>
      </c>
    </row>
    <row r="1954">
      <c r="A1954" s="26" t="s">
        <v>2017</v>
      </c>
      <c r="B1954" s="26" t="s">
        <v>483</v>
      </c>
      <c r="C1954" s="27">
        <v>45812.0</v>
      </c>
      <c r="D1954" s="27">
        <v>45812.0</v>
      </c>
      <c r="E1954" s="26" t="s">
        <v>1121</v>
      </c>
      <c r="F1954" s="26" t="s">
        <v>1200</v>
      </c>
    </row>
    <row r="1955">
      <c r="A1955" s="26" t="s">
        <v>2018</v>
      </c>
      <c r="B1955" s="26" t="s">
        <v>432</v>
      </c>
      <c r="C1955" s="27">
        <v>45811.0</v>
      </c>
      <c r="D1955" s="27">
        <v>45811.0</v>
      </c>
      <c r="E1955" s="26" t="s">
        <v>1121</v>
      </c>
      <c r="F1955" s="26" t="s">
        <v>1200</v>
      </c>
    </row>
    <row r="1956">
      <c r="A1956" s="26" t="s">
        <v>2018</v>
      </c>
      <c r="B1956" s="26" t="s">
        <v>432</v>
      </c>
      <c r="C1956" s="27">
        <v>45811.0</v>
      </c>
      <c r="D1956" s="27">
        <v>45811.0</v>
      </c>
      <c r="E1956" s="26" t="s">
        <v>1121</v>
      </c>
      <c r="F1956" s="26" t="s">
        <v>1200</v>
      </c>
    </row>
    <row r="1957">
      <c r="A1957" s="26" t="s">
        <v>2019</v>
      </c>
      <c r="B1957" s="26" t="s">
        <v>435</v>
      </c>
      <c r="C1957" s="27">
        <v>45811.0</v>
      </c>
      <c r="D1957" s="27">
        <v>45811.0</v>
      </c>
      <c r="E1957" s="26" t="s">
        <v>1121</v>
      </c>
      <c r="F1957" s="26" t="s">
        <v>1200</v>
      </c>
    </row>
    <row r="1958">
      <c r="A1958" s="26" t="s">
        <v>2020</v>
      </c>
      <c r="B1958" s="26" t="s">
        <v>546</v>
      </c>
      <c r="C1958" s="27">
        <v>45811.0</v>
      </c>
      <c r="D1958" s="27">
        <v>45811.0</v>
      </c>
      <c r="E1958" s="26" t="s">
        <v>1121</v>
      </c>
      <c r="F1958" s="26" t="s">
        <v>1200</v>
      </c>
    </row>
    <row r="1959">
      <c r="A1959" s="26" t="s">
        <v>2020</v>
      </c>
      <c r="B1959" s="26" t="s">
        <v>546</v>
      </c>
      <c r="C1959" s="27">
        <v>45811.0</v>
      </c>
      <c r="D1959" s="27">
        <v>45811.0</v>
      </c>
      <c r="E1959" s="26" t="s">
        <v>1121</v>
      </c>
      <c r="F1959" s="26" t="s">
        <v>1200</v>
      </c>
    </row>
    <row r="1960">
      <c r="A1960" s="26" t="s">
        <v>2021</v>
      </c>
      <c r="B1960" s="26" t="s">
        <v>1945</v>
      </c>
      <c r="C1960" s="27">
        <v>45811.0</v>
      </c>
      <c r="D1960" s="27">
        <v>45811.0</v>
      </c>
      <c r="E1960" s="26" t="s">
        <v>1121</v>
      </c>
      <c r="F1960" s="26" t="s">
        <v>1200</v>
      </c>
    </row>
    <row r="1961">
      <c r="A1961" s="26" t="s">
        <v>2021</v>
      </c>
      <c r="B1961" s="26" t="s">
        <v>1945</v>
      </c>
      <c r="C1961" s="27">
        <v>45811.0</v>
      </c>
      <c r="D1961" s="27">
        <v>45811.0</v>
      </c>
      <c r="E1961" s="26" t="s">
        <v>1121</v>
      </c>
      <c r="F1961" s="26" t="s">
        <v>1200</v>
      </c>
    </row>
    <row r="1962">
      <c r="A1962" s="26" t="s">
        <v>2022</v>
      </c>
      <c r="B1962" s="26" t="s">
        <v>2023</v>
      </c>
      <c r="C1962" s="27">
        <v>45810.0</v>
      </c>
      <c r="D1962" s="27">
        <v>45810.0</v>
      </c>
      <c r="E1962" s="26" t="s">
        <v>1121</v>
      </c>
      <c r="F1962" s="26" t="s">
        <v>1200</v>
      </c>
    </row>
    <row r="1963">
      <c r="A1963" s="26" t="s">
        <v>2022</v>
      </c>
      <c r="B1963" s="26" t="s">
        <v>2023</v>
      </c>
      <c r="C1963" s="27">
        <v>45810.0</v>
      </c>
      <c r="D1963" s="27">
        <v>45810.0</v>
      </c>
      <c r="E1963" s="26" t="s">
        <v>1121</v>
      </c>
      <c r="F1963" s="26" t="s">
        <v>1200</v>
      </c>
    </row>
    <row r="1964">
      <c r="A1964" s="26" t="s">
        <v>2022</v>
      </c>
      <c r="B1964" s="26" t="s">
        <v>2023</v>
      </c>
      <c r="C1964" s="27">
        <v>45810.0</v>
      </c>
      <c r="D1964" s="27">
        <v>45810.0</v>
      </c>
      <c r="E1964" s="26" t="s">
        <v>1121</v>
      </c>
      <c r="F1964" s="26" t="s">
        <v>1200</v>
      </c>
    </row>
    <row r="1965">
      <c r="A1965" s="26" t="s">
        <v>2022</v>
      </c>
      <c r="B1965" s="26" t="s">
        <v>2023</v>
      </c>
      <c r="C1965" s="27">
        <v>45810.0</v>
      </c>
      <c r="D1965" s="27">
        <v>45810.0</v>
      </c>
      <c r="E1965" s="26" t="s">
        <v>1121</v>
      </c>
      <c r="F1965" s="26" t="s">
        <v>1200</v>
      </c>
    </row>
    <row r="1966">
      <c r="A1966" s="26" t="s">
        <v>2022</v>
      </c>
      <c r="B1966" s="26" t="s">
        <v>2023</v>
      </c>
      <c r="C1966" s="27">
        <v>45810.0</v>
      </c>
      <c r="D1966" s="27">
        <v>45810.0</v>
      </c>
      <c r="E1966" s="26" t="s">
        <v>1121</v>
      </c>
      <c r="F1966" s="26" t="s">
        <v>1200</v>
      </c>
    </row>
    <row r="1967">
      <c r="A1967" s="26" t="s">
        <v>2022</v>
      </c>
      <c r="B1967" s="26" t="s">
        <v>2023</v>
      </c>
      <c r="C1967" s="27">
        <v>45810.0</v>
      </c>
      <c r="D1967" s="27">
        <v>45810.0</v>
      </c>
      <c r="E1967" s="26" t="s">
        <v>1121</v>
      </c>
      <c r="F1967" s="26" t="s">
        <v>1200</v>
      </c>
    </row>
    <row r="1968">
      <c r="A1968" s="26" t="s">
        <v>2022</v>
      </c>
      <c r="B1968" s="26" t="s">
        <v>2023</v>
      </c>
      <c r="C1968" s="27">
        <v>45810.0</v>
      </c>
      <c r="D1968" s="27">
        <v>45810.0</v>
      </c>
      <c r="E1968" s="26" t="s">
        <v>1121</v>
      </c>
      <c r="F1968" s="26" t="s">
        <v>1200</v>
      </c>
    </row>
    <row r="1969">
      <c r="A1969" s="26" t="s">
        <v>2022</v>
      </c>
      <c r="B1969" s="26" t="s">
        <v>2023</v>
      </c>
      <c r="C1969" s="27">
        <v>45810.0</v>
      </c>
      <c r="D1969" s="27">
        <v>45810.0</v>
      </c>
      <c r="E1969" s="26" t="s">
        <v>1121</v>
      </c>
      <c r="F1969" s="26" t="s">
        <v>1200</v>
      </c>
    </row>
    <row r="1970">
      <c r="A1970" s="26" t="s">
        <v>2022</v>
      </c>
      <c r="B1970" s="26" t="s">
        <v>2023</v>
      </c>
      <c r="C1970" s="27">
        <v>45810.0</v>
      </c>
      <c r="D1970" s="27">
        <v>45810.0</v>
      </c>
      <c r="E1970" s="26" t="s">
        <v>1121</v>
      </c>
      <c r="F1970" s="26" t="s">
        <v>1200</v>
      </c>
    </row>
    <row r="1971">
      <c r="A1971" s="26" t="s">
        <v>2022</v>
      </c>
      <c r="B1971" s="26" t="s">
        <v>2023</v>
      </c>
      <c r="C1971" s="27">
        <v>45810.0</v>
      </c>
      <c r="D1971" s="27">
        <v>45810.0</v>
      </c>
      <c r="E1971" s="26" t="s">
        <v>1121</v>
      </c>
      <c r="F1971" s="26" t="s">
        <v>1200</v>
      </c>
    </row>
    <row r="1972">
      <c r="A1972" s="26" t="s">
        <v>2022</v>
      </c>
      <c r="B1972" s="26" t="s">
        <v>2023</v>
      </c>
      <c r="C1972" s="27">
        <v>45810.0</v>
      </c>
      <c r="D1972" s="27">
        <v>45810.0</v>
      </c>
      <c r="E1972" s="26" t="s">
        <v>1121</v>
      </c>
      <c r="F1972" s="26" t="s">
        <v>1200</v>
      </c>
    </row>
    <row r="1973">
      <c r="A1973" s="26" t="s">
        <v>2022</v>
      </c>
      <c r="B1973" s="26" t="s">
        <v>2023</v>
      </c>
      <c r="C1973" s="27">
        <v>45810.0</v>
      </c>
      <c r="D1973" s="27">
        <v>45810.0</v>
      </c>
      <c r="E1973" s="26" t="s">
        <v>1121</v>
      </c>
      <c r="F1973" s="26" t="s">
        <v>1200</v>
      </c>
    </row>
    <row r="1974">
      <c r="A1974" s="26" t="s">
        <v>2022</v>
      </c>
      <c r="B1974" s="26" t="s">
        <v>2023</v>
      </c>
      <c r="C1974" s="27">
        <v>45810.0</v>
      </c>
      <c r="D1974" s="27">
        <v>45810.0</v>
      </c>
      <c r="E1974" s="26" t="s">
        <v>1121</v>
      </c>
      <c r="F1974" s="26" t="s">
        <v>1200</v>
      </c>
    </row>
    <row r="1975">
      <c r="A1975" s="26" t="s">
        <v>2022</v>
      </c>
      <c r="B1975" s="26" t="s">
        <v>2023</v>
      </c>
      <c r="C1975" s="27">
        <v>45810.0</v>
      </c>
      <c r="D1975" s="27">
        <v>45810.0</v>
      </c>
      <c r="E1975" s="26" t="s">
        <v>1121</v>
      </c>
      <c r="F1975" s="26" t="s">
        <v>1200</v>
      </c>
    </row>
    <row r="1976">
      <c r="A1976" s="26" t="s">
        <v>2022</v>
      </c>
      <c r="B1976" s="26" t="s">
        <v>2023</v>
      </c>
      <c r="C1976" s="27">
        <v>45810.0</v>
      </c>
      <c r="D1976" s="27">
        <v>45810.0</v>
      </c>
      <c r="E1976" s="26" t="s">
        <v>1121</v>
      </c>
      <c r="F1976" s="26" t="s">
        <v>1200</v>
      </c>
    </row>
    <row r="1977">
      <c r="A1977" s="26" t="s">
        <v>2022</v>
      </c>
      <c r="B1977" s="26" t="s">
        <v>2023</v>
      </c>
      <c r="C1977" s="27">
        <v>45810.0</v>
      </c>
      <c r="D1977" s="27">
        <v>45810.0</v>
      </c>
      <c r="E1977" s="26" t="s">
        <v>1121</v>
      </c>
      <c r="F1977" s="26" t="s">
        <v>1200</v>
      </c>
    </row>
    <row r="1978">
      <c r="A1978" s="26" t="s">
        <v>2024</v>
      </c>
      <c r="B1978" s="26" t="s">
        <v>542</v>
      </c>
      <c r="C1978" s="27">
        <v>45810.0</v>
      </c>
      <c r="D1978" s="27">
        <v>45810.0</v>
      </c>
      <c r="E1978" s="26" t="s">
        <v>1121</v>
      </c>
      <c r="F1978" s="26" t="s">
        <v>1200</v>
      </c>
    </row>
    <row r="1979">
      <c r="A1979" s="26" t="s">
        <v>2025</v>
      </c>
      <c r="B1979" s="26" t="s">
        <v>444</v>
      </c>
      <c r="C1979" s="27">
        <v>45810.0</v>
      </c>
      <c r="D1979" s="27">
        <v>45810.0</v>
      </c>
      <c r="E1979" s="26" t="s">
        <v>1121</v>
      </c>
      <c r="F1979" s="26" t="s">
        <v>1200</v>
      </c>
    </row>
    <row r="1980">
      <c r="A1980" s="26" t="s">
        <v>2025</v>
      </c>
      <c r="B1980" s="26" t="s">
        <v>444</v>
      </c>
      <c r="C1980" s="27">
        <v>45810.0</v>
      </c>
      <c r="D1980" s="27">
        <v>45810.0</v>
      </c>
      <c r="E1980" s="26" t="s">
        <v>1121</v>
      </c>
      <c r="F1980" s="26" t="s">
        <v>1200</v>
      </c>
    </row>
    <row r="1981">
      <c r="A1981" s="26" t="s">
        <v>2025</v>
      </c>
      <c r="B1981" s="26" t="s">
        <v>444</v>
      </c>
      <c r="C1981" s="27">
        <v>45810.0</v>
      </c>
      <c r="D1981" s="27">
        <v>45810.0</v>
      </c>
      <c r="E1981" s="26" t="s">
        <v>1121</v>
      </c>
      <c r="F1981" s="26" t="s">
        <v>1200</v>
      </c>
    </row>
    <row r="1982">
      <c r="A1982" s="26" t="s">
        <v>2025</v>
      </c>
      <c r="B1982" s="26" t="s">
        <v>444</v>
      </c>
      <c r="C1982" s="27">
        <v>45810.0</v>
      </c>
      <c r="D1982" s="27">
        <v>45810.0</v>
      </c>
      <c r="E1982" s="26" t="s">
        <v>1121</v>
      </c>
      <c r="F1982" s="26" t="s">
        <v>1200</v>
      </c>
    </row>
    <row r="1983">
      <c r="A1983" s="26" t="s">
        <v>2026</v>
      </c>
      <c r="B1983" s="26" t="s">
        <v>467</v>
      </c>
      <c r="C1983" s="27">
        <v>45810.0</v>
      </c>
      <c r="D1983" s="27">
        <v>45810.0</v>
      </c>
      <c r="E1983" s="26" t="s">
        <v>1121</v>
      </c>
      <c r="F1983" s="26" t="s">
        <v>1200</v>
      </c>
    </row>
    <row r="1984">
      <c r="A1984" s="26" t="s">
        <v>2027</v>
      </c>
      <c r="B1984" s="26" t="s">
        <v>651</v>
      </c>
      <c r="C1984" s="27">
        <v>45808.0</v>
      </c>
      <c r="D1984" s="27">
        <v>45808.0</v>
      </c>
      <c r="E1984" s="26" t="s">
        <v>1121</v>
      </c>
      <c r="F1984" s="26" t="s">
        <v>1200</v>
      </c>
    </row>
    <row r="1985">
      <c r="A1985" s="26" t="s">
        <v>2027</v>
      </c>
      <c r="B1985" s="26" t="s">
        <v>651</v>
      </c>
      <c r="C1985" s="27">
        <v>45808.0</v>
      </c>
      <c r="D1985" s="27">
        <v>45808.0</v>
      </c>
      <c r="E1985" s="26" t="s">
        <v>1121</v>
      </c>
      <c r="F1985" s="26" t="s">
        <v>1200</v>
      </c>
    </row>
    <row r="1986">
      <c r="A1986" s="26" t="s">
        <v>2027</v>
      </c>
      <c r="B1986" s="26" t="s">
        <v>651</v>
      </c>
      <c r="C1986" s="27">
        <v>45808.0</v>
      </c>
      <c r="D1986" s="27">
        <v>45808.0</v>
      </c>
      <c r="E1986" s="26" t="s">
        <v>1121</v>
      </c>
      <c r="F1986" s="26" t="s">
        <v>1200</v>
      </c>
    </row>
    <row r="1987">
      <c r="A1987" s="26" t="s">
        <v>2028</v>
      </c>
      <c r="B1987" s="26" t="s">
        <v>546</v>
      </c>
      <c r="C1987" s="27">
        <v>45808.0</v>
      </c>
      <c r="D1987" s="27">
        <v>45808.0</v>
      </c>
      <c r="E1987" s="26" t="s">
        <v>1121</v>
      </c>
      <c r="F1987" s="26" t="s">
        <v>1200</v>
      </c>
    </row>
    <row r="1988">
      <c r="A1988" s="26" t="s">
        <v>2029</v>
      </c>
      <c r="B1988" s="26" t="s">
        <v>467</v>
      </c>
      <c r="C1988" s="27">
        <v>45808.0</v>
      </c>
      <c r="D1988" s="27">
        <v>45808.0</v>
      </c>
      <c r="E1988" s="26" t="s">
        <v>1121</v>
      </c>
      <c r="F1988" s="26" t="s">
        <v>1200</v>
      </c>
    </row>
    <row r="1989">
      <c r="A1989" s="26" t="s">
        <v>2030</v>
      </c>
      <c r="B1989" s="26" t="s">
        <v>516</v>
      </c>
      <c r="C1989" s="27">
        <v>45807.0</v>
      </c>
      <c r="D1989" s="27">
        <v>45807.0</v>
      </c>
      <c r="E1989" s="26" t="s">
        <v>1121</v>
      </c>
      <c r="F1989" s="26" t="s">
        <v>1200</v>
      </c>
    </row>
    <row r="1990">
      <c r="A1990" s="26" t="s">
        <v>2030</v>
      </c>
      <c r="B1990" s="26" t="s">
        <v>516</v>
      </c>
      <c r="C1990" s="27">
        <v>45807.0</v>
      </c>
      <c r="D1990" s="27">
        <v>45807.0</v>
      </c>
      <c r="E1990" s="26" t="s">
        <v>1121</v>
      </c>
      <c r="F1990" s="26" t="s">
        <v>1200</v>
      </c>
    </row>
    <row r="1991">
      <c r="A1991" s="26" t="s">
        <v>2030</v>
      </c>
      <c r="B1991" s="26" t="s">
        <v>516</v>
      </c>
      <c r="C1991" s="27">
        <v>45807.0</v>
      </c>
      <c r="D1991" s="27">
        <v>45807.0</v>
      </c>
      <c r="E1991" s="26" t="s">
        <v>1121</v>
      </c>
      <c r="F1991" s="26" t="s">
        <v>1200</v>
      </c>
    </row>
    <row r="1992">
      <c r="A1992" s="26" t="s">
        <v>2031</v>
      </c>
      <c r="B1992" s="26" t="s">
        <v>472</v>
      </c>
      <c r="C1992" s="27">
        <v>45807.0</v>
      </c>
      <c r="D1992" s="27">
        <v>45807.0</v>
      </c>
      <c r="E1992" s="26" t="s">
        <v>1121</v>
      </c>
      <c r="F1992" s="26" t="s">
        <v>1200</v>
      </c>
    </row>
    <row r="1993">
      <c r="A1993" s="26" t="s">
        <v>2032</v>
      </c>
      <c r="B1993" s="26" t="s">
        <v>483</v>
      </c>
      <c r="C1993" s="27">
        <v>45807.0</v>
      </c>
      <c r="D1993" s="27">
        <v>45807.0</v>
      </c>
      <c r="E1993" s="26" t="s">
        <v>1121</v>
      </c>
      <c r="F1993" s="26" t="s">
        <v>1200</v>
      </c>
    </row>
    <row r="1994">
      <c r="A1994" s="26" t="s">
        <v>2033</v>
      </c>
      <c r="B1994" s="26" t="s">
        <v>639</v>
      </c>
      <c r="C1994" s="27">
        <v>45807.0</v>
      </c>
      <c r="D1994" s="27">
        <v>45807.0</v>
      </c>
      <c r="E1994" s="26" t="s">
        <v>1121</v>
      </c>
      <c r="F1994" s="26" t="s">
        <v>1200</v>
      </c>
    </row>
    <row r="1995">
      <c r="A1995" s="26" t="s">
        <v>2033</v>
      </c>
      <c r="B1995" s="26" t="s">
        <v>639</v>
      </c>
      <c r="C1995" s="27">
        <v>45807.0</v>
      </c>
      <c r="D1995" s="27">
        <v>45807.0</v>
      </c>
      <c r="E1995" s="26" t="s">
        <v>1121</v>
      </c>
      <c r="F1995" s="26" t="s">
        <v>1200</v>
      </c>
    </row>
    <row r="1996">
      <c r="A1996" s="26" t="s">
        <v>2034</v>
      </c>
      <c r="B1996" s="26" t="s">
        <v>736</v>
      </c>
      <c r="C1996" s="27">
        <v>45806.0</v>
      </c>
      <c r="D1996" s="27">
        <v>45806.0</v>
      </c>
      <c r="E1996" s="26" t="s">
        <v>1121</v>
      </c>
      <c r="F1996" s="26" t="s">
        <v>1200</v>
      </c>
    </row>
    <row r="1997">
      <c r="A1997" s="26" t="s">
        <v>2034</v>
      </c>
      <c r="B1997" s="26" t="s">
        <v>736</v>
      </c>
      <c r="C1997" s="27">
        <v>45806.0</v>
      </c>
      <c r="D1997" s="27">
        <v>45806.0</v>
      </c>
      <c r="E1997" s="26" t="s">
        <v>1121</v>
      </c>
      <c r="F1997" s="26" t="s">
        <v>1200</v>
      </c>
    </row>
    <row r="1998">
      <c r="A1998" s="26" t="s">
        <v>2034</v>
      </c>
      <c r="B1998" s="26" t="s">
        <v>736</v>
      </c>
      <c r="C1998" s="27">
        <v>45806.0</v>
      </c>
      <c r="D1998" s="27">
        <v>45806.0</v>
      </c>
      <c r="E1998" s="26" t="s">
        <v>1121</v>
      </c>
      <c r="F1998" s="26" t="s">
        <v>1200</v>
      </c>
    </row>
    <row r="1999">
      <c r="A1999" s="26" t="s">
        <v>2034</v>
      </c>
      <c r="B1999" s="26" t="s">
        <v>736</v>
      </c>
      <c r="C1999" s="27">
        <v>45806.0</v>
      </c>
      <c r="D1999" s="27">
        <v>45806.0</v>
      </c>
      <c r="E1999" s="26" t="s">
        <v>1121</v>
      </c>
      <c r="F1999" s="26" t="s">
        <v>1200</v>
      </c>
    </row>
    <row r="2000">
      <c r="A2000" s="26" t="s">
        <v>2034</v>
      </c>
      <c r="B2000" s="26" t="s">
        <v>736</v>
      </c>
      <c r="C2000" s="27">
        <v>45806.0</v>
      </c>
      <c r="D2000" s="27">
        <v>45806.0</v>
      </c>
      <c r="E2000" s="26" t="s">
        <v>1121</v>
      </c>
      <c r="F2000" s="26" t="s">
        <v>1200</v>
      </c>
    </row>
    <row r="2001">
      <c r="A2001" s="26" t="s">
        <v>2035</v>
      </c>
      <c r="B2001" s="26" t="s">
        <v>1226</v>
      </c>
      <c r="C2001" s="27">
        <v>45806.0</v>
      </c>
      <c r="D2001" s="27">
        <v>45806.0</v>
      </c>
      <c r="E2001" s="26" t="s">
        <v>1121</v>
      </c>
      <c r="F2001" s="26" t="s">
        <v>1200</v>
      </c>
    </row>
    <row r="2002">
      <c r="A2002" s="26" t="s">
        <v>2035</v>
      </c>
      <c r="B2002" s="26" t="s">
        <v>1226</v>
      </c>
      <c r="C2002" s="27">
        <v>45806.0</v>
      </c>
      <c r="D2002" s="27">
        <v>45806.0</v>
      </c>
      <c r="E2002" s="26" t="s">
        <v>1121</v>
      </c>
      <c r="F2002" s="26" t="s">
        <v>1200</v>
      </c>
    </row>
    <row r="2003">
      <c r="A2003" s="26" t="s">
        <v>2035</v>
      </c>
      <c r="B2003" s="26" t="s">
        <v>1226</v>
      </c>
      <c r="C2003" s="27">
        <v>45806.0</v>
      </c>
      <c r="D2003" s="27">
        <v>45806.0</v>
      </c>
      <c r="E2003" s="26" t="s">
        <v>1121</v>
      </c>
      <c r="F2003" s="26" t="s">
        <v>1200</v>
      </c>
    </row>
    <row r="2004">
      <c r="A2004" s="26" t="s">
        <v>2035</v>
      </c>
      <c r="B2004" s="26" t="s">
        <v>1226</v>
      </c>
      <c r="C2004" s="27">
        <v>45806.0</v>
      </c>
      <c r="D2004" s="27">
        <v>45806.0</v>
      </c>
      <c r="E2004" s="26" t="s">
        <v>1121</v>
      </c>
      <c r="F2004" s="26" t="s">
        <v>1200</v>
      </c>
    </row>
    <row r="2005">
      <c r="A2005" s="26" t="s">
        <v>2036</v>
      </c>
      <c r="B2005" s="26" t="s">
        <v>1945</v>
      </c>
      <c r="C2005" s="27">
        <v>45806.0</v>
      </c>
      <c r="D2005" s="27">
        <v>45806.0</v>
      </c>
      <c r="E2005" s="26" t="s">
        <v>1121</v>
      </c>
      <c r="F2005" s="26" t="s">
        <v>1200</v>
      </c>
    </row>
    <row r="2006">
      <c r="A2006" s="26" t="s">
        <v>2036</v>
      </c>
      <c r="B2006" s="26" t="s">
        <v>1945</v>
      </c>
      <c r="C2006" s="27">
        <v>45806.0</v>
      </c>
      <c r="D2006" s="27">
        <v>45806.0</v>
      </c>
      <c r="E2006" s="26" t="s">
        <v>1121</v>
      </c>
      <c r="F2006" s="26" t="s">
        <v>1200</v>
      </c>
    </row>
    <row r="2007">
      <c r="A2007" s="26" t="s">
        <v>2036</v>
      </c>
      <c r="B2007" s="26" t="s">
        <v>1945</v>
      </c>
      <c r="C2007" s="27">
        <v>45806.0</v>
      </c>
      <c r="D2007" s="27">
        <v>45806.0</v>
      </c>
      <c r="E2007" s="26" t="s">
        <v>1121</v>
      </c>
      <c r="F2007" s="26" t="s">
        <v>1200</v>
      </c>
    </row>
    <row r="2008">
      <c r="A2008" s="26" t="s">
        <v>2037</v>
      </c>
      <c r="B2008" s="26" t="s">
        <v>1766</v>
      </c>
      <c r="C2008" s="27">
        <v>45805.0</v>
      </c>
      <c r="D2008" s="27">
        <v>45805.0</v>
      </c>
      <c r="E2008" s="26" t="s">
        <v>1121</v>
      </c>
      <c r="F2008" s="26" t="s">
        <v>1200</v>
      </c>
    </row>
    <row r="2009">
      <c r="A2009" s="26" t="s">
        <v>2038</v>
      </c>
      <c r="B2009" s="26" t="s">
        <v>439</v>
      </c>
      <c r="C2009" s="27">
        <v>45805.0</v>
      </c>
      <c r="D2009" s="27">
        <v>45805.0</v>
      </c>
      <c r="E2009" s="26" t="s">
        <v>1121</v>
      </c>
      <c r="F2009" s="26" t="s">
        <v>1200</v>
      </c>
    </row>
    <row r="2010">
      <c r="A2010" s="26" t="s">
        <v>2039</v>
      </c>
      <c r="B2010" s="26" t="s">
        <v>444</v>
      </c>
      <c r="C2010" s="27">
        <v>45804.0</v>
      </c>
      <c r="D2010" s="27">
        <v>45804.0</v>
      </c>
      <c r="E2010" s="26" t="s">
        <v>1121</v>
      </c>
      <c r="F2010" s="26" t="s">
        <v>1200</v>
      </c>
    </row>
    <row r="2011">
      <c r="A2011" s="26" t="s">
        <v>2039</v>
      </c>
      <c r="B2011" s="26" t="s">
        <v>444</v>
      </c>
      <c r="C2011" s="27">
        <v>45804.0</v>
      </c>
      <c r="D2011" s="27">
        <v>45804.0</v>
      </c>
      <c r="E2011" s="26" t="s">
        <v>1121</v>
      </c>
      <c r="F2011" s="26" t="s">
        <v>1200</v>
      </c>
    </row>
    <row r="2012">
      <c r="A2012" s="26" t="s">
        <v>2039</v>
      </c>
      <c r="B2012" s="26" t="s">
        <v>444</v>
      </c>
      <c r="C2012" s="27">
        <v>45804.0</v>
      </c>
      <c r="D2012" s="27">
        <v>45804.0</v>
      </c>
      <c r="E2012" s="26" t="s">
        <v>1121</v>
      </c>
      <c r="F2012" s="26" t="s">
        <v>1200</v>
      </c>
    </row>
    <row r="2013">
      <c r="A2013" s="26" t="s">
        <v>2040</v>
      </c>
      <c r="B2013" s="26" t="s">
        <v>1335</v>
      </c>
      <c r="C2013" s="27">
        <v>45804.0</v>
      </c>
      <c r="D2013" s="27">
        <v>45804.0</v>
      </c>
      <c r="E2013" s="26" t="s">
        <v>1121</v>
      </c>
      <c r="F2013" s="26" t="s">
        <v>1200</v>
      </c>
    </row>
    <row r="2014">
      <c r="A2014" s="26" t="s">
        <v>2040</v>
      </c>
      <c r="B2014" s="26" t="s">
        <v>1335</v>
      </c>
      <c r="C2014" s="27">
        <v>45804.0</v>
      </c>
      <c r="D2014" s="27">
        <v>45804.0</v>
      </c>
      <c r="E2014" s="26" t="s">
        <v>1121</v>
      </c>
      <c r="F2014" s="26" t="s">
        <v>1200</v>
      </c>
    </row>
    <row r="2015">
      <c r="A2015" s="26" t="s">
        <v>2040</v>
      </c>
      <c r="B2015" s="26" t="s">
        <v>1335</v>
      </c>
      <c r="C2015" s="27">
        <v>45804.0</v>
      </c>
      <c r="D2015" s="27">
        <v>45804.0</v>
      </c>
      <c r="E2015" s="26" t="s">
        <v>1121</v>
      </c>
      <c r="F2015" s="26" t="s">
        <v>1200</v>
      </c>
    </row>
    <row r="2016">
      <c r="A2016" s="26" t="s">
        <v>2041</v>
      </c>
      <c r="B2016" s="26" t="s">
        <v>546</v>
      </c>
      <c r="C2016" s="27">
        <v>45803.0</v>
      </c>
      <c r="D2016" s="27">
        <v>45803.0</v>
      </c>
      <c r="E2016" s="26" t="s">
        <v>1121</v>
      </c>
      <c r="F2016" s="26" t="s">
        <v>1200</v>
      </c>
    </row>
    <row r="2017">
      <c r="A2017" s="26" t="s">
        <v>2041</v>
      </c>
      <c r="B2017" s="26" t="s">
        <v>546</v>
      </c>
      <c r="C2017" s="27">
        <v>45803.0</v>
      </c>
      <c r="D2017" s="27">
        <v>45803.0</v>
      </c>
      <c r="E2017" s="26" t="s">
        <v>1121</v>
      </c>
      <c r="F2017" s="26" t="s">
        <v>1200</v>
      </c>
    </row>
    <row r="2018">
      <c r="A2018" s="26" t="s">
        <v>2041</v>
      </c>
      <c r="B2018" s="26" t="s">
        <v>546</v>
      </c>
      <c r="C2018" s="27">
        <v>45803.0</v>
      </c>
      <c r="D2018" s="27">
        <v>45803.0</v>
      </c>
      <c r="E2018" s="26" t="s">
        <v>1121</v>
      </c>
      <c r="F2018" s="26" t="s">
        <v>1200</v>
      </c>
    </row>
    <row r="2019">
      <c r="A2019" s="26" t="s">
        <v>2042</v>
      </c>
      <c r="B2019" s="26" t="s">
        <v>739</v>
      </c>
      <c r="C2019" s="27">
        <v>45803.0</v>
      </c>
      <c r="D2019" s="27">
        <v>45803.0</v>
      </c>
      <c r="E2019" s="26" t="s">
        <v>1121</v>
      </c>
      <c r="F2019" s="26" t="s">
        <v>1200</v>
      </c>
    </row>
    <row r="2020">
      <c r="A2020" s="26" t="s">
        <v>2042</v>
      </c>
      <c r="B2020" s="26" t="s">
        <v>739</v>
      </c>
      <c r="C2020" s="27">
        <v>45803.0</v>
      </c>
      <c r="D2020" s="27">
        <v>45803.0</v>
      </c>
      <c r="E2020" s="26" t="s">
        <v>1121</v>
      </c>
      <c r="F2020" s="26" t="s">
        <v>1200</v>
      </c>
    </row>
    <row r="2021">
      <c r="A2021" s="26" t="s">
        <v>2042</v>
      </c>
      <c r="B2021" s="26" t="s">
        <v>739</v>
      </c>
      <c r="C2021" s="27">
        <v>45803.0</v>
      </c>
      <c r="D2021" s="27">
        <v>45803.0</v>
      </c>
      <c r="E2021" s="26" t="s">
        <v>1121</v>
      </c>
      <c r="F2021" s="26" t="s">
        <v>1200</v>
      </c>
    </row>
    <row r="2022">
      <c r="A2022" s="26" t="s">
        <v>2042</v>
      </c>
      <c r="B2022" s="26" t="s">
        <v>739</v>
      </c>
      <c r="C2022" s="27">
        <v>45803.0</v>
      </c>
      <c r="D2022" s="27">
        <v>45803.0</v>
      </c>
      <c r="E2022" s="26" t="s">
        <v>1121</v>
      </c>
      <c r="F2022" s="26" t="s">
        <v>1200</v>
      </c>
    </row>
    <row r="2023">
      <c r="A2023" s="26" t="s">
        <v>2043</v>
      </c>
      <c r="B2023" s="26" t="s">
        <v>546</v>
      </c>
      <c r="C2023" s="27">
        <v>45801.0</v>
      </c>
      <c r="D2023" s="27">
        <v>45801.0</v>
      </c>
      <c r="E2023" s="26" t="s">
        <v>1121</v>
      </c>
      <c r="F2023" s="26" t="s">
        <v>1200</v>
      </c>
    </row>
    <row r="2024">
      <c r="A2024" s="26" t="s">
        <v>2044</v>
      </c>
      <c r="B2024" s="26" t="s">
        <v>432</v>
      </c>
      <c r="C2024" s="27">
        <v>45800.0</v>
      </c>
      <c r="D2024" s="27">
        <v>45800.0</v>
      </c>
      <c r="E2024" s="26" t="s">
        <v>1121</v>
      </c>
      <c r="F2024" s="26" t="s">
        <v>1200</v>
      </c>
    </row>
    <row r="2025">
      <c r="A2025" s="26" t="s">
        <v>2044</v>
      </c>
      <c r="B2025" s="26" t="s">
        <v>432</v>
      </c>
      <c r="C2025" s="27">
        <v>45800.0</v>
      </c>
      <c r="D2025" s="27">
        <v>45800.0</v>
      </c>
      <c r="E2025" s="26" t="s">
        <v>1121</v>
      </c>
      <c r="F2025" s="26" t="s">
        <v>1200</v>
      </c>
    </row>
    <row r="2026">
      <c r="A2026" s="26" t="s">
        <v>2044</v>
      </c>
      <c r="B2026" s="26" t="s">
        <v>432</v>
      </c>
      <c r="C2026" s="27">
        <v>45800.0</v>
      </c>
      <c r="D2026" s="27">
        <v>45800.0</v>
      </c>
      <c r="E2026" s="26" t="s">
        <v>1121</v>
      </c>
      <c r="F2026" s="26" t="s">
        <v>1200</v>
      </c>
    </row>
    <row r="2027">
      <c r="A2027" s="26" t="s">
        <v>2045</v>
      </c>
      <c r="B2027" s="26" t="s">
        <v>444</v>
      </c>
      <c r="C2027" s="27">
        <v>45799.0</v>
      </c>
      <c r="D2027" s="27">
        <v>45799.0</v>
      </c>
      <c r="E2027" s="26" t="s">
        <v>1121</v>
      </c>
      <c r="F2027" s="26" t="s">
        <v>1200</v>
      </c>
    </row>
    <row r="2028">
      <c r="A2028" s="26" t="s">
        <v>2045</v>
      </c>
      <c r="B2028" s="26" t="s">
        <v>444</v>
      </c>
      <c r="C2028" s="27">
        <v>45799.0</v>
      </c>
      <c r="D2028" s="27">
        <v>45799.0</v>
      </c>
      <c r="E2028" s="26" t="s">
        <v>1121</v>
      </c>
      <c r="F2028" s="26" t="s">
        <v>1200</v>
      </c>
    </row>
    <row r="2029">
      <c r="A2029" s="26" t="s">
        <v>2045</v>
      </c>
      <c r="B2029" s="26" t="s">
        <v>444</v>
      </c>
      <c r="C2029" s="27">
        <v>45799.0</v>
      </c>
      <c r="D2029" s="27">
        <v>45799.0</v>
      </c>
      <c r="E2029" s="26" t="s">
        <v>1121</v>
      </c>
      <c r="F2029" s="26" t="s">
        <v>1200</v>
      </c>
    </row>
    <row r="2030">
      <c r="A2030" s="26" t="s">
        <v>2046</v>
      </c>
      <c r="B2030" s="26" t="s">
        <v>546</v>
      </c>
      <c r="C2030" s="27">
        <v>45799.0</v>
      </c>
      <c r="D2030" s="27">
        <v>45799.0</v>
      </c>
      <c r="E2030" s="26" t="s">
        <v>1121</v>
      </c>
      <c r="F2030" s="26" t="s">
        <v>1200</v>
      </c>
    </row>
    <row r="2031">
      <c r="A2031" s="26" t="s">
        <v>2047</v>
      </c>
      <c r="B2031" s="26" t="s">
        <v>295</v>
      </c>
      <c r="C2031" s="27">
        <v>45799.0</v>
      </c>
      <c r="D2031" s="27">
        <v>45799.0</v>
      </c>
      <c r="E2031" s="26" t="s">
        <v>1121</v>
      </c>
      <c r="F2031" s="26" t="s">
        <v>1200</v>
      </c>
    </row>
    <row r="2032">
      <c r="A2032" s="26" t="s">
        <v>2047</v>
      </c>
      <c r="B2032" s="26" t="s">
        <v>295</v>
      </c>
      <c r="C2032" s="27">
        <v>45799.0</v>
      </c>
      <c r="D2032" s="27">
        <v>45799.0</v>
      </c>
      <c r="E2032" s="26" t="s">
        <v>1121</v>
      </c>
      <c r="F2032" s="26" t="s">
        <v>1200</v>
      </c>
    </row>
    <row r="2033">
      <c r="A2033" s="26" t="s">
        <v>2048</v>
      </c>
      <c r="B2033" s="26" t="s">
        <v>1319</v>
      </c>
      <c r="C2033" s="27">
        <v>45798.0</v>
      </c>
      <c r="D2033" s="27">
        <v>45798.0</v>
      </c>
      <c r="E2033" s="26" t="s">
        <v>1121</v>
      </c>
      <c r="F2033" s="26" t="s">
        <v>1200</v>
      </c>
    </row>
    <row r="2034">
      <c r="A2034" s="26" t="s">
        <v>2048</v>
      </c>
      <c r="B2034" s="26" t="s">
        <v>1319</v>
      </c>
      <c r="C2034" s="27">
        <v>45798.0</v>
      </c>
      <c r="D2034" s="27">
        <v>45798.0</v>
      </c>
      <c r="E2034" s="26" t="s">
        <v>1121</v>
      </c>
      <c r="F2034" s="26" t="s">
        <v>1200</v>
      </c>
    </row>
    <row r="2035">
      <c r="A2035" s="26" t="s">
        <v>2048</v>
      </c>
      <c r="B2035" s="26" t="s">
        <v>1319</v>
      </c>
      <c r="C2035" s="27">
        <v>45798.0</v>
      </c>
      <c r="D2035" s="27">
        <v>45798.0</v>
      </c>
      <c r="E2035" s="26" t="s">
        <v>1121</v>
      </c>
      <c r="F2035" s="26" t="s">
        <v>1200</v>
      </c>
    </row>
    <row r="2036">
      <c r="A2036" s="26" t="s">
        <v>2048</v>
      </c>
      <c r="B2036" s="26" t="s">
        <v>1319</v>
      </c>
      <c r="C2036" s="27">
        <v>45798.0</v>
      </c>
      <c r="D2036" s="27">
        <v>45798.0</v>
      </c>
      <c r="E2036" s="26" t="s">
        <v>1121</v>
      </c>
      <c r="F2036" s="26" t="s">
        <v>1200</v>
      </c>
    </row>
    <row r="2037">
      <c r="A2037" s="26" t="s">
        <v>2049</v>
      </c>
      <c r="B2037" s="26" t="s">
        <v>745</v>
      </c>
      <c r="C2037" s="27">
        <v>45798.0</v>
      </c>
      <c r="D2037" s="27">
        <v>45798.0</v>
      </c>
      <c r="E2037" s="26" t="s">
        <v>1121</v>
      </c>
      <c r="F2037" s="26" t="s">
        <v>1200</v>
      </c>
    </row>
    <row r="2038">
      <c r="A2038" s="26" t="s">
        <v>2049</v>
      </c>
      <c r="B2038" s="26" t="s">
        <v>745</v>
      </c>
      <c r="C2038" s="27">
        <v>45798.0</v>
      </c>
      <c r="D2038" s="27">
        <v>45798.0</v>
      </c>
      <c r="E2038" s="26" t="s">
        <v>1121</v>
      </c>
      <c r="F2038" s="26" t="s">
        <v>1200</v>
      </c>
    </row>
    <row r="2039">
      <c r="A2039" s="26" t="s">
        <v>2049</v>
      </c>
      <c r="B2039" s="26" t="s">
        <v>745</v>
      </c>
      <c r="C2039" s="27">
        <v>45798.0</v>
      </c>
      <c r="D2039" s="27">
        <v>45798.0</v>
      </c>
      <c r="E2039" s="26" t="s">
        <v>1121</v>
      </c>
      <c r="F2039" s="26" t="s">
        <v>1200</v>
      </c>
    </row>
    <row r="2040">
      <c r="A2040" s="26" t="s">
        <v>2049</v>
      </c>
      <c r="B2040" s="26" t="s">
        <v>745</v>
      </c>
      <c r="C2040" s="27">
        <v>45798.0</v>
      </c>
      <c r="D2040" s="27">
        <v>45798.0</v>
      </c>
      <c r="E2040" s="26" t="s">
        <v>1121</v>
      </c>
      <c r="F2040" s="26" t="s">
        <v>1200</v>
      </c>
    </row>
    <row r="2041">
      <c r="A2041" s="26" t="s">
        <v>2049</v>
      </c>
      <c r="B2041" s="26" t="s">
        <v>745</v>
      </c>
      <c r="C2041" s="27">
        <v>45798.0</v>
      </c>
      <c r="D2041" s="27">
        <v>45798.0</v>
      </c>
      <c r="E2041" s="26" t="s">
        <v>1121</v>
      </c>
      <c r="F2041" s="26" t="s">
        <v>1200</v>
      </c>
    </row>
    <row r="2042">
      <c r="A2042" s="26" t="s">
        <v>2049</v>
      </c>
      <c r="B2042" s="26" t="s">
        <v>745</v>
      </c>
      <c r="C2042" s="27">
        <v>45798.0</v>
      </c>
      <c r="D2042" s="27">
        <v>45798.0</v>
      </c>
      <c r="E2042" s="26" t="s">
        <v>1121</v>
      </c>
      <c r="F2042" s="26" t="s">
        <v>1200</v>
      </c>
    </row>
    <row r="2043">
      <c r="A2043" s="26" t="s">
        <v>2049</v>
      </c>
      <c r="B2043" s="26" t="s">
        <v>745</v>
      </c>
      <c r="C2043" s="27">
        <v>45798.0</v>
      </c>
      <c r="D2043" s="27">
        <v>45798.0</v>
      </c>
      <c r="E2043" s="26" t="s">
        <v>1121</v>
      </c>
      <c r="F2043" s="26" t="s">
        <v>1200</v>
      </c>
    </row>
    <row r="2044">
      <c r="A2044" s="26" t="s">
        <v>2049</v>
      </c>
      <c r="B2044" s="26" t="s">
        <v>745</v>
      </c>
      <c r="C2044" s="27">
        <v>45798.0</v>
      </c>
      <c r="D2044" s="27">
        <v>45798.0</v>
      </c>
      <c r="E2044" s="26" t="s">
        <v>1121</v>
      </c>
      <c r="F2044" s="26" t="s">
        <v>1200</v>
      </c>
    </row>
    <row r="2045">
      <c r="A2045" s="26" t="s">
        <v>2050</v>
      </c>
      <c r="B2045" s="26" t="s">
        <v>604</v>
      </c>
      <c r="C2045" s="27">
        <v>45798.0</v>
      </c>
      <c r="D2045" s="27">
        <v>45798.0</v>
      </c>
      <c r="E2045" s="26" t="s">
        <v>1121</v>
      </c>
      <c r="F2045" s="26" t="s">
        <v>1200</v>
      </c>
    </row>
    <row r="2046">
      <c r="A2046" s="26" t="s">
        <v>2051</v>
      </c>
      <c r="B2046" s="26" t="s">
        <v>435</v>
      </c>
      <c r="C2046" s="27">
        <v>45797.0</v>
      </c>
      <c r="D2046" s="27">
        <v>45797.0</v>
      </c>
      <c r="E2046" s="26" t="s">
        <v>1121</v>
      </c>
      <c r="F2046" s="26" t="s">
        <v>1200</v>
      </c>
    </row>
    <row r="2047">
      <c r="A2047" s="26" t="s">
        <v>2052</v>
      </c>
      <c r="B2047" s="26" t="s">
        <v>428</v>
      </c>
      <c r="C2047" s="27">
        <v>45797.0</v>
      </c>
      <c r="D2047" s="27">
        <v>45797.0</v>
      </c>
      <c r="E2047" s="26" t="s">
        <v>1121</v>
      </c>
      <c r="F2047" s="26" t="s">
        <v>1200</v>
      </c>
    </row>
    <row r="2048">
      <c r="A2048" s="26" t="s">
        <v>2053</v>
      </c>
      <c r="B2048" s="26" t="s">
        <v>467</v>
      </c>
      <c r="C2048" s="27">
        <v>45797.0</v>
      </c>
      <c r="D2048" s="27">
        <v>45797.0</v>
      </c>
      <c r="E2048" s="26" t="s">
        <v>1121</v>
      </c>
      <c r="F2048" s="26" t="s">
        <v>1200</v>
      </c>
    </row>
    <row r="2049">
      <c r="A2049" s="26" t="s">
        <v>2054</v>
      </c>
      <c r="B2049" s="26" t="s">
        <v>1335</v>
      </c>
      <c r="C2049" s="27">
        <v>45797.0</v>
      </c>
      <c r="D2049" s="27">
        <v>45797.0</v>
      </c>
      <c r="E2049" s="26" t="s">
        <v>1121</v>
      </c>
      <c r="F2049" s="26" t="s">
        <v>1200</v>
      </c>
    </row>
    <row r="2050">
      <c r="A2050" s="26" t="s">
        <v>2054</v>
      </c>
      <c r="B2050" s="26" t="s">
        <v>1335</v>
      </c>
      <c r="C2050" s="27">
        <v>45797.0</v>
      </c>
      <c r="D2050" s="27">
        <v>45797.0</v>
      </c>
      <c r="E2050" s="26" t="s">
        <v>1121</v>
      </c>
      <c r="F2050" s="26" t="s">
        <v>1200</v>
      </c>
    </row>
    <row r="2051">
      <c r="A2051" s="26" t="s">
        <v>2054</v>
      </c>
      <c r="B2051" s="26" t="s">
        <v>1335</v>
      </c>
      <c r="C2051" s="27">
        <v>45797.0</v>
      </c>
      <c r="D2051" s="27">
        <v>45797.0</v>
      </c>
      <c r="E2051" s="26" t="s">
        <v>1121</v>
      </c>
      <c r="F2051" s="26" t="s">
        <v>1200</v>
      </c>
    </row>
    <row r="2052">
      <c r="A2052" s="26" t="s">
        <v>2054</v>
      </c>
      <c r="B2052" s="26" t="s">
        <v>1335</v>
      </c>
      <c r="C2052" s="27">
        <v>45797.0</v>
      </c>
      <c r="D2052" s="27">
        <v>45797.0</v>
      </c>
      <c r="E2052" s="26" t="s">
        <v>1121</v>
      </c>
      <c r="F2052" s="26" t="s">
        <v>1200</v>
      </c>
    </row>
    <row r="2053">
      <c r="A2053" s="26" t="s">
        <v>2055</v>
      </c>
      <c r="B2053" s="26" t="s">
        <v>634</v>
      </c>
      <c r="C2053" s="27">
        <v>45796.0</v>
      </c>
      <c r="D2053" s="27">
        <v>45796.0</v>
      </c>
      <c r="E2053" s="26" t="s">
        <v>1121</v>
      </c>
      <c r="F2053" s="26" t="s">
        <v>1200</v>
      </c>
    </row>
    <row r="2054">
      <c r="A2054" s="26" t="s">
        <v>2055</v>
      </c>
      <c r="B2054" s="26" t="s">
        <v>634</v>
      </c>
      <c r="C2054" s="27">
        <v>45796.0</v>
      </c>
      <c r="D2054" s="27">
        <v>45796.0</v>
      </c>
      <c r="E2054" s="26" t="s">
        <v>1121</v>
      </c>
      <c r="F2054" s="26" t="s">
        <v>1200</v>
      </c>
    </row>
    <row r="2055">
      <c r="A2055" s="26" t="s">
        <v>2056</v>
      </c>
      <c r="B2055" s="26" t="s">
        <v>444</v>
      </c>
      <c r="C2055" s="27">
        <v>45794.0</v>
      </c>
      <c r="D2055" s="27">
        <v>45794.0</v>
      </c>
      <c r="E2055" s="26" t="s">
        <v>1121</v>
      </c>
      <c r="F2055" s="26" t="s">
        <v>1200</v>
      </c>
    </row>
    <row r="2056">
      <c r="A2056" s="26" t="s">
        <v>2057</v>
      </c>
      <c r="B2056" s="26" t="s">
        <v>567</v>
      </c>
      <c r="C2056" s="27">
        <v>45794.0</v>
      </c>
      <c r="D2056" s="27">
        <v>45794.0</v>
      </c>
      <c r="E2056" s="26" t="s">
        <v>1121</v>
      </c>
      <c r="F2056" s="26" t="s">
        <v>1200</v>
      </c>
    </row>
    <row r="2057">
      <c r="A2057" s="26" t="s">
        <v>2058</v>
      </c>
      <c r="B2057" s="26" t="s">
        <v>546</v>
      </c>
      <c r="C2057" s="27">
        <v>45794.0</v>
      </c>
      <c r="D2057" s="27">
        <v>45794.0</v>
      </c>
      <c r="E2057" s="26" t="s">
        <v>1121</v>
      </c>
      <c r="F2057" s="26" t="s">
        <v>1200</v>
      </c>
    </row>
    <row r="2058">
      <c r="A2058" s="26" t="s">
        <v>2059</v>
      </c>
      <c r="B2058" s="26" t="s">
        <v>483</v>
      </c>
      <c r="C2058" s="27">
        <v>45794.0</v>
      </c>
      <c r="D2058" s="27">
        <v>45794.0</v>
      </c>
      <c r="E2058" s="26" t="s">
        <v>1121</v>
      </c>
      <c r="F2058" s="26" t="s">
        <v>1200</v>
      </c>
    </row>
    <row r="2059">
      <c r="A2059" s="26" t="s">
        <v>2060</v>
      </c>
      <c r="B2059" s="26" t="s">
        <v>432</v>
      </c>
      <c r="C2059" s="27">
        <v>45793.0</v>
      </c>
      <c r="D2059" s="27">
        <v>45793.0</v>
      </c>
      <c r="E2059" s="26" t="s">
        <v>1121</v>
      </c>
      <c r="F2059" s="26" t="s">
        <v>1200</v>
      </c>
    </row>
    <row r="2060">
      <c r="A2060" s="26" t="s">
        <v>2061</v>
      </c>
      <c r="B2060" s="26" t="s">
        <v>435</v>
      </c>
      <c r="C2060" s="27">
        <v>45793.0</v>
      </c>
      <c r="D2060" s="27">
        <v>45793.0</v>
      </c>
      <c r="E2060" s="26" t="s">
        <v>1121</v>
      </c>
      <c r="F2060" s="26" t="s">
        <v>1200</v>
      </c>
    </row>
    <row r="2061">
      <c r="A2061" s="26" t="s">
        <v>2061</v>
      </c>
      <c r="B2061" s="26" t="s">
        <v>435</v>
      </c>
      <c r="C2061" s="27">
        <v>45793.0</v>
      </c>
      <c r="D2061" s="27">
        <v>45793.0</v>
      </c>
      <c r="E2061" s="26" t="s">
        <v>1121</v>
      </c>
      <c r="F2061" s="26" t="s">
        <v>1200</v>
      </c>
    </row>
    <row r="2062">
      <c r="A2062" s="26" t="s">
        <v>2061</v>
      </c>
      <c r="B2062" s="26" t="s">
        <v>435</v>
      </c>
      <c r="C2062" s="27">
        <v>45793.0</v>
      </c>
      <c r="D2062" s="27">
        <v>45793.0</v>
      </c>
      <c r="E2062" s="26" t="s">
        <v>1121</v>
      </c>
      <c r="F2062" s="26" t="s">
        <v>1200</v>
      </c>
    </row>
    <row r="2063">
      <c r="A2063" s="26" t="s">
        <v>2062</v>
      </c>
      <c r="B2063" s="26" t="s">
        <v>444</v>
      </c>
      <c r="C2063" s="27">
        <v>45793.0</v>
      </c>
      <c r="D2063" s="27">
        <v>45793.0</v>
      </c>
      <c r="E2063" s="26" t="s">
        <v>1121</v>
      </c>
      <c r="F2063" s="26" t="s">
        <v>1200</v>
      </c>
    </row>
    <row r="2064">
      <c r="A2064" s="26" t="s">
        <v>2063</v>
      </c>
      <c r="B2064" s="26" t="s">
        <v>461</v>
      </c>
      <c r="C2064" s="27">
        <v>45793.0</v>
      </c>
      <c r="D2064" s="27">
        <v>45793.0</v>
      </c>
      <c r="E2064" s="26" t="s">
        <v>1121</v>
      </c>
      <c r="F2064" s="26" t="s">
        <v>1200</v>
      </c>
    </row>
    <row r="2065">
      <c r="A2065" s="26" t="s">
        <v>2064</v>
      </c>
      <c r="B2065" s="26" t="s">
        <v>483</v>
      </c>
      <c r="C2065" s="27">
        <v>45793.0</v>
      </c>
      <c r="D2065" s="27">
        <v>45793.0</v>
      </c>
      <c r="E2065" s="26" t="s">
        <v>1121</v>
      </c>
      <c r="F2065" s="26" t="s">
        <v>1200</v>
      </c>
    </row>
    <row r="2066">
      <c r="A2066" s="26" t="s">
        <v>2064</v>
      </c>
      <c r="B2066" s="26" t="s">
        <v>483</v>
      </c>
      <c r="C2066" s="27">
        <v>45793.0</v>
      </c>
      <c r="D2066" s="27">
        <v>45793.0</v>
      </c>
      <c r="E2066" s="26" t="s">
        <v>1121</v>
      </c>
      <c r="F2066" s="26" t="s">
        <v>1200</v>
      </c>
    </row>
    <row r="2067">
      <c r="A2067" s="26" t="s">
        <v>2065</v>
      </c>
      <c r="B2067" s="26" t="s">
        <v>528</v>
      </c>
      <c r="C2067" s="27">
        <v>45793.0</v>
      </c>
      <c r="D2067" s="27">
        <v>45793.0</v>
      </c>
      <c r="E2067" s="26" t="s">
        <v>1121</v>
      </c>
      <c r="F2067" s="26" t="s">
        <v>1200</v>
      </c>
    </row>
    <row r="2068">
      <c r="A2068" s="26" t="s">
        <v>2066</v>
      </c>
      <c r="B2068" s="26" t="s">
        <v>467</v>
      </c>
      <c r="C2068" s="27">
        <v>45792.0</v>
      </c>
      <c r="D2068" s="27">
        <v>45792.0</v>
      </c>
      <c r="E2068" s="26" t="s">
        <v>1121</v>
      </c>
      <c r="F2068" s="26" t="s">
        <v>1200</v>
      </c>
    </row>
    <row r="2069">
      <c r="A2069" s="26" t="s">
        <v>2067</v>
      </c>
      <c r="B2069" s="26" t="s">
        <v>599</v>
      </c>
      <c r="C2069" s="27">
        <v>45792.0</v>
      </c>
      <c r="D2069" s="27">
        <v>45792.0</v>
      </c>
      <c r="E2069" s="26" t="s">
        <v>1121</v>
      </c>
      <c r="F2069" s="26" t="s">
        <v>1200</v>
      </c>
    </row>
    <row r="2070">
      <c r="A2070" s="26" t="s">
        <v>2068</v>
      </c>
      <c r="B2070" s="26" t="s">
        <v>1766</v>
      </c>
      <c r="C2070" s="27">
        <v>45790.0</v>
      </c>
      <c r="D2070" s="27">
        <v>45790.0</v>
      </c>
      <c r="E2070" s="26" t="s">
        <v>1121</v>
      </c>
      <c r="F2070" s="26" t="s">
        <v>1200</v>
      </c>
    </row>
    <row r="2071">
      <c r="A2071" s="26" t="s">
        <v>2068</v>
      </c>
      <c r="B2071" s="26" t="s">
        <v>1766</v>
      </c>
      <c r="C2071" s="27">
        <v>45790.0</v>
      </c>
      <c r="D2071" s="27">
        <v>45790.0</v>
      </c>
      <c r="E2071" s="26" t="s">
        <v>1121</v>
      </c>
      <c r="F2071" s="26" t="s">
        <v>1200</v>
      </c>
    </row>
    <row r="2072">
      <c r="A2072" s="26" t="s">
        <v>2068</v>
      </c>
      <c r="B2072" s="26" t="s">
        <v>1766</v>
      </c>
      <c r="C2072" s="27">
        <v>45790.0</v>
      </c>
      <c r="D2072" s="27">
        <v>45790.0</v>
      </c>
      <c r="E2072" s="26" t="s">
        <v>1121</v>
      </c>
      <c r="F2072" s="26" t="s">
        <v>1200</v>
      </c>
    </row>
    <row r="2073">
      <c r="A2073" s="26" t="s">
        <v>2068</v>
      </c>
      <c r="B2073" s="26" t="s">
        <v>1766</v>
      </c>
      <c r="C2073" s="27">
        <v>45790.0</v>
      </c>
      <c r="D2073" s="27">
        <v>45790.0</v>
      </c>
      <c r="E2073" s="26" t="s">
        <v>1121</v>
      </c>
      <c r="F2073" s="26" t="s">
        <v>1200</v>
      </c>
    </row>
    <row r="2074">
      <c r="A2074" s="26" t="s">
        <v>2068</v>
      </c>
      <c r="B2074" s="26" t="s">
        <v>1766</v>
      </c>
      <c r="C2074" s="27">
        <v>45790.0</v>
      </c>
      <c r="D2074" s="27">
        <v>45790.0</v>
      </c>
      <c r="E2074" s="26" t="s">
        <v>1121</v>
      </c>
      <c r="F2074" s="26" t="s">
        <v>1200</v>
      </c>
    </row>
    <row r="2075">
      <c r="A2075" s="26" t="s">
        <v>2068</v>
      </c>
      <c r="B2075" s="26" t="s">
        <v>1766</v>
      </c>
      <c r="C2075" s="27">
        <v>45790.0</v>
      </c>
      <c r="D2075" s="27">
        <v>45790.0</v>
      </c>
      <c r="E2075" s="26" t="s">
        <v>1121</v>
      </c>
      <c r="F2075" s="26" t="s">
        <v>1200</v>
      </c>
    </row>
    <row r="2076">
      <c r="A2076" s="26" t="s">
        <v>2069</v>
      </c>
      <c r="B2076" s="26" t="s">
        <v>295</v>
      </c>
      <c r="C2076" s="27">
        <v>45790.0</v>
      </c>
      <c r="D2076" s="27">
        <v>45790.0</v>
      </c>
      <c r="E2076" s="26" t="s">
        <v>1121</v>
      </c>
      <c r="F2076" s="26" t="s">
        <v>1200</v>
      </c>
    </row>
    <row r="2077">
      <c r="A2077" s="26" t="s">
        <v>2069</v>
      </c>
      <c r="B2077" s="26" t="s">
        <v>295</v>
      </c>
      <c r="C2077" s="27">
        <v>45790.0</v>
      </c>
      <c r="D2077" s="27">
        <v>45790.0</v>
      </c>
      <c r="E2077" s="26" t="s">
        <v>1121</v>
      </c>
      <c r="F2077" s="26" t="s">
        <v>1200</v>
      </c>
    </row>
    <row r="2078">
      <c r="A2078" s="26" t="s">
        <v>2070</v>
      </c>
      <c r="B2078" s="26" t="s">
        <v>546</v>
      </c>
      <c r="C2078" s="27">
        <v>45790.0</v>
      </c>
      <c r="D2078" s="27">
        <v>45790.0</v>
      </c>
      <c r="E2078" s="26" t="s">
        <v>1121</v>
      </c>
      <c r="F2078" s="26" t="s">
        <v>1200</v>
      </c>
    </row>
    <row r="2079">
      <c r="A2079" s="26" t="s">
        <v>2071</v>
      </c>
      <c r="B2079" s="26" t="s">
        <v>2072</v>
      </c>
      <c r="C2079" s="27">
        <v>45789.0</v>
      </c>
      <c r="D2079" s="27">
        <v>45789.0</v>
      </c>
      <c r="E2079" s="26" t="s">
        <v>1121</v>
      </c>
      <c r="F2079" s="26" t="s">
        <v>1200</v>
      </c>
    </row>
    <row r="2080">
      <c r="A2080" s="26" t="s">
        <v>2071</v>
      </c>
      <c r="B2080" s="26" t="s">
        <v>2072</v>
      </c>
      <c r="C2080" s="27">
        <v>45789.0</v>
      </c>
      <c r="D2080" s="27">
        <v>45789.0</v>
      </c>
      <c r="E2080" s="26" t="s">
        <v>1121</v>
      </c>
      <c r="F2080" s="26" t="s">
        <v>1200</v>
      </c>
    </row>
    <row r="2081">
      <c r="A2081" s="26" t="s">
        <v>2071</v>
      </c>
      <c r="B2081" s="26" t="s">
        <v>2072</v>
      </c>
      <c r="C2081" s="27">
        <v>45789.0</v>
      </c>
      <c r="D2081" s="27">
        <v>45789.0</v>
      </c>
      <c r="E2081" s="26" t="s">
        <v>1121</v>
      </c>
      <c r="F2081" s="26" t="s">
        <v>1200</v>
      </c>
    </row>
    <row r="2082">
      <c r="A2082" s="26" t="s">
        <v>2071</v>
      </c>
      <c r="B2082" s="26" t="s">
        <v>2072</v>
      </c>
      <c r="C2082" s="27">
        <v>45789.0</v>
      </c>
      <c r="D2082" s="27">
        <v>45789.0</v>
      </c>
      <c r="E2082" s="26" t="s">
        <v>1121</v>
      </c>
      <c r="F2082" s="26" t="s">
        <v>1200</v>
      </c>
    </row>
    <row r="2083">
      <c r="A2083" s="26" t="s">
        <v>2073</v>
      </c>
      <c r="B2083" s="26" t="s">
        <v>467</v>
      </c>
      <c r="C2083" s="27">
        <v>45789.0</v>
      </c>
      <c r="D2083" s="27">
        <v>45789.0</v>
      </c>
      <c r="E2083" s="26" t="s">
        <v>1121</v>
      </c>
      <c r="F2083" s="26" t="s">
        <v>1200</v>
      </c>
    </row>
    <row r="2084">
      <c r="A2084" s="26" t="s">
        <v>2074</v>
      </c>
      <c r="B2084" s="26" t="s">
        <v>444</v>
      </c>
      <c r="C2084" s="27">
        <v>45789.0</v>
      </c>
      <c r="D2084" s="27">
        <v>45789.0</v>
      </c>
      <c r="E2084" s="26" t="s">
        <v>1121</v>
      </c>
      <c r="F2084" s="26" t="s">
        <v>1200</v>
      </c>
    </row>
    <row r="2085">
      <c r="A2085" s="26" t="s">
        <v>2075</v>
      </c>
      <c r="B2085" s="26" t="s">
        <v>736</v>
      </c>
      <c r="C2085" s="27">
        <v>45787.0</v>
      </c>
      <c r="D2085" s="27">
        <v>45787.0</v>
      </c>
      <c r="E2085" s="26" t="s">
        <v>1121</v>
      </c>
      <c r="F2085" s="26" t="s">
        <v>1200</v>
      </c>
    </row>
    <row r="2086">
      <c r="A2086" s="26" t="s">
        <v>2075</v>
      </c>
      <c r="B2086" s="26" t="s">
        <v>736</v>
      </c>
      <c r="C2086" s="27">
        <v>45787.0</v>
      </c>
      <c r="D2086" s="27">
        <v>45787.0</v>
      </c>
      <c r="E2086" s="26" t="s">
        <v>1121</v>
      </c>
      <c r="F2086" s="26" t="s">
        <v>1200</v>
      </c>
    </row>
    <row r="2087">
      <c r="A2087" s="26" t="s">
        <v>2075</v>
      </c>
      <c r="B2087" s="26" t="s">
        <v>736</v>
      </c>
      <c r="C2087" s="27">
        <v>45787.0</v>
      </c>
      <c r="D2087" s="27">
        <v>45787.0</v>
      </c>
      <c r="E2087" s="26" t="s">
        <v>1121</v>
      </c>
      <c r="F2087" s="26" t="s">
        <v>1200</v>
      </c>
    </row>
    <row r="2088">
      <c r="A2088" s="26" t="s">
        <v>2075</v>
      </c>
      <c r="B2088" s="26" t="s">
        <v>736</v>
      </c>
      <c r="C2088" s="27">
        <v>45787.0</v>
      </c>
      <c r="D2088" s="27">
        <v>45787.0</v>
      </c>
      <c r="E2088" s="26" t="s">
        <v>1121</v>
      </c>
      <c r="F2088" s="26" t="s">
        <v>1200</v>
      </c>
    </row>
    <row r="2089">
      <c r="A2089" s="26" t="s">
        <v>2075</v>
      </c>
      <c r="B2089" s="26" t="s">
        <v>736</v>
      </c>
      <c r="C2089" s="27">
        <v>45787.0</v>
      </c>
      <c r="D2089" s="27">
        <v>45787.0</v>
      </c>
      <c r="E2089" s="26" t="s">
        <v>1121</v>
      </c>
      <c r="F2089" s="26" t="s">
        <v>1200</v>
      </c>
    </row>
    <row r="2090">
      <c r="A2090" s="26" t="s">
        <v>2075</v>
      </c>
      <c r="B2090" s="26" t="s">
        <v>736</v>
      </c>
      <c r="C2090" s="27">
        <v>45787.0</v>
      </c>
      <c r="D2090" s="27">
        <v>45787.0</v>
      </c>
      <c r="E2090" s="26" t="s">
        <v>1121</v>
      </c>
      <c r="F2090" s="26" t="s">
        <v>1200</v>
      </c>
    </row>
    <row r="2091">
      <c r="A2091" s="26" t="s">
        <v>2076</v>
      </c>
      <c r="B2091" s="26" t="s">
        <v>435</v>
      </c>
      <c r="C2091" s="27">
        <v>45787.0</v>
      </c>
      <c r="D2091" s="27">
        <v>45787.0</v>
      </c>
      <c r="E2091" s="26" t="s">
        <v>1121</v>
      </c>
      <c r="F2091" s="26" t="s">
        <v>1200</v>
      </c>
    </row>
    <row r="2092">
      <c r="A2092" s="26" t="s">
        <v>2077</v>
      </c>
      <c r="B2092" s="26" t="s">
        <v>651</v>
      </c>
      <c r="C2092" s="27">
        <v>45787.0</v>
      </c>
      <c r="D2092" s="27">
        <v>45787.0</v>
      </c>
      <c r="E2092" s="26" t="s">
        <v>1121</v>
      </c>
      <c r="F2092" s="26" t="s">
        <v>1200</v>
      </c>
    </row>
    <row r="2093">
      <c r="A2093" s="26" t="s">
        <v>2077</v>
      </c>
      <c r="B2093" s="26" t="s">
        <v>651</v>
      </c>
      <c r="C2093" s="27">
        <v>45787.0</v>
      </c>
      <c r="D2093" s="27">
        <v>45787.0</v>
      </c>
      <c r="E2093" s="26" t="s">
        <v>1121</v>
      </c>
      <c r="F2093" s="26" t="s">
        <v>1200</v>
      </c>
    </row>
    <row r="2094">
      <c r="A2094" s="26" t="s">
        <v>2077</v>
      </c>
      <c r="B2094" s="26" t="s">
        <v>651</v>
      </c>
      <c r="C2094" s="27">
        <v>45787.0</v>
      </c>
      <c r="D2094" s="27">
        <v>45787.0</v>
      </c>
      <c r="E2094" s="26" t="s">
        <v>1121</v>
      </c>
      <c r="F2094" s="26" t="s">
        <v>1200</v>
      </c>
    </row>
    <row r="2095">
      <c r="A2095" s="26" t="s">
        <v>2078</v>
      </c>
      <c r="B2095" s="26" t="s">
        <v>516</v>
      </c>
      <c r="C2095" s="27">
        <v>45787.0</v>
      </c>
      <c r="D2095" s="27">
        <v>45787.0</v>
      </c>
      <c r="E2095" s="26" t="s">
        <v>1121</v>
      </c>
      <c r="F2095" s="26" t="s">
        <v>1200</v>
      </c>
    </row>
    <row r="2096">
      <c r="A2096" s="26" t="s">
        <v>2078</v>
      </c>
      <c r="B2096" s="26" t="s">
        <v>516</v>
      </c>
      <c r="C2096" s="27">
        <v>45787.0</v>
      </c>
      <c r="D2096" s="27">
        <v>45787.0</v>
      </c>
      <c r="E2096" s="26" t="s">
        <v>1121</v>
      </c>
      <c r="F2096" s="26" t="s">
        <v>1200</v>
      </c>
    </row>
    <row r="2097">
      <c r="A2097" s="26" t="s">
        <v>2078</v>
      </c>
      <c r="B2097" s="26" t="s">
        <v>516</v>
      </c>
      <c r="C2097" s="27">
        <v>45787.0</v>
      </c>
      <c r="D2097" s="27">
        <v>45787.0</v>
      </c>
      <c r="E2097" s="26" t="s">
        <v>1121</v>
      </c>
      <c r="F2097" s="26" t="s">
        <v>1200</v>
      </c>
    </row>
    <row r="2098">
      <c r="A2098" s="26" t="s">
        <v>2079</v>
      </c>
      <c r="B2098" s="26" t="s">
        <v>483</v>
      </c>
      <c r="C2098" s="27">
        <v>45787.0</v>
      </c>
      <c r="D2098" s="27">
        <v>45787.0</v>
      </c>
      <c r="E2098" s="26" t="s">
        <v>1121</v>
      </c>
      <c r="F2098" s="26" t="s">
        <v>1200</v>
      </c>
    </row>
    <row r="2099">
      <c r="A2099" s="26" t="s">
        <v>2080</v>
      </c>
      <c r="B2099" s="26" t="s">
        <v>432</v>
      </c>
      <c r="C2099" s="27">
        <v>45786.0</v>
      </c>
      <c r="D2099" s="27">
        <v>45786.0</v>
      </c>
      <c r="E2099" s="26" t="s">
        <v>1121</v>
      </c>
      <c r="F2099" s="26" t="s">
        <v>1200</v>
      </c>
    </row>
    <row r="2100">
      <c r="A2100" s="26" t="s">
        <v>2081</v>
      </c>
      <c r="B2100" s="26" t="s">
        <v>467</v>
      </c>
      <c r="C2100" s="27">
        <v>45786.0</v>
      </c>
      <c r="D2100" s="27">
        <v>45786.0</v>
      </c>
      <c r="E2100" s="26" t="s">
        <v>1121</v>
      </c>
      <c r="F2100" s="26" t="s">
        <v>1200</v>
      </c>
    </row>
    <row r="2101">
      <c r="A2101" s="26" t="s">
        <v>2081</v>
      </c>
      <c r="B2101" s="26" t="s">
        <v>467</v>
      </c>
      <c r="C2101" s="27">
        <v>45786.0</v>
      </c>
      <c r="D2101" s="27">
        <v>45786.0</v>
      </c>
      <c r="E2101" s="26" t="s">
        <v>1121</v>
      </c>
      <c r="F2101" s="26" t="s">
        <v>1200</v>
      </c>
    </row>
    <row r="2102">
      <c r="A2102" s="26" t="s">
        <v>2082</v>
      </c>
      <c r="B2102" s="26" t="s">
        <v>444</v>
      </c>
      <c r="C2102" s="27">
        <v>45786.0</v>
      </c>
      <c r="D2102" s="27">
        <v>45786.0</v>
      </c>
      <c r="E2102" s="26" t="s">
        <v>1121</v>
      </c>
      <c r="F2102" s="26" t="s">
        <v>1200</v>
      </c>
    </row>
    <row r="2103">
      <c r="A2103" s="26" t="s">
        <v>2083</v>
      </c>
      <c r="B2103" s="26" t="s">
        <v>1226</v>
      </c>
      <c r="C2103" s="27">
        <v>45785.0</v>
      </c>
      <c r="D2103" s="27">
        <v>45785.0</v>
      </c>
      <c r="E2103" s="26" t="s">
        <v>1121</v>
      </c>
      <c r="F2103" s="26" t="s">
        <v>1200</v>
      </c>
    </row>
    <row r="2104">
      <c r="A2104" s="26" t="s">
        <v>2083</v>
      </c>
      <c r="B2104" s="26" t="s">
        <v>1226</v>
      </c>
      <c r="C2104" s="27">
        <v>45785.0</v>
      </c>
      <c r="D2104" s="27">
        <v>45785.0</v>
      </c>
      <c r="E2104" s="26" t="s">
        <v>1121</v>
      </c>
      <c r="F2104" s="26" t="s">
        <v>1200</v>
      </c>
    </row>
    <row r="2105">
      <c r="A2105" s="26" t="s">
        <v>2083</v>
      </c>
      <c r="B2105" s="26" t="s">
        <v>1226</v>
      </c>
      <c r="C2105" s="27">
        <v>45785.0</v>
      </c>
      <c r="D2105" s="27">
        <v>45785.0</v>
      </c>
      <c r="E2105" s="26" t="s">
        <v>1121</v>
      </c>
      <c r="F2105" s="26" t="s">
        <v>1200</v>
      </c>
    </row>
    <row r="2106">
      <c r="A2106" s="26" t="s">
        <v>2083</v>
      </c>
      <c r="B2106" s="26" t="s">
        <v>1226</v>
      </c>
      <c r="C2106" s="27">
        <v>45785.0</v>
      </c>
      <c r="D2106" s="27">
        <v>45785.0</v>
      </c>
      <c r="E2106" s="26" t="s">
        <v>1121</v>
      </c>
      <c r="F2106" s="26" t="s">
        <v>1200</v>
      </c>
    </row>
    <row r="2107">
      <c r="A2107" s="26" t="s">
        <v>2083</v>
      </c>
      <c r="B2107" s="26" t="s">
        <v>1226</v>
      </c>
      <c r="C2107" s="27">
        <v>45785.0</v>
      </c>
      <c r="D2107" s="27">
        <v>45785.0</v>
      </c>
      <c r="E2107" s="26" t="s">
        <v>1121</v>
      </c>
      <c r="F2107" s="26" t="s">
        <v>1200</v>
      </c>
    </row>
    <row r="2108">
      <c r="A2108" s="26" t="s">
        <v>2083</v>
      </c>
      <c r="B2108" s="26" t="s">
        <v>1226</v>
      </c>
      <c r="C2108" s="27">
        <v>45785.0</v>
      </c>
      <c r="D2108" s="27">
        <v>45785.0</v>
      </c>
      <c r="E2108" s="26" t="s">
        <v>1121</v>
      </c>
      <c r="F2108" s="26" t="s">
        <v>1200</v>
      </c>
    </row>
    <row r="2109">
      <c r="A2109" s="26" t="s">
        <v>2083</v>
      </c>
      <c r="B2109" s="26" t="s">
        <v>1226</v>
      </c>
      <c r="C2109" s="27">
        <v>45785.0</v>
      </c>
      <c r="D2109" s="27">
        <v>45785.0</v>
      </c>
      <c r="E2109" s="26" t="s">
        <v>1121</v>
      </c>
      <c r="F2109" s="26" t="s">
        <v>1200</v>
      </c>
    </row>
    <row r="2110">
      <c r="A2110" s="26" t="s">
        <v>2084</v>
      </c>
      <c r="B2110" s="26" t="s">
        <v>1916</v>
      </c>
      <c r="C2110" s="27">
        <v>45785.0</v>
      </c>
      <c r="D2110" s="27">
        <v>45785.0</v>
      </c>
      <c r="E2110" s="26" t="s">
        <v>1121</v>
      </c>
      <c r="F2110" s="26" t="s">
        <v>1200</v>
      </c>
    </row>
    <row r="2111">
      <c r="A2111" s="26" t="s">
        <v>2085</v>
      </c>
      <c r="B2111" s="26" t="s">
        <v>295</v>
      </c>
      <c r="C2111" s="27">
        <v>45784.0</v>
      </c>
      <c r="D2111" s="27">
        <v>45784.0</v>
      </c>
      <c r="E2111" s="26" t="s">
        <v>1121</v>
      </c>
      <c r="F2111" s="26" t="s">
        <v>1200</v>
      </c>
    </row>
    <row r="2112">
      <c r="A2112" s="26" t="s">
        <v>2085</v>
      </c>
      <c r="B2112" s="26" t="s">
        <v>295</v>
      </c>
      <c r="C2112" s="27">
        <v>45784.0</v>
      </c>
      <c r="D2112" s="27">
        <v>45784.0</v>
      </c>
      <c r="E2112" s="26" t="s">
        <v>1121</v>
      </c>
      <c r="F2112" s="26" t="s">
        <v>1200</v>
      </c>
    </row>
    <row r="2113">
      <c r="A2113" s="26" t="s">
        <v>2085</v>
      </c>
      <c r="B2113" s="26" t="s">
        <v>295</v>
      </c>
      <c r="C2113" s="27">
        <v>45784.0</v>
      </c>
      <c r="D2113" s="27">
        <v>45784.0</v>
      </c>
      <c r="E2113" s="26" t="s">
        <v>1121</v>
      </c>
      <c r="F2113" s="26" t="s">
        <v>1200</v>
      </c>
    </row>
    <row r="2114">
      <c r="A2114" s="26" t="s">
        <v>2086</v>
      </c>
      <c r="B2114" s="26" t="s">
        <v>383</v>
      </c>
      <c r="C2114" s="27">
        <v>45784.0</v>
      </c>
      <c r="D2114" s="27">
        <v>45784.0</v>
      </c>
      <c r="E2114" s="26" t="s">
        <v>1121</v>
      </c>
      <c r="F2114" s="26" t="s">
        <v>1200</v>
      </c>
    </row>
    <row r="2115">
      <c r="A2115" s="26" t="s">
        <v>2086</v>
      </c>
      <c r="B2115" s="26" t="s">
        <v>383</v>
      </c>
      <c r="C2115" s="27">
        <v>45784.0</v>
      </c>
      <c r="D2115" s="27">
        <v>45784.0</v>
      </c>
      <c r="E2115" s="26" t="s">
        <v>1121</v>
      </c>
      <c r="F2115" s="26" t="s">
        <v>1200</v>
      </c>
    </row>
    <row r="2116">
      <c r="A2116" s="26" t="s">
        <v>2086</v>
      </c>
      <c r="B2116" s="26" t="s">
        <v>383</v>
      </c>
      <c r="C2116" s="27">
        <v>45784.0</v>
      </c>
      <c r="D2116" s="27">
        <v>45784.0</v>
      </c>
      <c r="E2116" s="26" t="s">
        <v>1121</v>
      </c>
      <c r="F2116" s="26" t="s">
        <v>1200</v>
      </c>
    </row>
    <row r="2117">
      <c r="A2117" s="26" t="s">
        <v>2087</v>
      </c>
      <c r="B2117" s="26" t="s">
        <v>448</v>
      </c>
      <c r="C2117" s="27">
        <v>45784.0</v>
      </c>
      <c r="D2117" s="27">
        <v>45784.0</v>
      </c>
      <c r="E2117" s="26" t="s">
        <v>1121</v>
      </c>
      <c r="F2117" s="26" t="s">
        <v>1200</v>
      </c>
    </row>
    <row r="2118">
      <c r="A2118" s="26" t="s">
        <v>2087</v>
      </c>
      <c r="B2118" s="26" t="s">
        <v>448</v>
      </c>
      <c r="C2118" s="27">
        <v>45784.0</v>
      </c>
      <c r="D2118" s="27">
        <v>45784.0</v>
      </c>
      <c r="E2118" s="26" t="s">
        <v>1121</v>
      </c>
      <c r="F2118" s="26" t="s">
        <v>1200</v>
      </c>
    </row>
    <row r="2119">
      <c r="A2119" s="26" t="s">
        <v>2088</v>
      </c>
      <c r="B2119" s="26" t="s">
        <v>2089</v>
      </c>
      <c r="C2119" s="27">
        <v>45783.0</v>
      </c>
      <c r="D2119" s="27">
        <v>45783.0</v>
      </c>
      <c r="E2119" s="26" t="s">
        <v>1121</v>
      </c>
      <c r="F2119" s="26" t="s">
        <v>1200</v>
      </c>
    </row>
    <row r="2120">
      <c r="A2120" s="26" t="s">
        <v>2090</v>
      </c>
      <c r="B2120" s="26" t="s">
        <v>745</v>
      </c>
      <c r="C2120" s="27">
        <v>45783.0</v>
      </c>
      <c r="D2120" s="27">
        <v>45783.0</v>
      </c>
      <c r="E2120" s="26" t="s">
        <v>1121</v>
      </c>
      <c r="F2120" s="26" t="s">
        <v>1200</v>
      </c>
    </row>
    <row r="2121">
      <c r="A2121" s="26" t="s">
        <v>2090</v>
      </c>
      <c r="B2121" s="26" t="s">
        <v>745</v>
      </c>
      <c r="C2121" s="27">
        <v>45783.0</v>
      </c>
      <c r="D2121" s="27">
        <v>45783.0</v>
      </c>
      <c r="E2121" s="26" t="s">
        <v>1121</v>
      </c>
      <c r="F2121" s="26" t="s">
        <v>1200</v>
      </c>
    </row>
    <row r="2122">
      <c r="A2122" s="26" t="s">
        <v>2090</v>
      </c>
      <c r="B2122" s="26" t="s">
        <v>745</v>
      </c>
      <c r="C2122" s="27">
        <v>45783.0</v>
      </c>
      <c r="D2122" s="27">
        <v>45783.0</v>
      </c>
      <c r="E2122" s="26" t="s">
        <v>1121</v>
      </c>
      <c r="F2122" s="26" t="s">
        <v>1200</v>
      </c>
    </row>
    <row r="2123">
      <c r="A2123" s="26" t="s">
        <v>2090</v>
      </c>
      <c r="B2123" s="26" t="s">
        <v>745</v>
      </c>
      <c r="C2123" s="27">
        <v>45783.0</v>
      </c>
      <c r="D2123" s="27">
        <v>45783.0</v>
      </c>
      <c r="E2123" s="26" t="s">
        <v>1121</v>
      </c>
      <c r="F2123" s="26" t="s">
        <v>1200</v>
      </c>
    </row>
    <row r="2124">
      <c r="A2124" s="26" t="s">
        <v>2090</v>
      </c>
      <c r="B2124" s="26" t="s">
        <v>745</v>
      </c>
      <c r="C2124" s="27">
        <v>45783.0</v>
      </c>
      <c r="D2124" s="27">
        <v>45783.0</v>
      </c>
      <c r="E2124" s="26" t="s">
        <v>1121</v>
      </c>
      <c r="F2124" s="26" t="s">
        <v>1200</v>
      </c>
    </row>
    <row r="2125">
      <c r="A2125" s="26" t="s">
        <v>2090</v>
      </c>
      <c r="B2125" s="26" t="s">
        <v>745</v>
      </c>
      <c r="C2125" s="27">
        <v>45783.0</v>
      </c>
      <c r="D2125" s="27">
        <v>45783.0</v>
      </c>
      <c r="E2125" s="26" t="s">
        <v>1121</v>
      </c>
      <c r="F2125" s="26" t="s">
        <v>1200</v>
      </c>
    </row>
    <row r="2126">
      <c r="A2126" s="26" t="s">
        <v>2090</v>
      </c>
      <c r="B2126" s="26" t="s">
        <v>745</v>
      </c>
      <c r="C2126" s="27">
        <v>45783.0</v>
      </c>
      <c r="D2126" s="27">
        <v>45783.0</v>
      </c>
      <c r="E2126" s="26" t="s">
        <v>1121</v>
      </c>
      <c r="F2126" s="26" t="s">
        <v>1200</v>
      </c>
    </row>
    <row r="2127">
      <c r="A2127" s="26" t="s">
        <v>2090</v>
      </c>
      <c r="B2127" s="26" t="s">
        <v>745</v>
      </c>
      <c r="C2127" s="27">
        <v>45783.0</v>
      </c>
      <c r="D2127" s="27">
        <v>45783.0</v>
      </c>
      <c r="E2127" s="26" t="s">
        <v>1121</v>
      </c>
      <c r="F2127" s="26" t="s">
        <v>1200</v>
      </c>
    </row>
    <row r="2128">
      <c r="A2128" s="26" t="s">
        <v>2090</v>
      </c>
      <c r="B2128" s="26" t="s">
        <v>745</v>
      </c>
      <c r="C2128" s="27">
        <v>45783.0</v>
      </c>
      <c r="D2128" s="27">
        <v>45783.0</v>
      </c>
      <c r="E2128" s="26" t="s">
        <v>1121</v>
      </c>
      <c r="F2128" s="26" t="s">
        <v>1200</v>
      </c>
    </row>
    <row r="2129">
      <c r="A2129" s="26" t="s">
        <v>2090</v>
      </c>
      <c r="B2129" s="26" t="s">
        <v>745</v>
      </c>
      <c r="C2129" s="27">
        <v>45783.0</v>
      </c>
      <c r="D2129" s="27">
        <v>45783.0</v>
      </c>
      <c r="E2129" s="26" t="s">
        <v>1121</v>
      </c>
      <c r="F2129" s="26" t="s">
        <v>1200</v>
      </c>
    </row>
    <row r="2130">
      <c r="A2130" s="26" t="s">
        <v>2090</v>
      </c>
      <c r="B2130" s="26" t="s">
        <v>745</v>
      </c>
      <c r="C2130" s="27">
        <v>45783.0</v>
      </c>
      <c r="D2130" s="27">
        <v>45783.0</v>
      </c>
      <c r="E2130" s="26" t="s">
        <v>1121</v>
      </c>
      <c r="F2130" s="26" t="s">
        <v>1200</v>
      </c>
    </row>
    <row r="2131">
      <c r="A2131" s="26" t="s">
        <v>2090</v>
      </c>
      <c r="B2131" s="26" t="s">
        <v>745</v>
      </c>
      <c r="C2131" s="27">
        <v>45783.0</v>
      </c>
      <c r="D2131" s="27">
        <v>45783.0</v>
      </c>
      <c r="E2131" s="26" t="s">
        <v>1121</v>
      </c>
      <c r="F2131" s="26" t="s">
        <v>1200</v>
      </c>
    </row>
    <row r="2132">
      <c r="A2132" s="26" t="s">
        <v>2090</v>
      </c>
      <c r="B2132" s="26" t="s">
        <v>745</v>
      </c>
      <c r="C2132" s="27">
        <v>45783.0</v>
      </c>
      <c r="D2132" s="27">
        <v>45783.0</v>
      </c>
      <c r="E2132" s="26" t="s">
        <v>1121</v>
      </c>
      <c r="F2132" s="26" t="s">
        <v>1200</v>
      </c>
    </row>
    <row r="2133">
      <c r="A2133" s="26" t="s">
        <v>2090</v>
      </c>
      <c r="B2133" s="26" t="s">
        <v>745</v>
      </c>
      <c r="C2133" s="27">
        <v>45783.0</v>
      </c>
      <c r="D2133" s="27">
        <v>45783.0</v>
      </c>
      <c r="E2133" s="26" t="s">
        <v>1121</v>
      </c>
      <c r="F2133" s="26" t="s">
        <v>1200</v>
      </c>
    </row>
    <row r="2134">
      <c r="A2134" s="26" t="s">
        <v>2090</v>
      </c>
      <c r="B2134" s="26" t="s">
        <v>745</v>
      </c>
      <c r="C2134" s="27">
        <v>45783.0</v>
      </c>
      <c r="D2134" s="27">
        <v>45783.0</v>
      </c>
      <c r="E2134" s="26" t="s">
        <v>1121</v>
      </c>
      <c r="F2134" s="26" t="s">
        <v>1200</v>
      </c>
    </row>
    <row r="2135">
      <c r="A2135" s="26" t="s">
        <v>2091</v>
      </c>
      <c r="B2135" s="26" t="s">
        <v>1335</v>
      </c>
      <c r="C2135" s="27">
        <v>45783.0</v>
      </c>
      <c r="D2135" s="27">
        <v>45783.0</v>
      </c>
      <c r="E2135" s="26" t="s">
        <v>1121</v>
      </c>
      <c r="F2135" s="26" t="s">
        <v>1200</v>
      </c>
    </row>
    <row r="2136">
      <c r="A2136" s="26" t="s">
        <v>2091</v>
      </c>
      <c r="B2136" s="26" t="s">
        <v>1335</v>
      </c>
      <c r="C2136" s="27">
        <v>45783.0</v>
      </c>
      <c r="D2136" s="27">
        <v>45783.0</v>
      </c>
      <c r="E2136" s="26" t="s">
        <v>1121</v>
      </c>
      <c r="F2136" s="26" t="s">
        <v>1200</v>
      </c>
    </row>
    <row r="2137">
      <c r="A2137" s="26" t="s">
        <v>2091</v>
      </c>
      <c r="B2137" s="26" t="s">
        <v>1335</v>
      </c>
      <c r="C2137" s="27">
        <v>45783.0</v>
      </c>
      <c r="D2137" s="27">
        <v>45783.0</v>
      </c>
      <c r="E2137" s="26" t="s">
        <v>1121</v>
      </c>
      <c r="F2137" s="26" t="s">
        <v>1200</v>
      </c>
    </row>
    <row r="2138">
      <c r="A2138" s="26" t="s">
        <v>2091</v>
      </c>
      <c r="B2138" s="26" t="s">
        <v>1335</v>
      </c>
      <c r="C2138" s="27">
        <v>45783.0</v>
      </c>
      <c r="D2138" s="27">
        <v>45783.0</v>
      </c>
      <c r="E2138" s="26" t="s">
        <v>1121</v>
      </c>
      <c r="F2138" s="26" t="s">
        <v>1200</v>
      </c>
    </row>
    <row r="2139">
      <c r="A2139" s="26" t="s">
        <v>2091</v>
      </c>
      <c r="B2139" s="26" t="s">
        <v>1335</v>
      </c>
      <c r="C2139" s="27">
        <v>45783.0</v>
      </c>
      <c r="D2139" s="27">
        <v>45783.0</v>
      </c>
      <c r="E2139" s="26" t="s">
        <v>1121</v>
      </c>
      <c r="F2139" s="26" t="s">
        <v>1200</v>
      </c>
    </row>
    <row r="2140">
      <c r="A2140" s="26" t="s">
        <v>2091</v>
      </c>
      <c r="B2140" s="26" t="s">
        <v>1335</v>
      </c>
      <c r="C2140" s="27">
        <v>45783.0</v>
      </c>
      <c r="D2140" s="27">
        <v>45783.0</v>
      </c>
      <c r="E2140" s="26" t="s">
        <v>1121</v>
      </c>
      <c r="F2140" s="26" t="s">
        <v>1200</v>
      </c>
    </row>
    <row r="2141">
      <c r="A2141" s="26" t="s">
        <v>2092</v>
      </c>
      <c r="B2141" s="26" t="s">
        <v>546</v>
      </c>
      <c r="C2141" s="27">
        <v>45783.0</v>
      </c>
      <c r="D2141" s="27">
        <v>45783.0</v>
      </c>
      <c r="E2141" s="26" t="s">
        <v>1121</v>
      </c>
      <c r="F2141" s="26" t="s">
        <v>1200</v>
      </c>
    </row>
    <row r="2142">
      <c r="A2142" s="26" t="s">
        <v>2093</v>
      </c>
      <c r="B2142" s="26" t="s">
        <v>546</v>
      </c>
      <c r="C2142" s="27">
        <v>45782.0</v>
      </c>
      <c r="D2142" s="27">
        <v>45782.0</v>
      </c>
      <c r="E2142" s="26" t="s">
        <v>1121</v>
      </c>
      <c r="F2142" s="26" t="s">
        <v>1200</v>
      </c>
    </row>
    <row r="2143">
      <c r="A2143" s="26" t="s">
        <v>2094</v>
      </c>
      <c r="B2143" s="26" t="s">
        <v>497</v>
      </c>
      <c r="C2143" s="27">
        <v>45782.0</v>
      </c>
      <c r="D2143" s="27">
        <v>45782.0</v>
      </c>
      <c r="E2143" s="26" t="s">
        <v>1121</v>
      </c>
      <c r="F2143" s="26" t="s">
        <v>1200</v>
      </c>
    </row>
    <row r="2144">
      <c r="A2144" s="26" t="s">
        <v>2095</v>
      </c>
      <c r="B2144" s="26" t="s">
        <v>599</v>
      </c>
      <c r="C2144" s="27">
        <v>45782.0</v>
      </c>
      <c r="D2144" s="27">
        <v>45782.0</v>
      </c>
      <c r="E2144" s="26" t="s">
        <v>1121</v>
      </c>
      <c r="F2144" s="26" t="s">
        <v>1200</v>
      </c>
    </row>
    <row r="2145">
      <c r="A2145" s="26" t="s">
        <v>2095</v>
      </c>
      <c r="B2145" s="26" t="s">
        <v>599</v>
      </c>
      <c r="C2145" s="27">
        <v>45782.0</v>
      </c>
      <c r="D2145" s="27">
        <v>45782.0</v>
      </c>
      <c r="E2145" s="26" t="s">
        <v>1121</v>
      </c>
      <c r="F2145" s="26" t="s">
        <v>1200</v>
      </c>
    </row>
    <row r="2146">
      <c r="A2146" s="26" t="s">
        <v>2096</v>
      </c>
      <c r="B2146" s="26" t="s">
        <v>472</v>
      </c>
      <c r="C2146" s="27">
        <v>45780.0</v>
      </c>
      <c r="D2146" s="27">
        <v>45780.0</v>
      </c>
      <c r="E2146" s="26" t="s">
        <v>1121</v>
      </c>
      <c r="F2146" s="26" t="s">
        <v>1200</v>
      </c>
    </row>
    <row r="2147">
      <c r="A2147" s="26" t="s">
        <v>2097</v>
      </c>
      <c r="B2147" s="26" t="s">
        <v>497</v>
      </c>
      <c r="C2147" s="27">
        <v>45780.0</v>
      </c>
      <c r="D2147" s="27">
        <v>45780.0</v>
      </c>
      <c r="E2147" s="26" t="s">
        <v>1121</v>
      </c>
      <c r="F2147" s="26" t="s">
        <v>1200</v>
      </c>
    </row>
    <row r="2148">
      <c r="A2148" s="26" t="s">
        <v>2098</v>
      </c>
      <c r="B2148" s="26" t="s">
        <v>428</v>
      </c>
      <c r="C2148" s="27">
        <v>45780.0</v>
      </c>
      <c r="D2148" s="27">
        <v>45780.0</v>
      </c>
      <c r="E2148" s="26" t="s">
        <v>1121</v>
      </c>
      <c r="F2148" s="26" t="s">
        <v>1200</v>
      </c>
    </row>
    <row r="2149">
      <c r="A2149" s="26" t="s">
        <v>2099</v>
      </c>
      <c r="B2149" s="26" t="s">
        <v>432</v>
      </c>
      <c r="C2149" s="27">
        <v>45780.0</v>
      </c>
      <c r="D2149" s="27">
        <v>45780.0</v>
      </c>
      <c r="E2149" s="26" t="s">
        <v>1121</v>
      </c>
      <c r="F2149" s="26" t="s">
        <v>1200</v>
      </c>
    </row>
    <row r="2150">
      <c r="A2150" s="26" t="s">
        <v>2100</v>
      </c>
      <c r="B2150" s="26" t="s">
        <v>634</v>
      </c>
      <c r="C2150" s="27">
        <v>45780.0</v>
      </c>
      <c r="D2150" s="27">
        <v>45780.0</v>
      </c>
      <c r="E2150" s="26" t="s">
        <v>1121</v>
      </c>
      <c r="F2150" s="26" t="s">
        <v>1200</v>
      </c>
    </row>
    <row r="2151">
      <c r="A2151" s="26" t="s">
        <v>2101</v>
      </c>
      <c r="B2151" s="26" t="s">
        <v>455</v>
      </c>
      <c r="C2151" s="27">
        <v>45780.0</v>
      </c>
      <c r="D2151" s="27">
        <v>45780.0</v>
      </c>
      <c r="E2151" s="26" t="s">
        <v>1121</v>
      </c>
      <c r="F2151" s="26" t="s">
        <v>1200</v>
      </c>
    </row>
    <row r="2152">
      <c r="A2152" s="26" t="s">
        <v>2102</v>
      </c>
      <c r="B2152" s="26" t="s">
        <v>580</v>
      </c>
      <c r="C2152" s="27">
        <v>45780.0</v>
      </c>
      <c r="D2152" s="27">
        <v>45780.0</v>
      </c>
      <c r="E2152" s="26" t="s">
        <v>1121</v>
      </c>
      <c r="F2152" s="26" t="s">
        <v>1200</v>
      </c>
    </row>
    <row r="2153">
      <c r="A2153" s="26" t="s">
        <v>2103</v>
      </c>
      <c r="B2153" s="26" t="s">
        <v>546</v>
      </c>
      <c r="C2153" s="27">
        <v>45780.0</v>
      </c>
      <c r="D2153" s="27">
        <v>45780.0</v>
      </c>
      <c r="E2153" s="26" t="s">
        <v>1121</v>
      </c>
      <c r="F2153" s="26" t="s">
        <v>1200</v>
      </c>
    </row>
    <row r="2154">
      <c r="A2154" s="26" t="s">
        <v>2104</v>
      </c>
      <c r="B2154" s="26" t="s">
        <v>1766</v>
      </c>
      <c r="C2154" s="27">
        <v>45780.0</v>
      </c>
      <c r="D2154" s="27">
        <v>45780.0</v>
      </c>
      <c r="E2154" s="26" t="s">
        <v>1121</v>
      </c>
      <c r="F2154" s="26" t="s">
        <v>1200</v>
      </c>
    </row>
    <row r="2155">
      <c r="A2155" s="26" t="s">
        <v>2104</v>
      </c>
      <c r="B2155" s="26" t="s">
        <v>1766</v>
      </c>
      <c r="C2155" s="27">
        <v>45780.0</v>
      </c>
      <c r="D2155" s="27">
        <v>45780.0</v>
      </c>
      <c r="E2155" s="26" t="s">
        <v>1121</v>
      </c>
      <c r="F2155" s="26" t="s">
        <v>1200</v>
      </c>
    </row>
    <row r="2156">
      <c r="A2156" s="26" t="s">
        <v>2105</v>
      </c>
      <c r="B2156" s="26" t="s">
        <v>505</v>
      </c>
      <c r="C2156" s="27">
        <v>45779.0</v>
      </c>
      <c r="D2156" s="27">
        <v>45779.0</v>
      </c>
      <c r="E2156" s="26" t="s">
        <v>1121</v>
      </c>
      <c r="F2156" s="26" t="s">
        <v>1200</v>
      </c>
    </row>
    <row r="2157">
      <c r="A2157" s="26" t="s">
        <v>2105</v>
      </c>
      <c r="B2157" s="26" t="s">
        <v>505</v>
      </c>
      <c r="C2157" s="27">
        <v>45779.0</v>
      </c>
      <c r="D2157" s="27">
        <v>45779.0</v>
      </c>
      <c r="E2157" s="26" t="s">
        <v>1121</v>
      </c>
      <c r="F2157" s="26" t="s">
        <v>1200</v>
      </c>
    </row>
    <row r="2158">
      <c r="A2158" s="26" t="s">
        <v>2105</v>
      </c>
      <c r="B2158" s="26" t="s">
        <v>505</v>
      </c>
      <c r="C2158" s="27">
        <v>45779.0</v>
      </c>
      <c r="D2158" s="27">
        <v>45779.0</v>
      </c>
      <c r="E2158" s="26" t="s">
        <v>1121</v>
      </c>
      <c r="F2158" s="26" t="s">
        <v>1200</v>
      </c>
    </row>
    <row r="2159">
      <c r="A2159" s="26" t="s">
        <v>2106</v>
      </c>
      <c r="B2159" s="26" t="s">
        <v>444</v>
      </c>
      <c r="C2159" s="27">
        <v>45779.0</v>
      </c>
      <c r="D2159" s="27">
        <v>45779.0</v>
      </c>
      <c r="E2159" s="26" t="s">
        <v>1121</v>
      </c>
      <c r="F2159" s="26" t="s">
        <v>1200</v>
      </c>
    </row>
    <row r="2160">
      <c r="A2160" s="26" t="s">
        <v>2106</v>
      </c>
      <c r="B2160" s="26" t="s">
        <v>444</v>
      </c>
      <c r="C2160" s="27">
        <v>45779.0</v>
      </c>
      <c r="D2160" s="27">
        <v>45779.0</v>
      </c>
      <c r="E2160" s="26" t="s">
        <v>1121</v>
      </c>
      <c r="F2160" s="26" t="s">
        <v>1200</v>
      </c>
    </row>
    <row r="2161">
      <c r="A2161" s="26" t="s">
        <v>2107</v>
      </c>
      <c r="B2161" s="26" t="s">
        <v>1574</v>
      </c>
      <c r="C2161" s="27">
        <v>45779.0</v>
      </c>
      <c r="D2161" s="27">
        <v>45779.0</v>
      </c>
      <c r="E2161" s="26" t="s">
        <v>1121</v>
      </c>
      <c r="F2161" s="26" t="s">
        <v>1200</v>
      </c>
    </row>
    <row r="2162">
      <c r="A2162" s="26" t="s">
        <v>2107</v>
      </c>
      <c r="B2162" s="26" t="s">
        <v>1574</v>
      </c>
      <c r="C2162" s="27">
        <v>45779.0</v>
      </c>
      <c r="D2162" s="27">
        <v>45779.0</v>
      </c>
      <c r="E2162" s="26" t="s">
        <v>1121</v>
      </c>
      <c r="F2162" s="26" t="s">
        <v>1200</v>
      </c>
    </row>
    <row r="2163">
      <c r="A2163" s="26" t="s">
        <v>2107</v>
      </c>
      <c r="B2163" s="26" t="s">
        <v>1574</v>
      </c>
      <c r="C2163" s="27">
        <v>45779.0</v>
      </c>
      <c r="D2163" s="27">
        <v>45779.0</v>
      </c>
      <c r="E2163" s="26" t="s">
        <v>1121</v>
      </c>
      <c r="F2163" s="26" t="s">
        <v>1200</v>
      </c>
    </row>
    <row r="2164">
      <c r="A2164" s="26" t="s">
        <v>2108</v>
      </c>
      <c r="B2164" s="26" t="s">
        <v>483</v>
      </c>
      <c r="C2164" s="27">
        <v>45779.0</v>
      </c>
      <c r="D2164" s="27">
        <v>45779.0</v>
      </c>
      <c r="E2164" s="26" t="s">
        <v>1121</v>
      </c>
      <c r="F2164" s="26" t="s">
        <v>1200</v>
      </c>
    </row>
    <row r="2165">
      <c r="A2165" s="26" t="s">
        <v>2108</v>
      </c>
      <c r="B2165" s="26" t="s">
        <v>483</v>
      </c>
      <c r="C2165" s="27">
        <v>45779.0</v>
      </c>
      <c r="D2165" s="27">
        <v>45779.0</v>
      </c>
      <c r="E2165" s="26" t="s">
        <v>1121</v>
      </c>
      <c r="F2165" s="26" t="s">
        <v>1200</v>
      </c>
    </row>
    <row r="2166">
      <c r="A2166" s="26" t="s">
        <v>2109</v>
      </c>
      <c r="B2166" s="26" t="s">
        <v>467</v>
      </c>
      <c r="C2166" s="27">
        <v>45776.0</v>
      </c>
      <c r="D2166" s="27">
        <v>45776.0</v>
      </c>
      <c r="E2166" s="26" t="s">
        <v>1121</v>
      </c>
      <c r="F2166" s="26" t="s">
        <v>1200</v>
      </c>
    </row>
    <row r="2167">
      <c r="A2167" s="26" t="s">
        <v>2110</v>
      </c>
      <c r="B2167" s="26" t="s">
        <v>634</v>
      </c>
      <c r="C2167" s="27">
        <v>45775.0</v>
      </c>
      <c r="D2167" s="27">
        <v>45775.0</v>
      </c>
      <c r="E2167" s="26" t="s">
        <v>1121</v>
      </c>
      <c r="F2167" s="26" t="s">
        <v>1200</v>
      </c>
    </row>
    <row r="2168">
      <c r="A2168" s="26" t="s">
        <v>2111</v>
      </c>
      <c r="B2168" s="26" t="s">
        <v>516</v>
      </c>
      <c r="C2168" s="27">
        <v>45775.0</v>
      </c>
      <c r="D2168" s="27">
        <v>45775.0</v>
      </c>
      <c r="E2168" s="26" t="s">
        <v>1121</v>
      </c>
      <c r="F2168" s="26" t="s">
        <v>1200</v>
      </c>
    </row>
    <row r="2169">
      <c r="A2169" s="26" t="s">
        <v>2111</v>
      </c>
      <c r="B2169" s="26" t="s">
        <v>516</v>
      </c>
      <c r="C2169" s="27">
        <v>45775.0</v>
      </c>
      <c r="D2169" s="27">
        <v>45775.0</v>
      </c>
      <c r="E2169" s="26" t="s">
        <v>1121</v>
      </c>
      <c r="F2169" s="26" t="s">
        <v>1200</v>
      </c>
    </row>
    <row r="2170">
      <c r="A2170" s="26" t="s">
        <v>2111</v>
      </c>
      <c r="B2170" s="26" t="s">
        <v>516</v>
      </c>
      <c r="C2170" s="27">
        <v>45775.0</v>
      </c>
      <c r="D2170" s="27">
        <v>45775.0</v>
      </c>
      <c r="E2170" s="26" t="s">
        <v>1121</v>
      </c>
      <c r="F2170" s="26" t="s">
        <v>1200</v>
      </c>
    </row>
    <row r="2171">
      <c r="A2171" s="26" t="s">
        <v>2112</v>
      </c>
      <c r="B2171" s="26" t="s">
        <v>1179</v>
      </c>
      <c r="C2171" s="27">
        <v>45775.0</v>
      </c>
      <c r="D2171" s="27">
        <v>45775.0</v>
      </c>
      <c r="E2171" s="26" t="s">
        <v>1121</v>
      </c>
      <c r="F2171" s="26" t="s">
        <v>1200</v>
      </c>
    </row>
    <row r="2172">
      <c r="A2172" s="26" t="s">
        <v>2112</v>
      </c>
      <c r="B2172" s="26" t="s">
        <v>1179</v>
      </c>
      <c r="C2172" s="27">
        <v>45775.0</v>
      </c>
      <c r="D2172" s="27">
        <v>45775.0</v>
      </c>
      <c r="E2172" s="26" t="s">
        <v>1121</v>
      </c>
      <c r="F2172" s="26" t="s">
        <v>1200</v>
      </c>
    </row>
    <row r="2173">
      <c r="A2173" s="26" t="s">
        <v>2113</v>
      </c>
      <c r="B2173" s="26" t="s">
        <v>546</v>
      </c>
      <c r="C2173" s="27">
        <v>45775.0</v>
      </c>
      <c r="D2173" s="27">
        <v>45775.0</v>
      </c>
      <c r="E2173" s="26" t="s">
        <v>1121</v>
      </c>
      <c r="F2173" s="26" t="s">
        <v>1200</v>
      </c>
    </row>
    <row r="2174">
      <c r="A2174" s="26" t="s">
        <v>2114</v>
      </c>
      <c r="B2174" s="26" t="s">
        <v>574</v>
      </c>
      <c r="C2174" s="27">
        <v>45775.0</v>
      </c>
      <c r="D2174" s="27">
        <v>45775.0</v>
      </c>
      <c r="E2174" s="26" t="s">
        <v>1121</v>
      </c>
      <c r="F2174" s="26" t="s">
        <v>1200</v>
      </c>
    </row>
    <row r="2175">
      <c r="A2175" s="26" t="s">
        <v>2115</v>
      </c>
      <c r="B2175" s="26" t="s">
        <v>1335</v>
      </c>
      <c r="C2175" s="27">
        <v>45775.0</v>
      </c>
      <c r="D2175" s="27">
        <v>45775.0</v>
      </c>
      <c r="E2175" s="26" t="s">
        <v>1121</v>
      </c>
      <c r="F2175" s="26" t="s">
        <v>1200</v>
      </c>
    </row>
    <row r="2176">
      <c r="A2176" s="26" t="s">
        <v>2116</v>
      </c>
      <c r="B2176" s="26" t="s">
        <v>2117</v>
      </c>
      <c r="C2176" s="27">
        <v>45773.0</v>
      </c>
      <c r="D2176" s="27">
        <v>45773.0</v>
      </c>
      <c r="E2176" s="26" t="s">
        <v>1121</v>
      </c>
      <c r="F2176" s="26" t="s">
        <v>1200</v>
      </c>
    </row>
    <row r="2177">
      <c r="A2177" s="26" t="s">
        <v>2116</v>
      </c>
      <c r="B2177" s="26" t="s">
        <v>2117</v>
      </c>
      <c r="C2177" s="27">
        <v>45773.0</v>
      </c>
      <c r="D2177" s="27">
        <v>45773.0</v>
      </c>
      <c r="E2177" s="26" t="s">
        <v>1121</v>
      </c>
      <c r="F2177" s="26" t="s">
        <v>1200</v>
      </c>
    </row>
    <row r="2178">
      <c r="A2178" s="26" t="s">
        <v>2116</v>
      </c>
      <c r="B2178" s="26" t="s">
        <v>2117</v>
      </c>
      <c r="C2178" s="27">
        <v>45773.0</v>
      </c>
      <c r="D2178" s="27">
        <v>45773.0</v>
      </c>
      <c r="E2178" s="26" t="s">
        <v>1121</v>
      </c>
      <c r="F2178" s="26" t="s">
        <v>1200</v>
      </c>
    </row>
    <row r="2179">
      <c r="A2179" s="26" t="s">
        <v>2116</v>
      </c>
      <c r="B2179" s="26" t="s">
        <v>2117</v>
      </c>
      <c r="C2179" s="27">
        <v>45773.0</v>
      </c>
      <c r="D2179" s="27">
        <v>45773.0</v>
      </c>
      <c r="E2179" s="26" t="s">
        <v>1121</v>
      </c>
      <c r="F2179" s="26" t="s">
        <v>1200</v>
      </c>
    </row>
    <row r="2180">
      <c r="A2180" s="26" t="s">
        <v>2116</v>
      </c>
      <c r="B2180" s="26" t="s">
        <v>2117</v>
      </c>
      <c r="C2180" s="27">
        <v>45773.0</v>
      </c>
      <c r="D2180" s="27">
        <v>45773.0</v>
      </c>
      <c r="E2180" s="26" t="s">
        <v>1121</v>
      </c>
      <c r="F2180" s="26" t="s">
        <v>1200</v>
      </c>
    </row>
    <row r="2181">
      <c r="A2181" s="26" t="s">
        <v>2116</v>
      </c>
      <c r="B2181" s="26" t="s">
        <v>2117</v>
      </c>
      <c r="C2181" s="27">
        <v>45773.0</v>
      </c>
      <c r="D2181" s="27">
        <v>45773.0</v>
      </c>
      <c r="E2181" s="26" t="s">
        <v>1121</v>
      </c>
      <c r="F2181" s="26" t="s">
        <v>1200</v>
      </c>
    </row>
    <row r="2182">
      <c r="A2182" s="26" t="s">
        <v>2116</v>
      </c>
      <c r="B2182" s="26" t="s">
        <v>2117</v>
      </c>
      <c r="C2182" s="27">
        <v>45773.0</v>
      </c>
      <c r="D2182" s="27">
        <v>45773.0</v>
      </c>
      <c r="E2182" s="26" t="s">
        <v>1121</v>
      </c>
      <c r="F2182" s="26" t="s">
        <v>1200</v>
      </c>
    </row>
    <row r="2183">
      <c r="A2183" s="26" t="s">
        <v>2116</v>
      </c>
      <c r="B2183" s="26" t="s">
        <v>2117</v>
      </c>
      <c r="C2183" s="27">
        <v>45773.0</v>
      </c>
      <c r="D2183" s="27">
        <v>45773.0</v>
      </c>
      <c r="E2183" s="26" t="s">
        <v>1121</v>
      </c>
      <c r="F2183" s="26" t="s">
        <v>1200</v>
      </c>
    </row>
    <row r="2184">
      <c r="A2184" s="26" t="s">
        <v>2116</v>
      </c>
      <c r="B2184" s="26" t="s">
        <v>2117</v>
      </c>
      <c r="C2184" s="27">
        <v>45773.0</v>
      </c>
      <c r="D2184" s="27">
        <v>45773.0</v>
      </c>
      <c r="E2184" s="26" t="s">
        <v>1121</v>
      </c>
      <c r="F2184" s="26" t="s">
        <v>1200</v>
      </c>
    </row>
    <row r="2185">
      <c r="A2185" s="26" t="s">
        <v>2116</v>
      </c>
      <c r="B2185" s="26" t="s">
        <v>2117</v>
      </c>
      <c r="C2185" s="27">
        <v>45773.0</v>
      </c>
      <c r="D2185" s="27">
        <v>45773.0</v>
      </c>
      <c r="E2185" s="26" t="s">
        <v>1121</v>
      </c>
      <c r="F2185" s="26" t="s">
        <v>1200</v>
      </c>
    </row>
    <row r="2186">
      <c r="A2186" s="26" t="s">
        <v>2116</v>
      </c>
      <c r="B2186" s="26" t="s">
        <v>2117</v>
      </c>
      <c r="C2186" s="27">
        <v>45773.0</v>
      </c>
      <c r="D2186" s="27">
        <v>45773.0</v>
      </c>
      <c r="E2186" s="26" t="s">
        <v>1121</v>
      </c>
      <c r="F2186" s="26" t="s">
        <v>1200</v>
      </c>
    </row>
    <row r="2187">
      <c r="A2187" s="26" t="s">
        <v>2116</v>
      </c>
      <c r="B2187" s="26" t="s">
        <v>2117</v>
      </c>
      <c r="C2187" s="27">
        <v>45773.0</v>
      </c>
      <c r="D2187" s="27">
        <v>45773.0</v>
      </c>
      <c r="E2187" s="26" t="s">
        <v>1121</v>
      </c>
      <c r="F2187" s="26" t="s">
        <v>1200</v>
      </c>
    </row>
    <row r="2188">
      <c r="A2188" s="26" t="s">
        <v>2116</v>
      </c>
      <c r="B2188" s="26" t="s">
        <v>2117</v>
      </c>
      <c r="C2188" s="27">
        <v>45773.0</v>
      </c>
      <c r="D2188" s="27">
        <v>45773.0</v>
      </c>
      <c r="E2188" s="26" t="s">
        <v>1121</v>
      </c>
      <c r="F2188" s="26" t="s">
        <v>1200</v>
      </c>
    </row>
    <row r="2189">
      <c r="A2189" s="26" t="s">
        <v>2116</v>
      </c>
      <c r="B2189" s="26" t="s">
        <v>2117</v>
      </c>
      <c r="C2189" s="27">
        <v>45773.0</v>
      </c>
      <c r="D2189" s="27">
        <v>45773.0</v>
      </c>
      <c r="E2189" s="26" t="s">
        <v>1121</v>
      </c>
      <c r="F2189" s="26" t="s">
        <v>1200</v>
      </c>
    </row>
    <row r="2190">
      <c r="A2190" s="26" t="s">
        <v>2116</v>
      </c>
      <c r="B2190" s="26" t="s">
        <v>2117</v>
      </c>
      <c r="C2190" s="27">
        <v>45773.0</v>
      </c>
      <c r="D2190" s="27">
        <v>45773.0</v>
      </c>
      <c r="E2190" s="26" t="s">
        <v>1121</v>
      </c>
      <c r="F2190" s="26" t="s">
        <v>1200</v>
      </c>
    </row>
    <row r="2191">
      <c r="A2191" s="26" t="s">
        <v>2116</v>
      </c>
      <c r="B2191" s="26" t="s">
        <v>2117</v>
      </c>
      <c r="C2191" s="27">
        <v>45773.0</v>
      </c>
      <c r="D2191" s="27">
        <v>45773.0</v>
      </c>
      <c r="E2191" s="26" t="s">
        <v>1121</v>
      </c>
      <c r="F2191" s="26" t="s">
        <v>1200</v>
      </c>
    </row>
    <row r="2192">
      <c r="A2192" s="26" t="s">
        <v>2116</v>
      </c>
      <c r="B2192" s="26" t="s">
        <v>2117</v>
      </c>
      <c r="C2192" s="27">
        <v>45773.0</v>
      </c>
      <c r="D2192" s="27">
        <v>45773.0</v>
      </c>
      <c r="E2192" s="26" t="s">
        <v>1121</v>
      </c>
      <c r="F2192" s="26" t="s">
        <v>1200</v>
      </c>
    </row>
    <row r="2193">
      <c r="A2193" s="26" t="s">
        <v>2116</v>
      </c>
      <c r="B2193" s="26" t="s">
        <v>2117</v>
      </c>
      <c r="C2193" s="27">
        <v>45773.0</v>
      </c>
      <c r="D2193" s="27">
        <v>45773.0</v>
      </c>
      <c r="E2193" s="26" t="s">
        <v>1121</v>
      </c>
      <c r="F2193" s="26" t="s">
        <v>1200</v>
      </c>
    </row>
    <row r="2194">
      <c r="A2194" s="26" t="s">
        <v>2116</v>
      </c>
      <c r="B2194" s="26" t="s">
        <v>2117</v>
      </c>
      <c r="C2194" s="27">
        <v>45773.0</v>
      </c>
      <c r="D2194" s="27">
        <v>45773.0</v>
      </c>
      <c r="E2194" s="26" t="s">
        <v>1121</v>
      </c>
      <c r="F2194" s="26" t="s">
        <v>1200</v>
      </c>
    </row>
    <row r="2195">
      <c r="A2195" s="26" t="s">
        <v>2116</v>
      </c>
      <c r="B2195" s="26" t="s">
        <v>2117</v>
      </c>
      <c r="C2195" s="27">
        <v>45773.0</v>
      </c>
      <c r="D2195" s="27">
        <v>45773.0</v>
      </c>
      <c r="E2195" s="26" t="s">
        <v>1121</v>
      </c>
      <c r="F2195" s="26" t="s">
        <v>1200</v>
      </c>
    </row>
    <row r="2196">
      <c r="A2196" s="26" t="s">
        <v>2118</v>
      </c>
      <c r="B2196" s="26" t="s">
        <v>467</v>
      </c>
      <c r="C2196" s="27">
        <v>45773.0</v>
      </c>
      <c r="D2196" s="27">
        <v>45773.0</v>
      </c>
      <c r="E2196" s="26" t="s">
        <v>1121</v>
      </c>
      <c r="F2196" s="26" t="s">
        <v>1200</v>
      </c>
    </row>
    <row r="2197">
      <c r="A2197" s="26" t="s">
        <v>2119</v>
      </c>
      <c r="B2197" s="26" t="s">
        <v>546</v>
      </c>
      <c r="C2197" s="27">
        <v>45773.0</v>
      </c>
      <c r="D2197" s="27">
        <v>45773.0</v>
      </c>
      <c r="E2197" s="26" t="s">
        <v>1121</v>
      </c>
      <c r="F2197" s="26" t="s">
        <v>1200</v>
      </c>
    </row>
    <row r="2198">
      <c r="A2198" s="26" t="s">
        <v>2119</v>
      </c>
      <c r="B2198" s="26" t="s">
        <v>546</v>
      </c>
      <c r="C2198" s="27">
        <v>45773.0</v>
      </c>
      <c r="D2198" s="27">
        <v>45773.0</v>
      </c>
      <c r="E2198" s="26" t="s">
        <v>1121</v>
      </c>
      <c r="F2198" s="26" t="s">
        <v>1200</v>
      </c>
    </row>
    <row r="2199">
      <c r="A2199" s="26" t="s">
        <v>2119</v>
      </c>
      <c r="B2199" s="26" t="s">
        <v>546</v>
      </c>
      <c r="C2199" s="27">
        <v>45773.0</v>
      </c>
      <c r="D2199" s="27">
        <v>45773.0</v>
      </c>
      <c r="E2199" s="26" t="s">
        <v>1121</v>
      </c>
      <c r="F2199" s="26" t="s">
        <v>1200</v>
      </c>
    </row>
    <row r="2200">
      <c r="A2200" s="26" t="s">
        <v>2119</v>
      </c>
      <c r="B2200" s="26" t="s">
        <v>546</v>
      </c>
      <c r="C2200" s="27">
        <v>45773.0</v>
      </c>
      <c r="D2200" s="27">
        <v>45773.0</v>
      </c>
      <c r="E2200" s="26" t="s">
        <v>1121</v>
      </c>
      <c r="F2200" s="26" t="s">
        <v>1200</v>
      </c>
    </row>
    <row r="2201">
      <c r="A2201" s="26" t="s">
        <v>2120</v>
      </c>
      <c r="B2201" s="26" t="s">
        <v>435</v>
      </c>
      <c r="C2201" s="27">
        <v>45772.0</v>
      </c>
      <c r="D2201" s="27">
        <v>45772.0</v>
      </c>
      <c r="E2201" s="26" t="s">
        <v>1121</v>
      </c>
      <c r="F2201" s="26" t="s">
        <v>1200</v>
      </c>
    </row>
    <row r="2202">
      <c r="A2202" s="26" t="s">
        <v>2121</v>
      </c>
      <c r="B2202" s="26" t="s">
        <v>542</v>
      </c>
      <c r="C2202" s="27">
        <v>45772.0</v>
      </c>
      <c r="D2202" s="27">
        <v>45772.0</v>
      </c>
      <c r="E2202" s="26" t="s">
        <v>1121</v>
      </c>
      <c r="F2202" s="26" t="s">
        <v>1200</v>
      </c>
    </row>
    <row r="2203">
      <c r="A2203" s="26" t="s">
        <v>2122</v>
      </c>
      <c r="B2203" s="26" t="s">
        <v>439</v>
      </c>
      <c r="C2203" s="27">
        <v>45772.0</v>
      </c>
      <c r="D2203" s="27">
        <v>45772.0</v>
      </c>
      <c r="E2203" s="26" t="s">
        <v>1121</v>
      </c>
      <c r="F2203" s="26" t="s">
        <v>1200</v>
      </c>
    </row>
    <row r="2204">
      <c r="A2204" s="26" t="s">
        <v>2123</v>
      </c>
      <c r="B2204" s="26" t="s">
        <v>483</v>
      </c>
      <c r="C2204" s="27">
        <v>45772.0</v>
      </c>
      <c r="D2204" s="27">
        <v>45772.0</v>
      </c>
      <c r="E2204" s="26" t="s">
        <v>1121</v>
      </c>
      <c r="F2204" s="26" t="s">
        <v>1200</v>
      </c>
    </row>
    <row r="2205">
      <c r="A2205" s="26" t="s">
        <v>2124</v>
      </c>
      <c r="B2205" s="26" t="s">
        <v>1335</v>
      </c>
      <c r="C2205" s="27">
        <v>45772.0</v>
      </c>
      <c r="D2205" s="27">
        <v>45772.0</v>
      </c>
      <c r="E2205" s="26" t="s">
        <v>1121</v>
      </c>
      <c r="F2205" s="26" t="s">
        <v>1200</v>
      </c>
    </row>
    <row r="2206">
      <c r="A2206" s="26" t="s">
        <v>2125</v>
      </c>
      <c r="B2206" s="26" t="s">
        <v>1258</v>
      </c>
      <c r="C2206" s="27">
        <v>45771.0</v>
      </c>
      <c r="D2206" s="27">
        <v>45771.0</v>
      </c>
      <c r="E2206" s="26" t="s">
        <v>1121</v>
      </c>
      <c r="F2206" s="26" t="s">
        <v>1200</v>
      </c>
    </row>
    <row r="2207">
      <c r="A2207" s="26" t="s">
        <v>2125</v>
      </c>
      <c r="B2207" s="26" t="s">
        <v>1258</v>
      </c>
      <c r="C2207" s="27">
        <v>45771.0</v>
      </c>
      <c r="D2207" s="27">
        <v>45771.0</v>
      </c>
      <c r="E2207" s="26" t="s">
        <v>1121</v>
      </c>
      <c r="F2207" s="26" t="s">
        <v>1200</v>
      </c>
    </row>
    <row r="2208">
      <c r="A2208" s="26" t="s">
        <v>2125</v>
      </c>
      <c r="B2208" s="26" t="s">
        <v>1258</v>
      </c>
      <c r="C2208" s="27">
        <v>45771.0</v>
      </c>
      <c r="D2208" s="27">
        <v>45771.0</v>
      </c>
      <c r="E2208" s="26" t="s">
        <v>1121</v>
      </c>
      <c r="F2208" s="26" t="s">
        <v>1200</v>
      </c>
    </row>
    <row r="2209">
      <c r="A2209" s="26" t="s">
        <v>2125</v>
      </c>
      <c r="B2209" s="26" t="s">
        <v>1258</v>
      </c>
      <c r="C2209" s="27">
        <v>45771.0</v>
      </c>
      <c r="D2209" s="27">
        <v>45771.0</v>
      </c>
      <c r="E2209" s="26" t="s">
        <v>1121</v>
      </c>
      <c r="F2209" s="26" t="s">
        <v>1200</v>
      </c>
    </row>
    <row r="2210">
      <c r="A2210" s="26" t="s">
        <v>2126</v>
      </c>
      <c r="B2210" s="26" t="s">
        <v>444</v>
      </c>
      <c r="C2210" s="27">
        <v>45771.0</v>
      </c>
      <c r="D2210" s="27">
        <v>45771.0</v>
      </c>
      <c r="E2210" s="26" t="s">
        <v>1121</v>
      </c>
      <c r="F2210" s="26" t="s">
        <v>1200</v>
      </c>
    </row>
    <row r="2211">
      <c r="A2211" s="26" t="s">
        <v>2127</v>
      </c>
      <c r="B2211" s="26" t="s">
        <v>295</v>
      </c>
      <c r="C2211" s="27">
        <v>45771.0</v>
      </c>
      <c r="D2211" s="27">
        <v>45771.0</v>
      </c>
      <c r="E2211" s="26" t="s">
        <v>1121</v>
      </c>
      <c r="F2211" s="26" t="s">
        <v>1200</v>
      </c>
    </row>
    <row r="2212">
      <c r="A2212" s="26" t="s">
        <v>2127</v>
      </c>
      <c r="B2212" s="26" t="s">
        <v>295</v>
      </c>
      <c r="C2212" s="27">
        <v>45771.0</v>
      </c>
      <c r="D2212" s="27">
        <v>45771.0</v>
      </c>
      <c r="E2212" s="26" t="s">
        <v>1121</v>
      </c>
      <c r="F2212" s="26" t="s">
        <v>1200</v>
      </c>
    </row>
    <row r="2213">
      <c r="A2213" s="26" t="s">
        <v>2127</v>
      </c>
      <c r="B2213" s="26" t="s">
        <v>295</v>
      </c>
      <c r="C2213" s="27">
        <v>45771.0</v>
      </c>
      <c r="D2213" s="27">
        <v>45771.0</v>
      </c>
      <c r="E2213" s="26" t="s">
        <v>1121</v>
      </c>
      <c r="F2213" s="26" t="s">
        <v>1200</v>
      </c>
    </row>
    <row r="2214">
      <c r="A2214" s="26" t="s">
        <v>2127</v>
      </c>
      <c r="B2214" s="26" t="s">
        <v>295</v>
      </c>
      <c r="C2214" s="27">
        <v>45771.0</v>
      </c>
      <c r="D2214" s="27">
        <v>45771.0</v>
      </c>
      <c r="E2214" s="26" t="s">
        <v>1121</v>
      </c>
      <c r="F2214" s="26" t="s">
        <v>1200</v>
      </c>
    </row>
    <row r="2215">
      <c r="A2215" s="26" t="s">
        <v>2128</v>
      </c>
      <c r="B2215" s="26" t="s">
        <v>1319</v>
      </c>
      <c r="C2215" s="27">
        <v>45770.0</v>
      </c>
      <c r="D2215" s="27">
        <v>45770.0</v>
      </c>
      <c r="E2215" s="26" t="s">
        <v>1121</v>
      </c>
      <c r="F2215" s="26" t="s">
        <v>1200</v>
      </c>
    </row>
    <row r="2216">
      <c r="A2216" s="26" t="s">
        <v>2128</v>
      </c>
      <c r="B2216" s="26" t="s">
        <v>1319</v>
      </c>
      <c r="C2216" s="27">
        <v>45770.0</v>
      </c>
      <c r="D2216" s="27">
        <v>45770.0</v>
      </c>
      <c r="E2216" s="26" t="s">
        <v>1121</v>
      </c>
      <c r="F2216" s="26" t="s">
        <v>1200</v>
      </c>
    </row>
    <row r="2217">
      <c r="A2217" s="26" t="s">
        <v>2128</v>
      </c>
      <c r="B2217" s="26" t="s">
        <v>1319</v>
      </c>
      <c r="C2217" s="27">
        <v>45770.0</v>
      </c>
      <c r="D2217" s="27">
        <v>45770.0</v>
      </c>
      <c r="E2217" s="26" t="s">
        <v>1121</v>
      </c>
      <c r="F2217" s="26" t="s">
        <v>1200</v>
      </c>
    </row>
    <row r="2218">
      <c r="A2218" s="26" t="s">
        <v>2128</v>
      </c>
      <c r="B2218" s="26" t="s">
        <v>1319</v>
      </c>
      <c r="C2218" s="27">
        <v>45770.0</v>
      </c>
      <c r="D2218" s="27">
        <v>45770.0</v>
      </c>
      <c r="E2218" s="26" t="s">
        <v>1121</v>
      </c>
      <c r="F2218" s="26" t="s">
        <v>1200</v>
      </c>
    </row>
    <row r="2219">
      <c r="A2219" s="26" t="s">
        <v>2128</v>
      </c>
      <c r="B2219" s="26" t="s">
        <v>1319</v>
      </c>
      <c r="C2219" s="27">
        <v>45770.0</v>
      </c>
      <c r="D2219" s="27">
        <v>45770.0</v>
      </c>
      <c r="E2219" s="26" t="s">
        <v>1121</v>
      </c>
      <c r="F2219" s="26" t="s">
        <v>1200</v>
      </c>
    </row>
    <row r="2220">
      <c r="A2220" s="26" t="s">
        <v>2128</v>
      </c>
      <c r="B2220" s="26" t="s">
        <v>1319</v>
      </c>
      <c r="C2220" s="27">
        <v>45770.0</v>
      </c>
      <c r="D2220" s="27">
        <v>45770.0</v>
      </c>
      <c r="E2220" s="26" t="s">
        <v>1121</v>
      </c>
      <c r="F2220" s="26" t="s">
        <v>1200</v>
      </c>
    </row>
    <row r="2221">
      <c r="A2221" s="26" t="s">
        <v>2128</v>
      </c>
      <c r="B2221" s="26" t="s">
        <v>1319</v>
      </c>
      <c r="C2221" s="27">
        <v>45770.0</v>
      </c>
      <c r="D2221" s="27">
        <v>45770.0</v>
      </c>
      <c r="E2221" s="26" t="s">
        <v>1121</v>
      </c>
      <c r="F2221" s="26" t="s">
        <v>1200</v>
      </c>
    </row>
    <row r="2222">
      <c r="A2222" s="26" t="s">
        <v>2128</v>
      </c>
      <c r="B2222" s="26" t="s">
        <v>1319</v>
      </c>
      <c r="C2222" s="27">
        <v>45770.0</v>
      </c>
      <c r="D2222" s="27">
        <v>45770.0</v>
      </c>
      <c r="E2222" s="26" t="s">
        <v>1121</v>
      </c>
      <c r="F2222" s="26" t="s">
        <v>1200</v>
      </c>
    </row>
    <row r="2223">
      <c r="A2223" s="26" t="s">
        <v>2128</v>
      </c>
      <c r="B2223" s="26" t="s">
        <v>1319</v>
      </c>
      <c r="C2223" s="27">
        <v>45770.0</v>
      </c>
      <c r="D2223" s="27">
        <v>45770.0</v>
      </c>
      <c r="E2223" s="26" t="s">
        <v>1121</v>
      </c>
      <c r="F2223" s="26" t="s">
        <v>1200</v>
      </c>
    </row>
    <row r="2224">
      <c r="A2224" s="26" t="s">
        <v>2128</v>
      </c>
      <c r="B2224" s="26" t="s">
        <v>1319</v>
      </c>
      <c r="C2224" s="27">
        <v>45770.0</v>
      </c>
      <c r="D2224" s="27">
        <v>45770.0</v>
      </c>
      <c r="E2224" s="26" t="s">
        <v>1121</v>
      </c>
      <c r="F2224" s="26" t="s">
        <v>1200</v>
      </c>
    </row>
    <row r="2225">
      <c r="A2225" s="26" t="s">
        <v>2128</v>
      </c>
      <c r="B2225" s="26" t="s">
        <v>1319</v>
      </c>
      <c r="C2225" s="27">
        <v>45770.0</v>
      </c>
      <c r="D2225" s="27">
        <v>45770.0</v>
      </c>
      <c r="E2225" s="26" t="s">
        <v>1121</v>
      </c>
      <c r="F2225" s="26" t="s">
        <v>1200</v>
      </c>
    </row>
    <row r="2226">
      <c r="A2226" s="26" t="s">
        <v>2128</v>
      </c>
      <c r="B2226" s="26" t="s">
        <v>1319</v>
      </c>
      <c r="C2226" s="27">
        <v>45770.0</v>
      </c>
      <c r="D2226" s="27">
        <v>45770.0</v>
      </c>
      <c r="E2226" s="26" t="s">
        <v>1121</v>
      </c>
      <c r="F2226" s="26" t="s">
        <v>1200</v>
      </c>
    </row>
    <row r="2227">
      <c r="A2227" s="26" t="s">
        <v>2128</v>
      </c>
      <c r="B2227" s="26" t="s">
        <v>1319</v>
      </c>
      <c r="C2227" s="27">
        <v>45770.0</v>
      </c>
      <c r="D2227" s="27">
        <v>45770.0</v>
      </c>
      <c r="E2227" s="26" t="s">
        <v>1121</v>
      </c>
      <c r="F2227" s="26" t="s">
        <v>1200</v>
      </c>
    </row>
    <row r="2228">
      <c r="A2228" s="26" t="s">
        <v>2128</v>
      </c>
      <c r="B2228" s="26" t="s">
        <v>1319</v>
      </c>
      <c r="C2228" s="27">
        <v>45770.0</v>
      </c>
      <c r="D2228" s="27">
        <v>45770.0</v>
      </c>
      <c r="E2228" s="26" t="s">
        <v>1121</v>
      </c>
      <c r="F2228" s="26" t="s">
        <v>1200</v>
      </c>
    </row>
    <row r="2229">
      <c r="A2229" s="26" t="s">
        <v>2128</v>
      </c>
      <c r="B2229" s="26" t="s">
        <v>1319</v>
      </c>
      <c r="C2229" s="27">
        <v>45770.0</v>
      </c>
      <c r="D2229" s="27">
        <v>45770.0</v>
      </c>
      <c r="E2229" s="26" t="s">
        <v>1121</v>
      </c>
      <c r="F2229" s="26" t="s">
        <v>1200</v>
      </c>
    </row>
    <row r="2230">
      <c r="A2230" s="26" t="s">
        <v>2128</v>
      </c>
      <c r="B2230" s="26" t="s">
        <v>1319</v>
      </c>
      <c r="C2230" s="27">
        <v>45770.0</v>
      </c>
      <c r="D2230" s="27">
        <v>45770.0</v>
      </c>
      <c r="E2230" s="26" t="s">
        <v>1121</v>
      </c>
      <c r="F2230" s="26" t="s">
        <v>1200</v>
      </c>
    </row>
    <row r="2231">
      <c r="A2231" s="26" t="s">
        <v>2128</v>
      </c>
      <c r="B2231" s="26" t="s">
        <v>1319</v>
      </c>
      <c r="C2231" s="27">
        <v>45770.0</v>
      </c>
      <c r="D2231" s="27">
        <v>45770.0</v>
      </c>
      <c r="E2231" s="26" t="s">
        <v>1121</v>
      </c>
      <c r="F2231" s="26" t="s">
        <v>1200</v>
      </c>
    </row>
    <row r="2232">
      <c r="A2232" s="26" t="s">
        <v>2128</v>
      </c>
      <c r="B2232" s="26" t="s">
        <v>1319</v>
      </c>
      <c r="C2232" s="27">
        <v>45770.0</v>
      </c>
      <c r="D2232" s="27">
        <v>45770.0</v>
      </c>
      <c r="E2232" s="26" t="s">
        <v>1121</v>
      </c>
      <c r="F2232" s="26" t="s">
        <v>1200</v>
      </c>
    </row>
    <row r="2233">
      <c r="A2233" s="26" t="s">
        <v>2128</v>
      </c>
      <c r="B2233" s="26" t="s">
        <v>1319</v>
      </c>
      <c r="C2233" s="27">
        <v>45770.0</v>
      </c>
      <c r="D2233" s="27">
        <v>45770.0</v>
      </c>
      <c r="E2233" s="26" t="s">
        <v>1121</v>
      </c>
      <c r="F2233" s="26" t="s">
        <v>1200</v>
      </c>
    </row>
    <row r="2234">
      <c r="A2234" s="26" t="s">
        <v>2128</v>
      </c>
      <c r="B2234" s="26" t="s">
        <v>1319</v>
      </c>
      <c r="C2234" s="27">
        <v>45770.0</v>
      </c>
      <c r="D2234" s="27">
        <v>45770.0</v>
      </c>
      <c r="E2234" s="26" t="s">
        <v>1121</v>
      </c>
      <c r="F2234" s="26" t="s">
        <v>1200</v>
      </c>
    </row>
    <row r="2235">
      <c r="A2235" s="26" t="s">
        <v>2128</v>
      </c>
      <c r="B2235" s="26" t="s">
        <v>1319</v>
      </c>
      <c r="C2235" s="27">
        <v>45770.0</v>
      </c>
      <c r="D2235" s="27">
        <v>45770.0</v>
      </c>
      <c r="E2235" s="26" t="s">
        <v>1121</v>
      </c>
      <c r="F2235" s="26" t="s">
        <v>1200</v>
      </c>
    </row>
    <row r="2236">
      <c r="A2236" s="26" t="s">
        <v>2129</v>
      </c>
      <c r="B2236" s="26" t="s">
        <v>467</v>
      </c>
      <c r="C2236" s="27">
        <v>45770.0</v>
      </c>
      <c r="D2236" s="27">
        <v>45770.0</v>
      </c>
      <c r="E2236" s="26" t="s">
        <v>1121</v>
      </c>
      <c r="F2236" s="26" t="s">
        <v>1200</v>
      </c>
    </row>
    <row r="2237">
      <c r="A2237" s="26" t="s">
        <v>2130</v>
      </c>
      <c r="B2237" s="26" t="s">
        <v>634</v>
      </c>
      <c r="C2237" s="27">
        <v>45770.0</v>
      </c>
      <c r="D2237" s="27">
        <v>45770.0</v>
      </c>
      <c r="E2237" s="26" t="s">
        <v>1121</v>
      </c>
      <c r="F2237" s="26" t="s">
        <v>1200</v>
      </c>
    </row>
    <row r="2238">
      <c r="A2238" s="26" t="s">
        <v>2130</v>
      </c>
      <c r="B2238" s="26" t="s">
        <v>634</v>
      </c>
      <c r="C2238" s="27">
        <v>45770.0</v>
      </c>
      <c r="D2238" s="27">
        <v>45770.0</v>
      </c>
      <c r="E2238" s="26" t="s">
        <v>1121</v>
      </c>
      <c r="F2238" s="26" t="s">
        <v>1200</v>
      </c>
    </row>
    <row r="2239">
      <c r="A2239" s="26" t="s">
        <v>2130</v>
      </c>
      <c r="B2239" s="26" t="s">
        <v>634</v>
      </c>
      <c r="C2239" s="27">
        <v>45770.0</v>
      </c>
      <c r="D2239" s="27">
        <v>45770.0</v>
      </c>
      <c r="E2239" s="26" t="s">
        <v>1121</v>
      </c>
      <c r="F2239" s="26" t="s">
        <v>1200</v>
      </c>
    </row>
    <row r="2240">
      <c r="A2240" s="26" t="s">
        <v>2130</v>
      </c>
      <c r="B2240" s="26" t="s">
        <v>634</v>
      </c>
      <c r="C2240" s="27">
        <v>45770.0</v>
      </c>
      <c r="D2240" s="27">
        <v>45770.0</v>
      </c>
      <c r="E2240" s="26" t="s">
        <v>1121</v>
      </c>
      <c r="F2240" s="26" t="s">
        <v>1200</v>
      </c>
    </row>
    <row r="2241">
      <c r="A2241" s="26" t="s">
        <v>2130</v>
      </c>
      <c r="B2241" s="26" t="s">
        <v>634</v>
      </c>
      <c r="C2241" s="27">
        <v>45770.0</v>
      </c>
      <c r="D2241" s="27">
        <v>45770.0</v>
      </c>
      <c r="E2241" s="26" t="s">
        <v>1121</v>
      </c>
      <c r="F2241" s="26" t="s">
        <v>1200</v>
      </c>
    </row>
    <row r="2242">
      <c r="A2242" s="26" t="s">
        <v>2131</v>
      </c>
      <c r="B2242" s="26" t="s">
        <v>736</v>
      </c>
      <c r="C2242" s="27">
        <v>45769.0</v>
      </c>
      <c r="D2242" s="27">
        <v>45769.0</v>
      </c>
      <c r="E2242" s="26" t="s">
        <v>1121</v>
      </c>
      <c r="F2242" s="26" t="s">
        <v>1200</v>
      </c>
    </row>
    <row r="2243">
      <c r="A2243" s="26" t="s">
        <v>2131</v>
      </c>
      <c r="B2243" s="26" t="s">
        <v>736</v>
      </c>
      <c r="C2243" s="27">
        <v>45769.0</v>
      </c>
      <c r="D2243" s="27">
        <v>45769.0</v>
      </c>
      <c r="E2243" s="26" t="s">
        <v>1121</v>
      </c>
      <c r="F2243" s="26" t="s">
        <v>1200</v>
      </c>
    </row>
    <row r="2244">
      <c r="A2244" s="26" t="s">
        <v>2131</v>
      </c>
      <c r="B2244" s="26" t="s">
        <v>736</v>
      </c>
      <c r="C2244" s="27">
        <v>45769.0</v>
      </c>
      <c r="D2244" s="27">
        <v>45769.0</v>
      </c>
      <c r="E2244" s="26" t="s">
        <v>1121</v>
      </c>
      <c r="F2244" s="26" t="s">
        <v>1200</v>
      </c>
    </row>
    <row r="2245">
      <c r="A2245" s="26" t="s">
        <v>2131</v>
      </c>
      <c r="B2245" s="26" t="s">
        <v>736</v>
      </c>
      <c r="C2245" s="27">
        <v>45769.0</v>
      </c>
      <c r="D2245" s="27">
        <v>45769.0</v>
      </c>
      <c r="E2245" s="26" t="s">
        <v>1121</v>
      </c>
      <c r="F2245" s="26" t="s">
        <v>1200</v>
      </c>
    </row>
    <row r="2246">
      <c r="A2246" s="26" t="s">
        <v>2131</v>
      </c>
      <c r="B2246" s="26" t="s">
        <v>736</v>
      </c>
      <c r="C2246" s="27">
        <v>45769.0</v>
      </c>
      <c r="D2246" s="27">
        <v>45769.0</v>
      </c>
      <c r="E2246" s="26" t="s">
        <v>1121</v>
      </c>
      <c r="F2246" s="26" t="s">
        <v>1200</v>
      </c>
    </row>
    <row r="2247">
      <c r="A2247" s="26" t="s">
        <v>2131</v>
      </c>
      <c r="B2247" s="26" t="s">
        <v>736</v>
      </c>
      <c r="C2247" s="27">
        <v>45769.0</v>
      </c>
      <c r="D2247" s="27">
        <v>45769.0</v>
      </c>
      <c r="E2247" s="26" t="s">
        <v>1121</v>
      </c>
      <c r="F2247" s="26" t="s">
        <v>1200</v>
      </c>
    </row>
    <row r="2248">
      <c r="A2248" s="26" t="s">
        <v>2131</v>
      </c>
      <c r="B2248" s="26" t="s">
        <v>736</v>
      </c>
      <c r="C2248" s="27">
        <v>45769.0</v>
      </c>
      <c r="D2248" s="27">
        <v>45769.0</v>
      </c>
      <c r="E2248" s="26" t="s">
        <v>1121</v>
      </c>
      <c r="F2248" s="26" t="s">
        <v>1200</v>
      </c>
    </row>
    <row r="2249">
      <c r="A2249" s="26" t="s">
        <v>2131</v>
      </c>
      <c r="B2249" s="26" t="s">
        <v>736</v>
      </c>
      <c r="C2249" s="27">
        <v>45769.0</v>
      </c>
      <c r="D2249" s="27">
        <v>45769.0</v>
      </c>
      <c r="E2249" s="26" t="s">
        <v>1121</v>
      </c>
      <c r="F2249" s="26" t="s">
        <v>1200</v>
      </c>
    </row>
    <row r="2250">
      <c r="A2250" s="26" t="s">
        <v>2131</v>
      </c>
      <c r="B2250" s="26" t="s">
        <v>736</v>
      </c>
      <c r="C2250" s="27">
        <v>45769.0</v>
      </c>
      <c r="D2250" s="27">
        <v>45769.0</v>
      </c>
      <c r="E2250" s="26" t="s">
        <v>1121</v>
      </c>
      <c r="F2250" s="26" t="s">
        <v>1200</v>
      </c>
    </row>
    <row r="2251">
      <c r="A2251" s="26" t="s">
        <v>2131</v>
      </c>
      <c r="B2251" s="26" t="s">
        <v>736</v>
      </c>
      <c r="C2251" s="27">
        <v>45769.0</v>
      </c>
      <c r="D2251" s="27">
        <v>45769.0</v>
      </c>
      <c r="E2251" s="26" t="s">
        <v>1121</v>
      </c>
      <c r="F2251" s="26" t="s">
        <v>1200</v>
      </c>
    </row>
    <row r="2252">
      <c r="A2252" s="26" t="s">
        <v>2131</v>
      </c>
      <c r="B2252" s="26" t="s">
        <v>736</v>
      </c>
      <c r="C2252" s="27">
        <v>45769.0</v>
      </c>
      <c r="D2252" s="27">
        <v>45769.0</v>
      </c>
      <c r="E2252" s="26" t="s">
        <v>1121</v>
      </c>
      <c r="F2252" s="26" t="s">
        <v>1200</v>
      </c>
    </row>
    <row r="2253">
      <c r="A2253" s="26" t="s">
        <v>2132</v>
      </c>
      <c r="B2253" s="26" t="s">
        <v>432</v>
      </c>
      <c r="C2253" s="27">
        <v>45769.0</v>
      </c>
      <c r="D2253" s="27">
        <v>45769.0</v>
      </c>
      <c r="E2253" s="26" t="s">
        <v>1121</v>
      </c>
      <c r="F2253" s="26" t="s">
        <v>1200</v>
      </c>
    </row>
    <row r="2254">
      <c r="A2254" s="26" t="s">
        <v>2132</v>
      </c>
      <c r="B2254" s="26" t="s">
        <v>432</v>
      </c>
      <c r="C2254" s="27">
        <v>45769.0</v>
      </c>
      <c r="D2254" s="27">
        <v>45769.0</v>
      </c>
      <c r="E2254" s="26" t="s">
        <v>1121</v>
      </c>
      <c r="F2254" s="26" t="s">
        <v>1200</v>
      </c>
    </row>
    <row r="2255">
      <c r="A2255" s="26" t="s">
        <v>2133</v>
      </c>
      <c r="B2255" s="26" t="s">
        <v>1335</v>
      </c>
      <c r="C2255" s="27">
        <v>45769.0</v>
      </c>
      <c r="D2255" s="27">
        <v>45769.0</v>
      </c>
      <c r="E2255" s="26" t="s">
        <v>1121</v>
      </c>
      <c r="F2255" s="26" t="s">
        <v>1200</v>
      </c>
    </row>
    <row r="2256">
      <c r="A2256" s="26" t="s">
        <v>2133</v>
      </c>
      <c r="B2256" s="26" t="s">
        <v>1335</v>
      </c>
      <c r="C2256" s="27">
        <v>45769.0</v>
      </c>
      <c r="D2256" s="27">
        <v>45769.0</v>
      </c>
      <c r="E2256" s="26" t="s">
        <v>1121</v>
      </c>
      <c r="F2256" s="26" t="s">
        <v>1200</v>
      </c>
    </row>
    <row r="2257">
      <c r="A2257" s="26" t="s">
        <v>2133</v>
      </c>
      <c r="B2257" s="26" t="s">
        <v>1335</v>
      </c>
      <c r="C2257" s="27">
        <v>45769.0</v>
      </c>
      <c r="D2257" s="27">
        <v>45769.0</v>
      </c>
      <c r="E2257" s="26" t="s">
        <v>1121</v>
      </c>
      <c r="F2257" s="26" t="s">
        <v>1200</v>
      </c>
    </row>
    <row r="2258">
      <c r="A2258" s="26" t="s">
        <v>2133</v>
      </c>
      <c r="B2258" s="26" t="s">
        <v>1335</v>
      </c>
      <c r="C2258" s="27">
        <v>45769.0</v>
      </c>
      <c r="D2258" s="27">
        <v>45769.0</v>
      </c>
      <c r="E2258" s="26" t="s">
        <v>1121</v>
      </c>
      <c r="F2258" s="26" t="s">
        <v>1200</v>
      </c>
    </row>
    <row r="2259">
      <c r="A2259" s="26" t="s">
        <v>2133</v>
      </c>
      <c r="B2259" s="26" t="s">
        <v>1335</v>
      </c>
      <c r="C2259" s="27">
        <v>45769.0</v>
      </c>
      <c r="D2259" s="27">
        <v>45769.0</v>
      </c>
      <c r="E2259" s="26" t="s">
        <v>1121</v>
      </c>
      <c r="F2259" s="26" t="s">
        <v>1200</v>
      </c>
    </row>
    <row r="2260">
      <c r="A2260" s="26" t="s">
        <v>2134</v>
      </c>
      <c r="B2260" s="26" t="s">
        <v>472</v>
      </c>
      <c r="C2260" s="27">
        <v>45768.0</v>
      </c>
      <c r="D2260" s="27">
        <v>45768.0</v>
      </c>
      <c r="E2260" s="26" t="s">
        <v>1121</v>
      </c>
      <c r="F2260" s="26" t="s">
        <v>1200</v>
      </c>
    </row>
    <row r="2261">
      <c r="A2261" s="26" t="s">
        <v>2135</v>
      </c>
      <c r="B2261" s="26" t="s">
        <v>472</v>
      </c>
      <c r="C2261" s="27">
        <v>45766.0</v>
      </c>
      <c r="D2261" s="27">
        <v>45766.0</v>
      </c>
      <c r="E2261" s="26" t="s">
        <v>1121</v>
      </c>
      <c r="F2261" s="26" t="s">
        <v>1200</v>
      </c>
    </row>
    <row r="2262">
      <c r="A2262" s="26" t="s">
        <v>2136</v>
      </c>
      <c r="B2262" s="26" t="s">
        <v>546</v>
      </c>
      <c r="C2262" s="27">
        <v>45766.0</v>
      </c>
      <c r="D2262" s="27">
        <v>45766.0</v>
      </c>
      <c r="E2262" s="26" t="s">
        <v>1121</v>
      </c>
      <c r="F2262" s="26" t="s">
        <v>1200</v>
      </c>
    </row>
    <row r="2263">
      <c r="A2263" s="26" t="s">
        <v>2136</v>
      </c>
      <c r="B2263" s="26" t="s">
        <v>546</v>
      </c>
      <c r="C2263" s="27">
        <v>45766.0</v>
      </c>
      <c r="D2263" s="27">
        <v>45766.0</v>
      </c>
      <c r="E2263" s="26" t="s">
        <v>1121</v>
      </c>
      <c r="F2263" s="26" t="s">
        <v>1200</v>
      </c>
    </row>
    <row r="2264">
      <c r="A2264" s="26" t="s">
        <v>2137</v>
      </c>
      <c r="B2264" s="26" t="s">
        <v>483</v>
      </c>
      <c r="C2264" s="27">
        <v>45766.0</v>
      </c>
      <c r="D2264" s="27">
        <v>45766.0</v>
      </c>
      <c r="E2264" s="26" t="s">
        <v>1121</v>
      </c>
      <c r="F2264" s="26" t="s">
        <v>1200</v>
      </c>
    </row>
    <row r="2265">
      <c r="A2265" s="26" t="s">
        <v>2138</v>
      </c>
      <c r="B2265" s="26" t="s">
        <v>295</v>
      </c>
      <c r="C2265" s="27">
        <v>45765.0</v>
      </c>
      <c r="D2265" s="27">
        <v>45765.0</v>
      </c>
      <c r="E2265" s="26" t="s">
        <v>1121</v>
      </c>
      <c r="F2265" s="26" t="s">
        <v>1200</v>
      </c>
    </row>
    <row r="2266">
      <c r="A2266" s="26" t="s">
        <v>2138</v>
      </c>
      <c r="B2266" s="26" t="s">
        <v>295</v>
      </c>
      <c r="C2266" s="27">
        <v>45765.0</v>
      </c>
      <c r="D2266" s="27">
        <v>45765.0</v>
      </c>
      <c r="E2266" s="26" t="s">
        <v>1121</v>
      </c>
      <c r="F2266" s="26" t="s">
        <v>1200</v>
      </c>
    </row>
    <row r="2267">
      <c r="A2267" s="26" t="s">
        <v>2138</v>
      </c>
      <c r="B2267" s="26" t="s">
        <v>295</v>
      </c>
      <c r="C2267" s="27">
        <v>45765.0</v>
      </c>
      <c r="D2267" s="27">
        <v>45765.0</v>
      </c>
      <c r="E2267" s="26" t="s">
        <v>1121</v>
      </c>
      <c r="F2267" s="26" t="s">
        <v>1200</v>
      </c>
    </row>
    <row r="2268">
      <c r="A2268" s="26" t="s">
        <v>2138</v>
      </c>
      <c r="B2268" s="26" t="s">
        <v>295</v>
      </c>
      <c r="C2268" s="27">
        <v>45765.0</v>
      </c>
      <c r="D2268" s="27">
        <v>45765.0</v>
      </c>
      <c r="E2268" s="26" t="s">
        <v>1121</v>
      </c>
      <c r="F2268" s="26" t="s">
        <v>1200</v>
      </c>
    </row>
    <row r="2269">
      <c r="A2269" s="26" t="s">
        <v>2138</v>
      </c>
      <c r="B2269" s="26" t="s">
        <v>295</v>
      </c>
      <c r="C2269" s="27">
        <v>45765.0</v>
      </c>
      <c r="D2269" s="27">
        <v>45765.0</v>
      </c>
      <c r="E2269" s="26" t="s">
        <v>1121</v>
      </c>
      <c r="F2269" s="26" t="s">
        <v>1200</v>
      </c>
    </row>
    <row r="2270">
      <c r="A2270" s="26" t="s">
        <v>2138</v>
      </c>
      <c r="B2270" s="26" t="s">
        <v>295</v>
      </c>
      <c r="C2270" s="27">
        <v>45765.0</v>
      </c>
      <c r="D2270" s="27">
        <v>45765.0</v>
      </c>
      <c r="E2270" s="26" t="s">
        <v>1121</v>
      </c>
      <c r="F2270" s="26" t="s">
        <v>1200</v>
      </c>
    </row>
    <row r="2271">
      <c r="A2271" s="26" t="s">
        <v>2138</v>
      </c>
      <c r="B2271" s="26" t="s">
        <v>295</v>
      </c>
      <c r="C2271" s="27">
        <v>45765.0</v>
      </c>
      <c r="D2271" s="27">
        <v>45765.0</v>
      </c>
      <c r="E2271" s="26" t="s">
        <v>1121</v>
      </c>
      <c r="F2271" s="26" t="s">
        <v>1200</v>
      </c>
    </row>
    <row r="2272">
      <c r="A2272" s="26" t="s">
        <v>2138</v>
      </c>
      <c r="B2272" s="26" t="s">
        <v>295</v>
      </c>
      <c r="C2272" s="27">
        <v>45765.0</v>
      </c>
      <c r="D2272" s="27">
        <v>45765.0</v>
      </c>
      <c r="E2272" s="26" t="s">
        <v>1121</v>
      </c>
      <c r="F2272" s="26" t="s">
        <v>1200</v>
      </c>
    </row>
    <row r="2273">
      <c r="A2273" s="26" t="s">
        <v>2138</v>
      </c>
      <c r="B2273" s="26" t="s">
        <v>295</v>
      </c>
      <c r="C2273" s="27">
        <v>45765.0</v>
      </c>
      <c r="D2273" s="27">
        <v>45765.0</v>
      </c>
      <c r="E2273" s="26" t="s">
        <v>1121</v>
      </c>
      <c r="F2273" s="26" t="s">
        <v>1200</v>
      </c>
    </row>
    <row r="2274">
      <c r="A2274" s="26" t="s">
        <v>2139</v>
      </c>
      <c r="B2274" s="26" t="s">
        <v>432</v>
      </c>
      <c r="C2274" s="27">
        <v>45765.0</v>
      </c>
      <c r="D2274" s="27">
        <v>45765.0</v>
      </c>
      <c r="E2274" s="26" t="s">
        <v>1121</v>
      </c>
      <c r="F2274" s="26" t="s">
        <v>1200</v>
      </c>
    </row>
    <row r="2275">
      <c r="A2275" s="26" t="s">
        <v>2140</v>
      </c>
      <c r="B2275" s="26" t="s">
        <v>435</v>
      </c>
      <c r="C2275" s="27">
        <v>45765.0</v>
      </c>
      <c r="D2275" s="27">
        <v>45765.0</v>
      </c>
      <c r="E2275" s="26" t="s">
        <v>1121</v>
      </c>
      <c r="F2275" s="26" t="s">
        <v>1200</v>
      </c>
    </row>
    <row r="2276">
      <c r="A2276" s="26" t="s">
        <v>2140</v>
      </c>
      <c r="B2276" s="26" t="s">
        <v>435</v>
      </c>
      <c r="C2276" s="27">
        <v>45765.0</v>
      </c>
      <c r="D2276" s="27">
        <v>45765.0</v>
      </c>
      <c r="E2276" s="26" t="s">
        <v>1121</v>
      </c>
      <c r="F2276" s="26" t="s">
        <v>1200</v>
      </c>
    </row>
    <row r="2277">
      <c r="A2277" s="26" t="s">
        <v>2141</v>
      </c>
      <c r="B2277" s="26" t="s">
        <v>2142</v>
      </c>
      <c r="C2277" s="27">
        <v>45765.0</v>
      </c>
      <c r="D2277" s="27">
        <v>45765.0</v>
      </c>
      <c r="E2277" s="26" t="s">
        <v>1121</v>
      </c>
      <c r="F2277" s="26" t="s">
        <v>1200</v>
      </c>
    </row>
    <row r="2278">
      <c r="A2278" s="26" t="s">
        <v>2143</v>
      </c>
      <c r="B2278" s="26" t="s">
        <v>639</v>
      </c>
      <c r="C2278" s="27">
        <v>45765.0</v>
      </c>
      <c r="D2278" s="27">
        <v>45765.0</v>
      </c>
      <c r="E2278" s="26" t="s">
        <v>1121</v>
      </c>
      <c r="F2278" s="26" t="s">
        <v>1200</v>
      </c>
    </row>
    <row r="2279">
      <c r="A2279" s="26" t="s">
        <v>2143</v>
      </c>
      <c r="B2279" s="26" t="s">
        <v>639</v>
      </c>
      <c r="C2279" s="27">
        <v>45765.0</v>
      </c>
      <c r="D2279" s="27">
        <v>45765.0</v>
      </c>
      <c r="E2279" s="26" t="s">
        <v>1121</v>
      </c>
      <c r="F2279" s="26" t="s">
        <v>1200</v>
      </c>
    </row>
    <row r="2280">
      <c r="A2280" s="26" t="s">
        <v>2144</v>
      </c>
      <c r="B2280" s="26" t="s">
        <v>444</v>
      </c>
      <c r="C2280" s="27">
        <v>45765.0</v>
      </c>
      <c r="D2280" s="27">
        <v>45765.0</v>
      </c>
      <c r="E2280" s="26" t="s">
        <v>1121</v>
      </c>
      <c r="F2280" s="26" t="s">
        <v>1200</v>
      </c>
    </row>
    <row r="2281">
      <c r="A2281" s="26" t="s">
        <v>2145</v>
      </c>
      <c r="B2281" s="26" t="s">
        <v>467</v>
      </c>
      <c r="C2281" s="27">
        <v>45765.0</v>
      </c>
      <c r="D2281" s="27">
        <v>45765.0</v>
      </c>
      <c r="E2281" s="26" t="s">
        <v>1121</v>
      </c>
      <c r="F2281" s="26" t="s">
        <v>1200</v>
      </c>
    </row>
    <row r="2282">
      <c r="A2282" s="26" t="s">
        <v>2146</v>
      </c>
      <c r="B2282" s="26" t="s">
        <v>1226</v>
      </c>
      <c r="C2282" s="27">
        <v>45764.0</v>
      </c>
      <c r="D2282" s="27">
        <v>45764.0</v>
      </c>
      <c r="E2282" s="26" t="s">
        <v>1121</v>
      </c>
      <c r="F2282" s="26" t="s">
        <v>1200</v>
      </c>
    </row>
    <row r="2283">
      <c r="A2283" s="26" t="s">
        <v>2146</v>
      </c>
      <c r="B2283" s="26" t="s">
        <v>1226</v>
      </c>
      <c r="C2283" s="27">
        <v>45764.0</v>
      </c>
      <c r="D2283" s="27">
        <v>45764.0</v>
      </c>
      <c r="E2283" s="26" t="s">
        <v>1121</v>
      </c>
      <c r="F2283" s="26" t="s">
        <v>1200</v>
      </c>
    </row>
    <row r="2284">
      <c r="A2284" s="26" t="s">
        <v>2146</v>
      </c>
      <c r="B2284" s="26" t="s">
        <v>1226</v>
      </c>
      <c r="C2284" s="27">
        <v>45764.0</v>
      </c>
      <c r="D2284" s="27">
        <v>45764.0</v>
      </c>
      <c r="E2284" s="26" t="s">
        <v>1121</v>
      </c>
      <c r="F2284" s="26" t="s">
        <v>1200</v>
      </c>
    </row>
    <row r="2285">
      <c r="A2285" s="26" t="s">
        <v>2146</v>
      </c>
      <c r="B2285" s="26" t="s">
        <v>1226</v>
      </c>
      <c r="C2285" s="27">
        <v>45764.0</v>
      </c>
      <c r="D2285" s="27">
        <v>45764.0</v>
      </c>
      <c r="E2285" s="26" t="s">
        <v>1121</v>
      </c>
      <c r="F2285" s="26" t="s">
        <v>1200</v>
      </c>
    </row>
    <row r="2286">
      <c r="A2286" s="26" t="s">
        <v>2146</v>
      </c>
      <c r="B2286" s="26" t="s">
        <v>1226</v>
      </c>
      <c r="C2286" s="27">
        <v>45764.0</v>
      </c>
      <c r="D2286" s="27">
        <v>45764.0</v>
      </c>
      <c r="E2286" s="26" t="s">
        <v>1121</v>
      </c>
      <c r="F2286" s="26" t="s">
        <v>1200</v>
      </c>
    </row>
    <row r="2287">
      <c r="A2287" s="26" t="s">
        <v>2147</v>
      </c>
      <c r="B2287" s="26" t="s">
        <v>745</v>
      </c>
      <c r="C2287" s="27">
        <v>45764.0</v>
      </c>
      <c r="D2287" s="27">
        <v>45764.0</v>
      </c>
      <c r="E2287" s="26" t="s">
        <v>1121</v>
      </c>
      <c r="F2287" s="26" t="s">
        <v>1200</v>
      </c>
    </row>
    <row r="2288">
      <c r="A2288" s="26" t="s">
        <v>2147</v>
      </c>
      <c r="B2288" s="26" t="s">
        <v>745</v>
      </c>
      <c r="C2288" s="27">
        <v>45764.0</v>
      </c>
      <c r="D2288" s="27">
        <v>45764.0</v>
      </c>
      <c r="E2288" s="26" t="s">
        <v>1121</v>
      </c>
      <c r="F2288" s="26" t="s">
        <v>1200</v>
      </c>
    </row>
    <row r="2289">
      <c r="A2289" s="26" t="s">
        <v>2147</v>
      </c>
      <c r="B2289" s="26" t="s">
        <v>745</v>
      </c>
      <c r="C2289" s="27">
        <v>45764.0</v>
      </c>
      <c r="D2289" s="27">
        <v>45764.0</v>
      </c>
      <c r="E2289" s="26" t="s">
        <v>1121</v>
      </c>
      <c r="F2289" s="26" t="s">
        <v>1200</v>
      </c>
    </row>
    <row r="2290">
      <c r="A2290" s="26" t="s">
        <v>2147</v>
      </c>
      <c r="B2290" s="26" t="s">
        <v>745</v>
      </c>
      <c r="C2290" s="27">
        <v>45764.0</v>
      </c>
      <c r="D2290" s="27">
        <v>45764.0</v>
      </c>
      <c r="E2290" s="26" t="s">
        <v>1121</v>
      </c>
      <c r="F2290" s="26" t="s">
        <v>1200</v>
      </c>
    </row>
    <row r="2291">
      <c r="A2291" s="26" t="s">
        <v>2147</v>
      </c>
      <c r="B2291" s="26" t="s">
        <v>745</v>
      </c>
      <c r="C2291" s="27">
        <v>45764.0</v>
      </c>
      <c r="D2291" s="27">
        <v>45764.0</v>
      </c>
      <c r="E2291" s="26" t="s">
        <v>1121</v>
      </c>
      <c r="F2291" s="26" t="s">
        <v>1200</v>
      </c>
    </row>
    <row r="2292">
      <c r="A2292" s="26" t="s">
        <v>2147</v>
      </c>
      <c r="B2292" s="26" t="s">
        <v>745</v>
      </c>
      <c r="C2292" s="27">
        <v>45764.0</v>
      </c>
      <c r="D2292" s="27">
        <v>45764.0</v>
      </c>
      <c r="E2292" s="26" t="s">
        <v>1121</v>
      </c>
      <c r="F2292" s="26" t="s">
        <v>1200</v>
      </c>
    </row>
    <row r="2293">
      <c r="A2293" s="26" t="s">
        <v>2147</v>
      </c>
      <c r="B2293" s="26" t="s">
        <v>745</v>
      </c>
      <c r="C2293" s="27">
        <v>45764.0</v>
      </c>
      <c r="D2293" s="27">
        <v>45764.0</v>
      </c>
      <c r="E2293" s="26" t="s">
        <v>1121</v>
      </c>
      <c r="F2293" s="26" t="s">
        <v>1200</v>
      </c>
    </row>
    <row r="2294">
      <c r="A2294" s="26" t="s">
        <v>2147</v>
      </c>
      <c r="B2294" s="26" t="s">
        <v>745</v>
      </c>
      <c r="C2294" s="27">
        <v>45764.0</v>
      </c>
      <c r="D2294" s="27">
        <v>45764.0</v>
      </c>
      <c r="E2294" s="26" t="s">
        <v>1121</v>
      </c>
      <c r="F2294" s="26" t="s">
        <v>1200</v>
      </c>
    </row>
    <row r="2295">
      <c r="A2295" s="26" t="s">
        <v>2147</v>
      </c>
      <c r="B2295" s="26" t="s">
        <v>745</v>
      </c>
      <c r="C2295" s="27">
        <v>45764.0</v>
      </c>
      <c r="D2295" s="27">
        <v>45764.0</v>
      </c>
      <c r="E2295" s="26" t="s">
        <v>1121</v>
      </c>
      <c r="F2295" s="26" t="s">
        <v>1200</v>
      </c>
    </row>
    <row r="2296">
      <c r="A2296" s="26" t="s">
        <v>2147</v>
      </c>
      <c r="B2296" s="26" t="s">
        <v>745</v>
      </c>
      <c r="C2296" s="27">
        <v>45764.0</v>
      </c>
      <c r="D2296" s="27">
        <v>45764.0</v>
      </c>
      <c r="E2296" s="26" t="s">
        <v>1121</v>
      </c>
      <c r="F2296" s="26" t="s">
        <v>1200</v>
      </c>
    </row>
    <row r="2297">
      <c r="A2297" s="26" t="s">
        <v>2147</v>
      </c>
      <c r="B2297" s="26" t="s">
        <v>745</v>
      </c>
      <c r="C2297" s="27">
        <v>45764.0</v>
      </c>
      <c r="D2297" s="27">
        <v>45764.0</v>
      </c>
      <c r="E2297" s="26" t="s">
        <v>1121</v>
      </c>
      <c r="F2297" s="26" t="s">
        <v>1200</v>
      </c>
    </row>
    <row r="2298">
      <c r="A2298" s="26" t="s">
        <v>2147</v>
      </c>
      <c r="B2298" s="26" t="s">
        <v>745</v>
      </c>
      <c r="C2298" s="27">
        <v>45764.0</v>
      </c>
      <c r="D2298" s="27">
        <v>45764.0</v>
      </c>
      <c r="E2298" s="26" t="s">
        <v>1121</v>
      </c>
      <c r="F2298" s="26" t="s">
        <v>1200</v>
      </c>
    </row>
    <row r="2299">
      <c r="A2299" s="26" t="s">
        <v>2147</v>
      </c>
      <c r="B2299" s="26" t="s">
        <v>745</v>
      </c>
      <c r="C2299" s="27">
        <v>45764.0</v>
      </c>
      <c r="D2299" s="27">
        <v>45764.0</v>
      </c>
      <c r="E2299" s="26" t="s">
        <v>1121</v>
      </c>
      <c r="F2299" s="26" t="s">
        <v>1200</v>
      </c>
    </row>
    <row r="2300">
      <c r="A2300" s="26" t="s">
        <v>2147</v>
      </c>
      <c r="B2300" s="26" t="s">
        <v>745</v>
      </c>
      <c r="C2300" s="27">
        <v>45764.0</v>
      </c>
      <c r="D2300" s="27">
        <v>45764.0</v>
      </c>
      <c r="E2300" s="26" t="s">
        <v>1121</v>
      </c>
      <c r="F2300" s="26" t="s">
        <v>1200</v>
      </c>
    </row>
    <row r="2301">
      <c r="A2301" s="26" t="s">
        <v>2147</v>
      </c>
      <c r="B2301" s="26" t="s">
        <v>745</v>
      </c>
      <c r="C2301" s="27">
        <v>45764.0</v>
      </c>
      <c r="D2301" s="27">
        <v>45764.0</v>
      </c>
      <c r="E2301" s="26" t="s">
        <v>1121</v>
      </c>
      <c r="F2301" s="26" t="s">
        <v>1200</v>
      </c>
    </row>
    <row r="2302">
      <c r="A2302" s="26" t="s">
        <v>2148</v>
      </c>
      <c r="B2302" s="26" t="s">
        <v>1258</v>
      </c>
      <c r="C2302" s="27">
        <v>45764.0</v>
      </c>
      <c r="D2302" s="27">
        <v>45764.0</v>
      </c>
      <c r="E2302" s="26" t="s">
        <v>1121</v>
      </c>
      <c r="F2302" s="26" t="s">
        <v>1200</v>
      </c>
    </row>
    <row r="2303">
      <c r="A2303" s="26" t="s">
        <v>2148</v>
      </c>
      <c r="B2303" s="26" t="s">
        <v>1258</v>
      </c>
      <c r="C2303" s="27">
        <v>45764.0</v>
      </c>
      <c r="D2303" s="27">
        <v>45764.0</v>
      </c>
      <c r="E2303" s="26" t="s">
        <v>1121</v>
      </c>
      <c r="F2303" s="26" t="s">
        <v>1200</v>
      </c>
    </row>
    <row r="2304">
      <c r="A2304" s="26" t="s">
        <v>2148</v>
      </c>
      <c r="B2304" s="26" t="s">
        <v>1258</v>
      </c>
      <c r="C2304" s="27">
        <v>45764.0</v>
      </c>
      <c r="D2304" s="27">
        <v>45764.0</v>
      </c>
      <c r="E2304" s="26" t="s">
        <v>1121</v>
      </c>
      <c r="F2304" s="26" t="s">
        <v>1200</v>
      </c>
    </row>
    <row r="2305">
      <c r="A2305" s="26" t="s">
        <v>2148</v>
      </c>
      <c r="B2305" s="26" t="s">
        <v>1258</v>
      </c>
      <c r="C2305" s="27">
        <v>45764.0</v>
      </c>
      <c r="D2305" s="27">
        <v>45764.0</v>
      </c>
      <c r="E2305" s="26" t="s">
        <v>1121</v>
      </c>
      <c r="F2305" s="26" t="s">
        <v>1200</v>
      </c>
    </row>
    <row r="2306">
      <c r="A2306" s="26" t="s">
        <v>2148</v>
      </c>
      <c r="B2306" s="26" t="s">
        <v>1258</v>
      </c>
      <c r="C2306" s="27">
        <v>45764.0</v>
      </c>
      <c r="D2306" s="27">
        <v>45764.0</v>
      </c>
      <c r="E2306" s="26" t="s">
        <v>1121</v>
      </c>
      <c r="F2306" s="26" t="s">
        <v>1200</v>
      </c>
    </row>
    <row r="2307">
      <c r="A2307" s="26" t="s">
        <v>2148</v>
      </c>
      <c r="B2307" s="26" t="s">
        <v>1258</v>
      </c>
      <c r="C2307" s="27">
        <v>45764.0</v>
      </c>
      <c r="D2307" s="27">
        <v>45764.0</v>
      </c>
      <c r="E2307" s="26" t="s">
        <v>1121</v>
      </c>
      <c r="F2307" s="26" t="s">
        <v>1200</v>
      </c>
    </row>
    <row r="2308">
      <c r="A2308" s="26" t="s">
        <v>2148</v>
      </c>
      <c r="B2308" s="26" t="s">
        <v>1258</v>
      </c>
      <c r="C2308" s="27">
        <v>45764.0</v>
      </c>
      <c r="D2308" s="27">
        <v>45764.0</v>
      </c>
      <c r="E2308" s="26" t="s">
        <v>1121</v>
      </c>
      <c r="F2308" s="26" t="s">
        <v>1200</v>
      </c>
    </row>
    <row r="2309">
      <c r="A2309" s="26" t="s">
        <v>2148</v>
      </c>
      <c r="B2309" s="26" t="s">
        <v>1258</v>
      </c>
      <c r="C2309" s="27">
        <v>45764.0</v>
      </c>
      <c r="D2309" s="27">
        <v>45764.0</v>
      </c>
      <c r="E2309" s="26" t="s">
        <v>1121</v>
      </c>
      <c r="F2309" s="26" t="s">
        <v>1200</v>
      </c>
    </row>
    <row r="2310">
      <c r="A2310" s="26" t="s">
        <v>2149</v>
      </c>
      <c r="B2310" s="26" t="s">
        <v>546</v>
      </c>
      <c r="C2310" s="27">
        <v>45763.0</v>
      </c>
      <c r="D2310" s="27">
        <v>45763.0</v>
      </c>
      <c r="E2310" s="26" t="s">
        <v>1121</v>
      </c>
      <c r="F2310" s="26" t="s">
        <v>1200</v>
      </c>
    </row>
    <row r="2311">
      <c r="A2311" s="26" t="s">
        <v>2150</v>
      </c>
      <c r="B2311" s="26" t="s">
        <v>340</v>
      </c>
      <c r="C2311" s="27">
        <v>45762.0</v>
      </c>
      <c r="D2311" s="27">
        <v>45762.0</v>
      </c>
      <c r="E2311" s="26" t="s">
        <v>1121</v>
      </c>
      <c r="F2311" s="26" t="s">
        <v>1200</v>
      </c>
    </row>
    <row r="2312">
      <c r="A2312" s="26" t="s">
        <v>2150</v>
      </c>
      <c r="B2312" s="26" t="s">
        <v>340</v>
      </c>
      <c r="C2312" s="27">
        <v>45762.0</v>
      </c>
      <c r="D2312" s="27">
        <v>45762.0</v>
      </c>
      <c r="E2312" s="26" t="s">
        <v>1121</v>
      </c>
      <c r="F2312" s="26" t="s">
        <v>1200</v>
      </c>
    </row>
    <row r="2313">
      <c r="A2313" s="26" t="s">
        <v>2150</v>
      </c>
      <c r="B2313" s="26" t="s">
        <v>340</v>
      </c>
      <c r="C2313" s="27">
        <v>45762.0</v>
      </c>
      <c r="D2313" s="27">
        <v>45762.0</v>
      </c>
      <c r="E2313" s="26" t="s">
        <v>1121</v>
      </c>
      <c r="F2313" s="26" t="s">
        <v>1200</v>
      </c>
    </row>
    <row r="2314">
      <c r="A2314" s="26" t="s">
        <v>2150</v>
      </c>
      <c r="B2314" s="26" t="s">
        <v>340</v>
      </c>
      <c r="C2314" s="27">
        <v>45762.0</v>
      </c>
      <c r="D2314" s="27">
        <v>45762.0</v>
      </c>
      <c r="E2314" s="26" t="s">
        <v>1121</v>
      </c>
      <c r="F2314" s="26" t="s">
        <v>1200</v>
      </c>
    </row>
    <row r="2315">
      <c r="A2315" s="26" t="s">
        <v>2151</v>
      </c>
      <c r="B2315" s="26" t="s">
        <v>483</v>
      </c>
      <c r="C2315" s="27">
        <v>45761.0</v>
      </c>
      <c r="D2315" s="27">
        <v>45761.0</v>
      </c>
      <c r="E2315" s="26" t="s">
        <v>1121</v>
      </c>
      <c r="F2315" s="26" t="s">
        <v>1200</v>
      </c>
    </row>
    <row r="2316">
      <c r="A2316" s="26" t="s">
        <v>2152</v>
      </c>
      <c r="B2316" s="26" t="s">
        <v>574</v>
      </c>
      <c r="C2316" s="27">
        <v>45761.0</v>
      </c>
      <c r="D2316" s="27">
        <v>45761.0</v>
      </c>
      <c r="E2316" s="26" t="s">
        <v>1121</v>
      </c>
      <c r="F2316" s="26" t="s">
        <v>1200</v>
      </c>
    </row>
    <row r="2317">
      <c r="A2317" s="26" t="s">
        <v>2153</v>
      </c>
      <c r="B2317" s="26" t="s">
        <v>739</v>
      </c>
      <c r="C2317" s="27">
        <v>45759.0</v>
      </c>
      <c r="D2317" s="27">
        <v>45759.0</v>
      </c>
      <c r="E2317" s="26" t="s">
        <v>1121</v>
      </c>
      <c r="F2317" s="26" t="s">
        <v>1200</v>
      </c>
    </row>
    <row r="2318">
      <c r="A2318" s="26" t="s">
        <v>2153</v>
      </c>
      <c r="B2318" s="26" t="s">
        <v>739</v>
      </c>
      <c r="C2318" s="27">
        <v>45759.0</v>
      </c>
      <c r="D2318" s="27">
        <v>45759.0</v>
      </c>
      <c r="E2318" s="26" t="s">
        <v>1121</v>
      </c>
      <c r="F2318" s="26" t="s">
        <v>1200</v>
      </c>
    </row>
    <row r="2319">
      <c r="A2319" s="26" t="s">
        <v>2153</v>
      </c>
      <c r="B2319" s="26" t="s">
        <v>739</v>
      </c>
      <c r="C2319" s="27">
        <v>45759.0</v>
      </c>
      <c r="D2319" s="27">
        <v>45759.0</v>
      </c>
      <c r="E2319" s="26" t="s">
        <v>1121</v>
      </c>
      <c r="F2319" s="26" t="s">
        <v>1200</v>
      </c>
    </row>
    <row r="2320">
      <c r="A2320" s="26" t="s">
        <v>2154</v>
      </c>
      <c r="B2320" s="26" t="s">
        <v>595</v>
      </c>
      <c r="C2320" s="27">
        <v>45759.0</v>
      </c>
      <c r="D2320" s="27">
        <v>45759.0</v>
      </c>
      <c r="E2320" s="26" t="s">
        <v>1121</v>
      </c>
      <c r="F2320" s="26" t="s">
        <v>1200</v>
      </c>
    </row>
    <row r="2321">
      <c r="A2321" s="26" t="s">
        <v>2154</v>
      </c>
      <c r="B2321" s="26" t="s">
        <v>595</v>
      </c>
      <c r="C2321" s="27">
        <v>45759.0</v>
      </c>
      <c r="D2321" s="27">
        <v>45759.0</v>
      </c>
      <c r="E2321" s="26" t="s">
        <v>1121</v>
      </c>
      <c r="F2321" s="26" t="s">
        <v>1200</v>
      </c>
    </row>
    <row r="2322">
      <c r="A2322" s="26" t="s">
        <v>2155</v>
      </c>
      <c r="B2322" s="26" t="s">
        <v>379</v>
      </c>
      <c r="C2322" s="27">
        <v>45759.0</v>
      </c>
      <c r="D2322" s="27">
        <v>45759.0</v>
      </c>
      <c r="E2322" s="26" t="s">
        <v>1121</v>
      </c>
      <c r="F2322" s="26" t="s">
        <v>1200</v>
      </c>
    </row>
    <row r="2323">
      <c r="A2323" s="26" t="s">
        <v>2155</v>
      </c>
      <c r="B2323" s="26" t="s">
        <v>379</v>
      </c>
      <c r="C2323" s="27">
        <v>45759.0</v>
      </c>
      <c r="D2323" s="27">
        <v>45759.0</v>
      </c>
      <c r="E2323" s="26" t="s">
        <v>1121</v>
      </c>
      <c r="F2323" s="26" t="s">
        <v>1200</v>
      </c>
    </row>
    <row r="2324">
      <c r="A2324" s="26" t="s">
        <v>2155</v>
      </c>
      <c r="B2324" s="26" t="s">
        <v>379</v>
      </c>
      <c r="C2324" s="27">
        <v>45759.0</v>
      </c>
      <c r="D2324" s="27">
        <v>45759.0</v>
      </c>
      <c r="E2324" s="26" t="s">
        <v>1121</v>
      </c>
      <c r="F2324" s="26" t="s">
        <v>1200</v>
      </c>
    </row>
    <row r="2325">
      <c r="A2325" s="26" t="s">
        <v>2155</v>
      </c>
      <c r="B2325" s="26" t="s">
        <v>379</v>
      </c>
      <c r="C2325" s="27">
        <v>45759.0</v>
      </c>
      <c r="D2325" s="27">
        <v>45759.0</v>
      </c>
      <c r="E2325" s="26" t="s">
        <v>1121</v>
      </c>
      <c r="F2325" s="26" t="s">
        <v>1200</v>
      </c>
    </row>
    <row r="2326">
      <c r="A2326" s="26" t="s">
        <v>2156</v>
      </c>
      <c r="B2326" s="26" t="s">
        <v>432</v>
      </c>
      <c r="C2326" s="27">
        <v>45758.0</v>
      </c>
      <c r="D2326" s="27">
        <v>45758.0</v>
      </c>
      <c r="E2326" s="26" t="s">
        <v>1121</v>
      </c>
      <c r="F2326" s="26" t="s">
        <v>1200</v>
      </c>
    </row>
    <row r="2327">
      <c r="A2327" s="26" t="s">
        <v>2157</v>
      </c>
      <c r="B2327" s="26" t="s">
        <v>435</v>
      </c>
      <c r="C2327" s="27">
        <v>45758.0</v>
      </c>
      <c r="D2327" s="27">
        <v>45758.0</v>
      </c>
      <c r="E2327" s="26" t="s">
        <v>1121</v>
      </c>
      <c r="F2327" s="26" t="s">
        <v>1200</v>
      </c>
    </row>
    <row r="2328">
      <c r="A2328" s="26" t="s">
        <v>2158</v>
      </c>
      <c r="B2328" s="26" t="s">
        <v>546</v>
      </c>
      <c r="C2328" s="27">
        <v>45758.0</v>
      </c>
      <c r="D2328" s="27">
        <v>45758.0</v>
      </c>
      <c r="E2328" s="26" t="s">
        <v>1121</v>
      </c>
      <c r="F2328" s="26" t="s">
        <v>1200</v>
      </c>
    </row>
    <row r="2329">
      <c r="A2329" s="26" t="s">
        <v>2158</v>
      </c>
      <c r="B2329" s="26" t="s">
        <v>546</v>
      </c>
      <c r="C2329" s="27">
        <v>45758.0</v>
      </c>
      <c r="D2329" s="27">
        <v>45758.0</v>
      </c>
      <c r="E2329" s="26" t="s">
        <v>1121</v>
      </c>
      <c r="F2329" s="26" t="s">
        <v>1200</v>
      </c>
    </row>
    <row r="2330">
      <c r="A2330" s="26" t="s">
        <v>2158</v>
      </c>
      <c r="B2330" s="26" t="s">
        <v>546</v>
      </c>
      <c r="C2330" s="27">
        <v>45758.0</v>
      </c>
      <c r="D2330" s="27">
        <v>45758.0</v>
      </c>
      <c r="E2330" s="26" t="s">
        <v>1121</v>
      </c>
      <c r="F2330" s="26" t="s">
        <v>1200</v>
      </c>
    </row>
    <row r="2331">
      <c r="A2331" s="26" t="s">
        <v>2158</v>
      </c>
      <c r="B2331" s="26" t="s">
        <v>546</v>
      </c>
      <c r="C2331" s="27">
        <v>45758.0</v>
      </c>
      <c r="D2331" s="27">
        <v>45758.0</v>
      </c>
      <c r="E2331" s="26" t="s">
        <v>1121</v>
      </c>
      <c r="F2331" s="26" t="s">
        <v>1200</v>
      </c>
    </row>
    <row r="2332">
      <c r="A2332" s="26" t="s">
        <v>2159</v>
      </c>
      <c r="B2332" s="26" t="s">
        <v>461</v>
      </c>
      <c r="C2332" s="27">
        <v>45757.0</v>
      </c>
      <c r="D2332" s="27">
        <v>45757.0</v>
      </c>
      <c r="E2332" s="26" t="s">
        <v>1121</v>
      </c>
      <c r="F2332" s="26" t="s">
        <v>1200</v>
      </c>
    </row>
    <row r="2333">
      <c r="A2333" s="26" t="s">
        <v>2160</v>
      </c>
      <c r="B2333" s="26" t="s">
        <v>1799</v>
      </c>
      <c r="C2333" s="27">
        <v>45757.0</v>
      </c>
      <c r="D2333" s="27">
        <v>45757.0</v>
      </c>
      <c r="E2333" s="26" t="s">
        <v>1121</v>
      </c>
      <c r="F2333" s="26" t="s">
        <v>1200</v>
      </c>
    </row>
    <row r="2334">
      <c r="A2334" s="26" t="s">
        <v>2160</v>
      </c>
      <c r="B2334" s="26" t="s">
        <v>1799</v>
      </c>
      <c r="C2334" s="27">
        <v>45757.0</v>
      </c>
      <c r="D2334" s="27">
        <v>45757.0</v>
      </c>
      <c r="E2334" s="26" t="s">
        <v>1121</v>
      </c>
      <c r="F2334" s="26" t="s">
        <v>1200</v>
      </c>
    </row>
    <row r="2335">
      <c r="A2335" s="26" t="s">
        <v>2161</v>
      </c>
      <c r="B2335" s="26" t="s">
        <v>546</v>
      </c>
      <c r="C2335" s="27">
        <v>45756.0</v>
      </c>
      <c r="D2335" s="27">
        <v>45756.0</v>
      </c>
      <c r="E2335" s="26" t="s">
        <v>1121</v>
      </c>
      <c r="F2335" s="26" t="s">
        <v>1200</v>
      </c>
    </row>
    <row r="2336">
      <c r="A2336" s="26" t="s">
        <v>2162</v>
      </c>
      <c r="B2336" s="26" t="s">
        <v>599</v>
      </c>
      <c r="C2336" s="27">
        <v>45756.0</v>
      </c>
      <c r="D2336" s="27">
        <v>45756.0</v>
      </c>
      <c r="E2336" s="26" t="s">
        <v>1121</v>
      </c>
      <c r="F2336" s="26" t="s">
        <v>1200</v>
      </c>
    </row>
    <row r="2337">
      <c r="A2337" s="26" t="s">
        <v>2163</v>
      </c>
      <c r="B2337" s="26" t="s">
        <v>444</v>
      </c>
      <c r="C2337" s="27">
        <v>45756.0</v>
      </c>
      <c r="D2337" s="27">
        <v>45756.0</v>
      </c>
      <c r="E2337" s="26" t="s">
        <v>1121</v>
      </c>
      <c r="F2337" s="26" t="s">
        <v>1200</v>
      </c>
    </row>
    <row r="2338">
      <c r="A2338" s="26" t="s">
        <v>2163</v>
      </c>
      <c r="B2338" s="26" t="s">
        <v>444</v>
      </c>
      <c r="C2338" s="27">
        <v>45756.0</v>
      </c>
      <c r="D2338" s="27">
        <v>45756.0</v>
      </c>
      <c r="E2338" s="26" t="s">
        <v>1121</v>
      </c>
      <c r="F2338" s="26" t="s">
        <v>1200</v>
      </c>
    </row>
    <row r="2339">
      <c r="A2339" s="26" t="s">
        <v>2164</v>
      </c>
      <c r="B2339" s="26" t="s">
        <v>1335</v>
      </c>
      <c r="C2339" s="27">
        <v>45756.0</v>
      </c>
      <c r="D2339" s="27">
        <v>45756.0</v>
      </c>
      <c r="E2339" s="26" t="s">
        <v>1121</v>
      </c>
      <c r="F2339" s="26" t="s">
        <v>1200</v>
      </c>
    </row>
    <row r="2340">
      <c r="A2340" s="26" t="s">
        <v>2164</v>
      </c>
      <c r="B2340" s="26" t="s">
        <v>1335</v>
      </c>
      <c r="C2340" s="27">
        <v>45756.0</v>
      </c>
      <c r="D2340" s="27">
        <v>45756.0</v>
      </c>
      <c r="E2340" s="26" t="s">
        <v>1121</v>
      </c>
      <c r="F2340" s="26" t="s">
        <v>1200</v>
      </c>
    </row>
    <row r="2341">
      <c r="A2341" s="26" t="s">
        <v>2165</v>
      </c>
      <c r="B2341" s="26" t="s">
        <v>361</v>
      </c>
      <c r="C2341" s="27">
        <v>45756.0</v>
      </c>
      <c r="D2341" s="27">
        <v>45756.0</v>
      </c>
      <c r="E2341" s="26" t="s">
        <v>1121</v>
      </c>
      <c r="F2341" s="26" t="s">
        <v>1200</v>
      </c>
    </row>
    <row r="2342">
      <c r="A2342" s="26" t="s">
        <v>2165</v>
      </c>
      <c r="B2342" s="26" t="s">
        <v>361</v>
      </c>
      <c r="C2342" s="27">
        <v>45756.0</v>
      </c>
      <c r="D2342" s="27">
        <v>45756.0</v>
      </c>
      <c r="E2342" s="26" t="s">
        <v>1121</v>
      </c>
      <c r="F2342" s="26" t="s">
        <v>1200</v>
      </c>
    </row>
    <row r="2343">
      <c r="A2343" s="26" t="s">
        <v>2166</v>
      </c>
      <c r="B2343" s="26" t="s">
        <v>1945</v>
      </c>
      <c r="C2343" s="27">
        <v>45756.0</v>
      </c>
      <c r="D2343" s="27">
        <v>45756.0</v>
      </c>
      <c r="E2343" s="26" t="s">
        <v>1121</v>
      </c>
      <c r="F2343" s="26" t="s">
        <v>1200</v>
      </c>
    </row>
    <row r="2344">
      <c r="A2344" s="26" t="s">
        <v>2166</v>
      </c>
      <c r="B2344" s="26" t="s">
        <v>1945</v>
      </c>
      <c r="C2344" s="27">
        <v>45756.0</v>
      </c>
      <c r="D2344" s="27">
        <v>45756.0</v>
      </c>
      <c r="E2344" s="26" t="s">
        <v>1121</v>
      </c>
      <c r="F2344" s="26" t="s">
        <v>1200</v>
      </c>
    </row>
    <row r="2345">
      <c r="A2345" s="26" t="s">
        <v>2167</v>
      </c>
      <c r="B2345" s="26" t="s">
        <v>439</v>
      </c>
      <c r="C2345" s="27">
        <v>45755.0</v>
      </c>
      <c r="D2345" s="27">
        <v>45755.0</v>
      </c>
      <c r="E2345" s="26" t="s">
        <v>1121</v>
      </c>
      <c r="F2345" s="26" t="s">
        <v>1200</v>
      </c>
    </row>
    <row r="2346">
      <c r="A2346" s="26" t="s">
        <v>2167</v>
      </c>
      <c r="B2346" s="26" t="s">
        <v>439</v>
      </c>
      <c r="C2346" s="27">
        <v>45755.0</v>
      </c>
      <c r="D2346" s="27">
        <v>45755.0</v>
      </c>
      <c r="E2346" s="26" t="s">
        <v>1121</v>
      </c>
      <c r="F2346" s="26" t="s">
        <v>1200</v>
      </c>
    </row>
    <row r="2347">
      <c r="A2347" s="26" t="s">
        <v>2168</v>
      </c>
      <c r="B2347" s="26" t="s">
        <v>444</v>
      </c>
      <c r="C2347" s="27">
        <v>45755.0</v>
      </c>
      <c r="D2347" s="27">
        <v>45755.0</v>
      </c>
      <c r="E2347" s="26" t="s">
        <v>1121</v>
      </c>
      <c r="F2347" s="26" t="s">
        <v>1200</v>
      </c>
    </row>
    <row r="2348">
      <c r="A2348" s="26" t="s">
        <v>2168</v>
      </c>
      <c r="B2348" s="26" t="s">
        <v>444</v>
      </c>
      <c r="C2348" s="27">
        <v>45755.0</v>
      </c>
      <c r="D2348" s="27">
        <v>45755.0</v>
      </c>
      <c r="E2348" s="26" t="s">
        <v>1121</v>
      </c>
      <c r="F2348" s="26" t="s">
        <v>1200</v>
      </c>
    </row>
    <row r="2349">
      <c r="A2349" s="26" t="s">
        <v>2168</v>
      </c>
      <c r="B2349" s="26" t="s">
        <v>444</v>
      </c>
      <c r="C2349" s="27">
        <v>45755.0</v>
      </c>
      <c r="D2349" s="27">
        <v>45755.0</v>
      </c>
      <c r="E2349" s="26" t="s">
        <v>1121</v>
      </c>
      <c r="F2349" s="26" t="s">
        <v>1200</v>
      </c>
    </row>
    <row r="2350">
      <c r="A2350" s="26" t="s">
        <v>2168</v>
      </c>
      <c r="B2350" s="26" t="s">
        <v>444</v>
      </c>
      <c r="C2350" s="27">
        <v>45755.0</v>
      </c>
      <c r="D2350" s="27">
        <v>45755.0</v>
      </c>
      <c r="E2350" s="26" t="s">
        <v>1121</v>
      </c>
      <c r="F2350" s="26" t="s">
        <v>1200</v>
      </c>
    </row>
    <row r="2351">
      <c r="A2351" s="26" t="s">
        <v>2168</v>
      </c>
      <c r="B2351" s="26" t="s">
        <v>444</v>
      </c>
      <c r="C2351" s="27">
        <v>45755.0</v>
      </c>
      <c r="D2351" s="27">
        <v>45755.0</v>
      </c>
      <c r="E2351" s="26" t="s">
        <v>1121</v>
      </c>
      <c r="F2351" s="26" t="s">
        <v>1200</v>
      </c>
    </row>
    <row r="2352">
      <c r="A2352" s="26" t="s">
        <v>2169</v>
      </c>
      <c r="B2352" s="26" t="s">
        <v>483</v>
      </c>
      <c r="C2352" s="27">
        <v>45755.0</v>
      </c>
      <c r="D2352" s="27">
        <v>45755.0</v>
      </c>
      <c r="E2352" s="26" t="s">
        <v>1121</v>
      </c>
      <c r="F2352" s="26" t="s">
        <v>1200</v>
      </c>
    </row>
    <row r="2353">
      <c r="A2353" s="26" t="s">
        <v>2170</v>
      </c>
      <c r="B2353" s="26" t="s">
        <v>467</v>
      </c>
      <c r="C2353" s="27">
        <v>45755.0</v>
      </c>
      <c r="D2353" s="27">
        <v>45755.0</v>
      </c>
      <c r="E2353" s="26" t="s">
        <v>1121</v>
      </c>
      <c r="F2353" s="26" t="s">
        <v>1200</v>
      </c>
    </row>
    <row r="2354">
      <c r="A2354" s="26" t="s">
        <v>2170</v>
      </c>
      <c r="B2354" s="26" t="s">
        <v>467</v>
      </c>
      <c r="C2354" s="27">
        <v>45755.0</v>
      </c>
      <c r="D2354" s="27">
        <v>45755.0</v>
      </c>
      <c r="E2354" s="26" t="s">
        <v>1121</v>
      </c>
      <c r="F2354" s="26" t="s">
        <v>1200</v>
      </c>
    </row>
    <row r="2355">
      <c r="A2355" s="26" t="s">
        <v>2171</v>
      </c>
      <c r="B2355" s="26" t="s">
        <v>1916</v>
      </c>
      <c r="C2355" s="27">
        <v>45755.0</v>
      </c>
      <c r="D2355" s="27">
        <v>45755.0</v>
      </c>
      <c r="E2355" s="26" t="s">
        <v>1121</v>
      </c>
      <c r="F2355" s="26" t="s">
        <v>1200</v>
      </c>
    </row>
    <row r="2356">
      <c r="A2356" s="26" t="s">
        <v>2172</v>
      </c>
      <c r="B2356" s="26" t="s">
        <v>1258</v>
      </c>
      <c r="C2356" s="27">
        <v>45752.0</v>
      </c>
      <c r="D2356" s="27">
        <v>45752.0</v>
      </c>
      <c r="E2356" s="26" t="s">
        <v>1121</v>
      </c>
      <c r="F2356" s="26" t="s">
        <v>1200</v>
      </c>
    </row>
    <row r="2357">
      <c r="A2357" s="26" t="s">
        <v>2173</v>
      </c>
      <c r="B2357" s="26" t="s">
        <v>516</v>
      </c>
      <c r="C2357" s="27">
        <v>45752.0</v>
      </c>
      <c r="D2357" s="27">
        <v>45752.0</v>
      </c>
      <c r="E2357" s="26" t="s">
        <v>1121</v>
      </c>
      <c r="F2357" s="26" t="s">
        <v>1200</v>
      </c>
    </row>
    <row r="2358">
      <c r="A2358" s="26" t="s">
        <v>2173</v>
      </c>
      <c r="B2358" s="26" t="s">
        <v>516</v>
      </c>
      <c r="C2358" s="27">
        <v>45752.0</v>
      </c>
      <c r="D2358" s="27">
        <v>45752.0</v>
      </c>
      <c r="E2358" s="26" t="s">
        <v>1121</v>
      </c>
      <c r="F2358" s="26" t="s">
        <v>1200</v>
      </c>
    </row>
    <row r="2359">
      <c r="A2359" s="26" t="s">
        <v>2174</v>
      </c>
      <c r="B2359" s="26" t="s">
        <v>467</v>
      </c>
      <c r="C2359" s="27">
        <v>45752.0</v>
      </c>
      <c r="D2359" s="27">
        <v>45752.0</v>
      </c>
      <c r="E2359" s="26" t="s">
        <v>1121</v>
      </c>
      <c r="F2359" s="26" t="s">
        <v>1200</v>
      </c>
    </row>
    <row r="2360">
      <c r="A2360" s="26" t="s">
        <v>2175</v>
      </c>
      <c r="B2360" s="26" t="s">
        <v>483</v>
      </c>
      <c r="C2360" s="27">
        <v>45752.0</v>
      </c>
      <c r="D2360" s="27">
        <v>45752.0</v>
      </c>
      <c r="E2360" s="26" t="s">
        <v>1121</v>
      </c>
      <c r="F2360" s="26" t="s">
        <v>1200</v>
      </c>
    </row>
    <row r="2361">
      <c r="A2361" s="26" t="s">
        <v>2176</v>
      </c>
      <c r="B2361" s="26" t="s">
        <v>546</v>
      </c>
      <c r="C2361" s="27">
        <v>45752.0</v>
      </c>
      <c r="D2361" s="27">
        <v>45752.0</v>
      </c>
      <c r="E2361" s="26" t="s">
        <v>1121</v>
      </c>
      <c r="F2361" s="26" t="s">
        <v>1200</v>
      </c>
    </row>
    <row r="2362">
      <c r="A2362" s="26" t="s">
        <v>2176</v>
      </c>
      <c r="B2362" s="26" t="s">
        <v>546</v>
      </c>
      <c r="C2362" s="27">
        <v>45752.0</v>
      </c>
      <c r="D2362" s="27">
        <v>45752.0</v>
      </c>
      <c r="E2362" s="26" t="s">
        <v>1121</v>
      </c>
      <c r="F2362" s="26" t="s">
        <v>1200</v>
      </c>
    </row>
    <row r="2363">
      <c r="A2363" s="26" t="s">
        <v>2177</v>
      </c>
      <c r="B2363" s="26" t="s">
        <v>435</v>
      </c>
      <c r="C2363" s="27">
        <v>45751.0</v>
      </c>
      <c r="D2363" s="27">
        <v>45751.0</v>
      </c>
      <c r="E2363" s="26" t="s">
        <v>1121</v>
      </c>
      <c r="F2363" s="26" t="s">
        <v>1200</v>
      </c>
    </row>
    <row r="2364">
      <c r="A2364" s="26" t="s">
        <v>2178</v>
      </c>
      <c r="B2364" s="26" t="s">
        <v>432</v>
      </c>
      <c r="C2364" s="27">
        <v>45751.0</v>
      </c>
      <c r="D2364" s="27">
        <v>45751.0</v>
      </c>
      <c r="E2364" s="26" t="s">
        <v>1121</v>
      </c>
      <c r="F2364" s="26" t="s">
        <v>1200</v>
      </c>
    </row>
    <row r="2365">
      <c r="A2365" s="26" t="s">
        <v>2179</v>
      </c>
      <c r="B2365" s="26" t="s">
        <v>428</v>
      </c>
      <c r="C2365" s="27">
        <v>45751.0</v>
      </c>
      <c r="D2365" s="27">
        <v>45751.0</v>
      </c>
      <c r="E2365" s="26" t="s">
        <v>1121</v>
      </c>
      <c r="F2365" s="26" t="s">
        <v>1200</v>
      </c>
    </row>
    <row r="2366">
      <c r="A2366" s="26" t="s">
        <v>2180</v>
      </c>
      <c r="B2366" s="26" t="s">
        <v>2181</v>
      </c>
      <c r="C2366" s="27">
        <v>45751.0</v>
      </c>
      <c r="D2366" s="27">
        <v>45751.0</v>
      </c>
      <c r="E2366" s="26" t="s">
        <v>1121</v>
      </c>
      <c r="F2366" s="26" t="s">
        <v>1200</v>
      </c>
    </row>
    <row r="2367">
      <c r="A2367" s="26" t="s">
        <v>2180</v>
      </c>
      <c r="B2367" s="26" t="s">
        <v>2181</v>
      </c>
      <c r="C2367" s="27">
        <v>45751.0</v>
      </c>
      <c r="D2367" s="27">
        <v>45751.0</v>
      </c>
      <c r="E2367" s="26" t="s">
        <v>1121</v>
      </c>
      <c r="F2367" s="26" t="s">
        <v>1200</v>
      </c>
    </row>
    <row r="2368">
      <c r="A2368" s="26" t="s">
        <v>2180</v>
      </c>
      <c r="B2368" s="26" t="s">
        <v>2181</v>
      </c>
      <c r="C2368" s="27">
        <v>45751.0</v>
      </c>
      <c r="D2368" s="27">
        <v>45751.0</v>
      </c>
      <c r="E2368" s="26" t="s">
        <v>1121</v>
      </c>
      <c r="F2368" s="26" t="s">
        <v>1200</v>
      </c>
    </row>
    <row r="2369">
      <c r="A2369" s="26" t="s">
        <v>2180</v>
      </c>
      <c r="B2369" s="26" t="s">
        <v>2181</v>
      </c>
      <c r="C2369" s="27">
        <v>45751.0</v>
      </c>
      <c r="D2369" s="27">
        <v>45751.0</v>
      </c>
      <c r="E2369" s="26" t="s">
        <v>1121</v>
      </c>
      <c r="F2369" s="26" t="s">
        <v>1200</v>
      </c>
    </row>
    <row r="2370">
      <c r="A2370" s="26" t="s">
        <v>2182</v>
      </c>
      <c r="B2370" s="26" t="s">
        <v>295</v>
      </c>
      <c r="C2370" s="27">
        <v>45750.0</v>
      </c>
      <c r="D2370" s="27">
        <v>45750.0</v>
      </c>
      <c r="E2370" s="26" t="s">
        <v>1121</v>
      </c>
      <c r="F2370" s="26" t="s">
        <v>1200</v>
      </c>
    </row>
    <row r="2371">
      <c r="A2371" s="26" t="s">
        <v>2183</v>
      </c>
      <c r="B2371" s="26" t="s">
        <v>1351</v>
      </c>
      <c r="C2371" s="27">
        <v>45750.0</v>
      </c>
      <c r="D2371" s="27">
        <v>45750.0</v>
      </c>
      <c r="E2371" s="26" t="s">
        <v>1121</v>
      </c>
      <c r="F2371" s="26" t="s">
        <v>1200</v>
      </c>
    </row>
    <row r="2372">
      <c r="A2372" s="26" t="s">
        <v>2183</v>
      </c>
      <c r="B2372" s="26" t="s">
        <v>1351</v>
      </c>
      <c r="C2372" s="27">
        <v>45750.0</v>
      </c>
      <c r="D2372" s="27">
        <v>45750.0</v>
      </c>
      <c r="E2372" s="26" t="s">
        <v>1121</v>
      </c>
      <c r="F2372" s="26" t="s">
        <v>1200</v>
      </c>
    </row>
    <row r="2373">
      <c r="A2373" s="26" t="s">
        <v>2183</v>
      </c>
      <c r="B2373" s="26" t="s">
        <v>1351</v>
      </c>
      <c r="C2373" s="27">
        <v>45750.0</v>
      </c>
      <c r="D2373" s="27">
        <v>45750.0</v>
      </c>
      <c r="E2373" s="26" t="s">
        <v>1121</v>
      </c>
      <c r="F2373" s="26" t="s">
        <v>1200</v>
      </c>
    </row>
    <row r="2374">
      <c r="A2374" s="26" t="s">
        <v>2183</v>
      </c>
      <c r="B2374" s="26" t="s">
        <v>1351</v>
      </c>
      <c r="C2374" s="27">
        <v>45750.0</v>
      </c>
      <c r="D2374" s="27">
        <v>45750.0</v>
      </c>
      <c r="E2374" s="26" t="s">
        <v>1121</v>
      </c>
      <c r="F2374" s="26" t="s">
        <v>1200</v>
      </c>
    </row>
    <row r="2375">
      <c r="A2375" s="26" t="s">
        <v>2183</v>
      </c>
      <c r="B2375" s="26" t="s">
        <v>1351</v>
      </c>
      <c r="C2375" s="27">
        <v>45750.0</v>
      </c>
      <c r="D2375" s="27">
        <v>45750.0</v>
      </c>
      <c r="E2375" s="26" t="s">
        <v>1121</v>
      </c>
      <c r="F2375" s="26" t="s">
        <v>1200</v>
      </c>
    </row>
    <row r="2376">
      <c r="A2376" s="26" t="s">
        <v>2184</v>
      </c>
      <c r="B2376" s="26" t="s">
        <v>483</v>
      </c>
      <c r="C2376" s="27">
        <v>45749.0</v>
      </c>
      <c r="D2376" s="27">
        <v>45749.0</v>
      </c>
      <c r="E2376" s="26" t="s">
        <v>1121</v>
      </c>
      <c r="F2376" s="26" t="s">
        <v>1200</v>
      </c>
    </row>
    <row r="2377">
      <c r="A2377" s="26" t="s">
        <v>2185</v>
      </c>
      <c r="B2377" s="26" t="s">
        <v>736</v>
      </c>
      <c r="C2377" s="27">
        <v>45748.0</v>
      </c>
      <c r="D2377" s="27">
        <v>45748.0</v>
      </c>
      <c r="E2377" s="26" t="s">
        <v>1121</v>
      </c>
      <c r="F2377" s="26" t="s">
        <v>1200</v>
      </c>
    </row>
    <row r="2378">
      <c r="A2378" s="26" t="s">
        <v>2185</v>
      </c>
      <c r="B2378" s="26" t="s">
        <v>736</v>
      </c>
      <c r="C2378" s="27">
        <v>45748.0</v>
      </c>
      <c r="D2378" s="27">
        <v>45748.0</v>
      </c>
      <c r="E2378" s="26" t="s">
        <v>1121</v>
      </c>
      <c r="F2378" s="26" t="s">
        <v>1200</v>
      </c>
    </row>
    <row r="2379">
      <c r="A2379" s="26" t="s">
        <v>2185</v>
      </c>
      <c r="B2379" s="26" t="s">
        <v>736</v>
      </c>
      <c r="C2379" s="27">
        <v>45748.0</v>
      </c>
      <c r="D2379" s="27">
        <v>45748.0</v>
      </c>
      <c r="E2379" s="26" t="s">
        <v>1121</v>
      </c>
      <c r="F2379" s="26" t="s">
        <v>1200</v>
      </c>
    </row>
    <row r="2380">
      <c r="A2380" s="26" t="s">
        <v>2185</v>
      </c>
      <c r="B2380" s="26" t="s">
        <v>736</v>
      </c>
      <c r="C2380" s="27">
        <v>45748.0</v>
      </c>
      <c r="D2380" s="27">
        <v>45748.0</v>
      </c>
      <c r="E2380" s="26" t="s">
        <v>1121</v>
      </c>
      <c r="F2380" s="26" t="s">
        <v>1200</v>
      </c>
    </row>
    <row r="2381">
      <c r="A2381" s="26" t="s">
        <v>2185</v>
      </c>
      <c r="B2381" s="26" t="s">
        <v>736</v>
      </c>
      <c r="C2381" s="27">
        <v>45748.0</v>
      </c>
      <c r="D2381" s="27">
        <v>45748.0</v>
      </c>
      <c r="E2381" s="26" t="s">
        <v>1121</v>
      </c>
      <c r="F2381" s="26" t="s">
        <v>1200</v>
      </c>
    </row>
    <row r="2382">
      <c r="A2382" s="26" t="s">
        <v>2185</v>
      </c>
      <c r="B2382" s="26" t="s">
        <v>736</v>
      </c>
      <c r="C2382" s="27">
        <v>45748.0</v>
      </c>
      <c r="D2382" s="27">
        <v>45748.0</v>
      </c>
      <c r="E2382" s="26" t="s">
        <v>1121</v>
      </c>
      <c r="F2382" s="26" t="s">
        <v>1200</v>
      </c>
    </row>
    <row r="2383">
      <c r="A2383" s="26" t="s">
        <v>2185</v>
      </c>
      <c r="B2383" s="26" t="s">
        <v>736</v>
      </c>
      <c r="C2383" s="27">
        <v>45748.0</v>
      </c>
      <c r="D2383" s="27">
        <v>45748.0</v>
      </c>
      <c r="E2383" s="26" t="s">
        <v>1121</v>
      </c>
      <c r="F2383" s="26" t="s">
        <v>1200</v>
      </c>
    </row>
    <row r="2384">
      <c r="A2384" s="26" t="s">
        <v>2185</v>
      </c>
      <c r="B2384" s="26" t="s">
        <v>736</v>
      </c>
      <c r="C2384" s="27">
        <v>45748.0</v>
      </c>
      <c r="D2384" s="27">
        <v>45748.0</v>
      </c>
      <c r="E2384" s="26" t="s">
        <v>1121</v>
      </c>
      <c r="F2384" s="26" t="s">
        <v>1200</v>
      </c>
    </row>
    <row r="2385">
      <c r="A2385" s="26" t="s">
        <v>2186</v>
      </c>
      <c r="B2385" s="26" t="s">
        <v>745</v>
      </c>
      <c r="C2385" s="27">
        <v>45748.0</v>
      </c>
      <c r="D2385" s="27">
        <v>45748.0</v>
      </c>
      <c r="E2385" s="26" t="s">
        <v>1121</v>
      </c>
      <c r="F2385" s="26" t="s">
        <v>1200</v>
      </c>
    </row>
    <row r="2386">
      <c r="A2386" s="26" t="s">
        <v>2186</v>
      </c>
      <c r="B2386" s="26" t="s">
        <v>745</v>
      </c>
      <c r="C2386" s="27">
        <v>45748.0</v>
      </c>
      <c r="D2386" s="27">
        <v>45748.0</v>
      </c>
      <c r="E2386" s="26" t="s">
        <v>1121</v>
      </c>
      <c r="F2386" s="26" t="s">
        <v>1200</v>
      </c>
    </row>
    <row r="2387">
      <c r="A2387" s="26" t="s">
        <v>2186</v>
      </c>
      <c r="B2387" s="26" t="s">
        <v>745</v>
      </c>
      <c r="C2387" s="27">
        <v>45748.0</v>
      </c>
      <c r="D2387" s="27">
        <v>45748.0</v>
      </c>
      <c r="E2387" s="26" t="s">
        <v>1121</v>
      </c>
      <c r="F2387" s="26" t="s">
        <v>1200</v>
      </c>
    </row>
    <row r="2388">
      <c r="A2388" s="26" t="s">
        <v>2186</v>
      </c>
      <c r="B2388" s="26" t="s">
        <v>745</v>
      </c>
      <c r="C2388" s="27">
        <v>45748.0</v>
      </c>
      <c r="D2388" s="27">
        <v>45748.0</v>
      </c>
      <c r="E2388" s="26" t="s">
        <v>1121</v>
      </c>
      <c r="F2388" s="26" t="s">
        <v>1200</v>
      </c>
    </row>
    <row r="2389">
      <c r="A2389" s="26" t="s">
        <v>2186</v>
      </c>
      <c r="B2389" s="26" t="s">
        <v>745</v>
      </c>
      <c r="C2389" s="27">
        <v>45748.0</v>
      </c>
      <c r="D2389" s="27">
        <v>45748.0</v>
      </c>
      <c r="E2389" s="26" t="s">
        <v>1121</v>
      </c>
      <c r="F2389" s="26" t="s">
        <v>1200</v>
      </c>
    </row>
    <row r="2390">
      <c r="A2390" s="26" t="s">
        <v>2186</v>
      </c>
      <c r="B2390" s="26" t="s">
        <v>745</v>
      </c>
      <c r="C2390" s="27">
        <v>45748.0</v>
      </c>
      <c r="D2390" s="27">
        <v>45748.0</v>
      </c>
      <c r="E2390" s="26" t="s">
        <v>1121</v>
      </c>
      <c r="F2390" s="26" t="s">
        <v>1200</v>
      </c>
    </row>
    <row r="2391">
      <c r="A2391" s="26" t="s">
        <v>2186</v>
      </c>
      <c r="B2391" s="26" t="s">
        <v>745</v>
      </c>
      <c r="C2391" s="27">
        <v>45748.0</v>
      </c>
      <c r="D2391" s="27">
        <v>45748.0</v>
      </c>
      <c r="E2391" s="26" t="s">
        <v>1121</v>
      </c>
      <c r="F2391" s="26" t="s">
        <v>1200</v>
      </c>
    </row>
    <row r="2392">
      <c r="A2392" s="26" t="s">
        <v>2186</v>
      </c>
      <c r="B2392" s="26" t="s">
        <v>745</v>
      </c>
      <c r="C2392" s="27">
        <v>45748.0</v>
      </c>
      <c r="D2392" s="27">
        <v>45748.0</v>
      </c>
      <c r="E2392" s="26" t="s">
        <v>1121</v>
      </c>
      <c r="F2392" s="26" t="s">
        <v>1200</v>
      </c>
    </row>
    <row r="2393">
      <c r="A2393" s="26" t="s">
        <v>2186</v>
      </c>
      <c r="B2393" s="26" t="s">
        <v>745</v>
      </c>
      <c r="C2393" s="27">
        <v>45748.0</v>
      </c>
      <c r="D2393" s="27">
        <v>45748.0</v>
      </c>
      <c r="E2393" s="26" t="s">
        <v>1121</v>
      </c>
      <c r="F2393" s="26" t="s">
        <v>1200</v>
      </c>
    </row>
    <row r="2394">
      <c r="A2394" s="26" t="s">
        <v>2187</v>
      </c>
      <c r="B2394" s="26" t="s">
        <v>2188</v>
      </c>
      <c r="C2394" s="27">
        <v>45748.0</v>
      </c>
      <c r="D2394" s="27">
        <v>45748.0</v>
      </c>
      <c r="E2394" s="26" t="s">
        <v>1121</v>
      </c>
      <c r="F2394" s="26" t="s">
        <v>1200</v>
      </c>
    </row>
    <row r="2395">
      <c r="A2395" s="26" t="s">
        <v>2187</v>
      </c>
      <c r="B2395" s="26" t="s">
        <v>2188</v>
      </c>
      <c r="C2395" s="27">
        <v>45748.0</v>
      </c>
      <c r="D2395" s="27">
        <v>45748.0</v>
      </c>
      <c r="E2395" s="26" t="s">
        <v>1121</v>
      </c>
      <c r="F2395" s="26" t="s">
        <v>1200</v>
      </c>
    </row>
    <row r="2396">
      <c r="A2396" s="26" t="s">
        <v>2187</v>
      </c>
      <c r="B2396" s="26" t="s">
        <v>2188</v>
      </c>
      <c r="C2396" s="27">
        <v>45748.0</v>
      </c>
      <c r="D2396" s="27">
        <v>45748.0</v>
      </c>
      <c r="E2396" s="26" t="s">
        <v>1121</v>
      </c>
      <c r="F2396" s="26" t="s">
        <v>1200</v>
      </c>
    </row>
    <row r="2397">
      <c r="A2397" s="26" t="s">
        <v>2189</v>
      </c>
      <c r="B2397" s="26" t="s">
        <v>1335</v>
      </c>
      <c r="C2397" s="27">
        <v>45748.0</v>
      </c>
      <c r="D2397" s="27">
        <v>45748.0</v>
      </c>
      <c r="E2397" s="26" t="s">
        <v>1121</v>
      </c>
      <c r="F2397" s="26" t="s">
        <v>1200</v>
      </c>
    </row>
    <row r="2398">
      <c r="A2398" s="26" t="s">
        <v>2189</v>
      </c>
      <c r="B2398" s="26" t="s">
        <v>1335</v>
      </c>
      <c r="C2398" s="27">
        <v>45748.0</v>
      </c>
      <c r="D2398" s="27">
        <v>45748.0</v>
      </c>
      <c r="E2398" s="26" t="s">
        <v>1121</v>
      </c>
      <c r="F2398" s="26" t="s">
        <v>1200</v>
      </c>
    </row>
    <row r="2399">
      <c r="A2399" s="26" t="s">
        <v>2190</v>
      </c>
      <c r="B2399" s="26" t="s">
        <v>461</v>
      </c>
      <c r="C2399" s="27">
        <v>45747.0</v>
      </c>
      <c r="D2399" s="27">
        <v>45747.0</v>
      </c>
      <c r="E2399" s="26" t="s">
        <v>1121</v>
      </c>
      <c r="F2399" s="26" t="s">
        <v>1200</v>
      </c>
    </row>
    <row r="2400">
      <c r="A2400" s="26" t="s">
        <v>2191</v>
      </c>
      <c r="B2400" s="26" t="s">
        <v>542</v>
      </c>
      <c r="C2400" s="27">
        <v>45747.0</v>
      </c>
      <c r="D2400" s="27">
        <v>45747.0</v>
      </c>
      <c r="E2400" s="26" t="s">
        <v>1121</v>
      </c>
      <c r="F2400" s="26" t="s">
        <v>1200</v>
      </c>
    </row>
    <row r="2401">
      <c r="A2401" s="26" t="s">
        <v>2191</v>
      </c>
      <c r="B2401" s="26" t="s">
        <v>542</v>
      </c>
      <c r="C2401" s="27">
        <v>45747.0</v>
      </c>
      <c r="D2401" s="27">
        <v>45747.0</v>
      </c>
      <c r="E2401" s="26" t="s">
        <v>1121</v>
      </c>
      <c r="F2401" s="26" t="s">
        <v>1200</v>
      </c>
    </row>
    <row r="2402">
      <c r="A2402" s="26" t="s">
        <v>2192</v>
      </c>
      <c r="B2402" s="26" t="s">
        <v>1574</v>
      </c>
      <c r="C2402" s="27">
        <v>45747.0</v>
      </c>
      <c r="D2402" s="27">
        <v>45747.0</v>
      </c>
      <c r="E2402" s="26" t="s">
        <v>1121</v>
      </c>
      <c r="F2402" s="26" t="s">
        <v>1200</v>
      </c>
    </row>
    <row r="2403">
      <c r="A2403" s="26" t="s">
        <v>2192</v>
      </c>
      <c r="B2403" s="26" t="s">
        <v>1574</v>
      </c>
      <c r="C2403" s="27">
        <v>45747.0</v>
      </c>
      <c r="D2403" s="27">
        <v>45747.0</v>
      </c>
      <c r="E2403" s="26" t="s">
        <v>1121</v>
      </c>
      <c r="F2403" s="26" t="s">
        <v>1200</v>
      </c>
    </row>
    <row r="2404">
      <c r="A2404" s="26" t="s">
        <v>2192</v>
      </c>
      <c r="B2404" s="26" t="s">
        <v>1574</v>
      </c>
      <c r="C2404" s="27">
        <v>45747.0</v>
      </c>
      <c r="D2404" s="27">
        <v>45747.0</v>
      </c>
      <c r="E2404" s="26" t="s">
        <v>1121</v>
      </c>
      <c r="F2404" s="26" t="s">
        <v>1200</v>
      </c>
    </row>
    <row r="2405">
      <c r="A2405" s="26" t="s">
        <v>2193</v>
      </c>
      <c r="B2405" s="26" t="s">
        <v>295</v>
      </c>
      <c r="C2405" s="27">
        <v>45747.0</v>
      </c>
      <c r="D2405" s="27">
        <v>45747.0</v>
      </c>
      <c r="E2405" s="26" t="s">
        <v>1121</v>
      </c>
      <c r="F2405" s="26" t="s">
        <v>1200</v>
      </c>
    </row>
    <row r="2406">
      <c r="A2406" s="26" t="s">
        <v>2193</v>
      </c>
      <c r="B2406" s="26" t="s">
        <v>295</v>
      </c>
      <c r="C2406" s="27">
        <v>45747.0</v>
      </c>
      <c r="D2406" s="27">
        <v>45747.0</v>
      </c>
      <c r="E2406" s="26" t="s">
        <v>1121</v>
      </c>
      <c r="F2406" s="26" t="s">
        <v>1200</v>
      </c>
    </row>
    <row r="2407">
      <c r="A2407" s="26" t="s">
        <v>2194</v>
      </c>
      <c r="B2407" s="26" t="s">
        <v>739</v>
      </c>
      <c r="C2407" s="27">
        <v>45747.0</v>
      </c>
      <c r="D2407" s="27">
        <v>45747.0</v>
      </c>
      <c r="E2407" s="26" t="s">
        <v>1121</v>
      </c>
      <c r="F2407" s="26" t="s">
        <v>1200</v>
      </c>
    </row>
    <row r="2408">
      <c r="A2408" s="26" t="s">
        <v>2194</v>
      </c>
      <c r="B2408" s="26" t="s">
        <v>739</v>
      </c>
      <c r="C2408" s="27">
        <v>45747.0</v>
      </c>
      <c r="D2408" s="27">
        <v>45747.0</v>
      </c>
      <c r="E2408" s="26" t="s">
        <v>1121</v>
      </c>
      <c r="F2408" s="26" t="s">
        <v>1200</v>
      </c>
    </row>
    <row r="2409">
      <c r="A2409" s="26" t="s">
        <v>2194</v>
      </c>
      <c r="B2409" s="26" t="s">
        <v>739</v>
      </c>
      <c r="C2409" s="27">
        <v>45747.0</v>
      </c>
      <c r="D2409" s="27">
        <v>45747.0</v>
      </c>
      <c r="E2409" s="26" t="s">
        <v>1121</v>
      </c>
      <c r="F2409" s="26" t="s">
        <v>1200</v>
      </c>
    </row>
    <row r="2410">
      <c r="A2410" s="26" t="s">
        <v>2195</v>
      </c>
      <c r="B2410" s="26" t="s">
        <v>546</v>
      </c>
      <c r="C2410" s="27">
        <v>45747.0</v>
      </c>
      <c r="D2410" s="27">
        <v>45747.0</v>
      </c>
      <c r="E2410" s="26" t="s">
        <v>1121</v>
      </c>
      <c r="F2410" s="26" t="s">
        <v>1200</v>
      </c>
    </row>
    <row r="2411">
      <c r="A2411" s="26" t="s">
        <v>2196</v>
      </c>
      <c r="B2411" s="26" t="s">
        <v>1766</v>
      </c>
      <c r="C2411" s="27">
        <v>45747.0</v>
      </c>
      <c r="D2411" s="27">
        <v>45747.0</v>
      </c>
      <c r="E2411" s="26" t="s">
        <v>1121</v>
      </c>
      <c r="F2411" s="26" t="s">
        <v>1200</v>
      </c>
    </row>
    <row r="2412">
      <c r="A2412" s="26" t="s">
        <v>2197</v>
      </c>
      <c r="B2412" s="26" t="s">
        <v>483</v>
      </c>
      <c r="C2412" s="27">
        <v>45745.0</v>
      </c>
      <c r="D2412" s="27">
        <v>45745.0</v>
      </c>
      <c r="E2412" s="26" t="s">
        <v>1121</v>
      </c>
      <c r="F2412" s="26" t="s">
        <v>1200</v>
      </c>
    </row>
    <row r="2413">
      <c r="A2413" s="26" t="s">
        <v>2198</v>
      </c>
      <c r="B2413" s="26" t="s">
        <v>467</v>
      </c>
      <c r="C2413" s="27">
        <v>45744.0</v>
      </c>
      <c r="D2413" s="27">
        <v>45744.0</v>
      </c>
      <c r="E2413" s="26" t="s">
        <v>1121</v>
      </c>
      <c r="F2413" s="26" t="s">
        <v>1200</v>
      </c>
    </row>
    <row r="2414">
      <c r="A2414" s="26" t="s">
        <v>2198</v>
      </c>
      <c r="B2414" s="26" t="s">
        <v>467</v>
      </c>
      <c r="C2414" s="27">
        <v>45744.0</v>
      </c>
      <c r="D2414" s="27">
        <v>45744.0</v>
      </c>
      <c r="E2414" s="26" t="s">
        <v>1121</v>
      </c>
      <c r="F2414" s="26" t="s">
        <v>1200</v>
      </c>
    </row>
    <row r="2415">
      <c r="A2415" s="26" t="s">
        <v>2199</v>
      </c>
      <c r="B2415" s="26" t="s">
        <v>739</v>
      </c>
      <c r="C2415" s="27">
        <v>45744.0</v>
      </c>
      <c r="D2415" s="27">
        <v>45744.0</v>
      </c>
      <c r="E2415" s="26" t="s">
        <v>1121</v>
      </c>
      <c r="F2415" s="26" t="s">
        <v>1200</v>
      </c>
    </row>
    <row r="2416">
      <c r="A2416" s="26" t="s">
        <v>2200</v>
      </c>
      <c r="B2416" s="26" t="s">
        <v>2142</v>
      </c>
      <c r="C2416" s="27">
        <v>45744.0</v>
      </c>
      <c r="D2416" s="27">
        <v>45744.0</v>
      </c>
      <c r="E2416" s="26" t="s">
        <v>1121</v>
      </c>
      <c r="F2416" s="26" t="s">
        <v>1200</v>
      </c>
    </row>
    <row r="2417">
      <c r="A2417" s="26" t="s">
        <v>2201</v>
      </c>
      <c r="B2417" s="26" t="s">
        <v>432</v>
      </c>
      <c r="C2417" s="27">
        <v>45744.0</v>
      </c>
      <c r="D2417" s="27">
        <v>45744.0</v>
      </c>
      <c r="E2417" s="26" t="s">
        <v>1121</v>
      </c>
      <c r="F2417" s="26" t="s">
        <v>1200</v>
      </c>
    </row>
    <row r="2418">
      <c r="A2418" s="26" t="s">
        <v>2202</v>
      </c>
      <c r="B2418" s="26" t="s">
        <v>448</v>
      </c>
      <c r="C2418" s="27">
        <v>45744.0</v>
      </c>
      <c r="D2418" s="27">
        <v>45744.0</v>
      </c>
      <c r="E2418" s="26" t="s">
        <v>1121</v>
      </c>
      <c r="F2418" s="26" t="s">
        <v>1200</v>
      </c>
    </row>
    <row r="2419">
      <c r="A2419" s="26" t="s">
        <v>2202</v>
      </c>
      <c r="B2419" s="26" t="s">
        <v>448</v>
      </c>
      <c r="C2419" s="27">
        <v>45744.0</v>
      </c>
      <c r="D2419" s="27">
        <v>45744.0</v>
      </c>
      <c r="E2419" s="26" t="s">
        <v>1121</v>
      </c>
      <c r="F2419" s="26" t="s">
        <v>1200</v>
      </c>
    </row>
    <row r="2420">
      <c r="A2420" s="26" t="s">
        <v>2203</v>
      </c>
      <c r="B2420" s="26" t="s">
        <v>483</v>
      </c>
      <c r="C2420" s="27">
        <v>45743.0</v>
      </c>
      <c r="D2420" s="27">
        <v>45743.0</v>
      </c>
      <c r="E2420" s="26" t="s">
        <v>1121</v>
      </c>
      <c r="F2420" s="26" t="s">
        <v>1200</v>
      </c>
    </row>
    <row r="2421">
      <c r="A2421" s="26" t="s">
        <v>2204</v>
      </c>
      <c r="B2421" s="26" t="s">
        <v>295</v>
      </c>
      <c r="C2421" s="27">
        <v>45742.0</v>
      </c>
      <c r="D2421" s="27">
        <v>45742.0</v>
      </c>
      <c r="E2421" s="26" t="s">
        <v>1121</v>
      </c>
      <c r="F2421" s="26" t="s">
        <v>1200</v>
      </c>
    </row>
    <row r="2422">
      <c r="A2422" s="26" t="s">
        <v>2204</v>
      </c>
      <c r="B2422" s="26" t="s">
        <v>295</v>
      </c>
      <c r="C2422" s="27">
        <v>45742.0</v>
      </c>
      <c r="D2422" s="27">
        <v>45742.0</v>
      </c>
      <c r="E2422" s="26" t="s">
        <v>1121</v>
      </c>
      <c r="F2422" s="26" t="s">
        <v>1200</v>
      </c>
    </row>
    <row r="2423">
      <c r="A2423" s="26" t="s">
        <v>2205</v>
      </c>
      <c r="B2423" s="26" t="s">
        <v>455</v>
      </c>
      <c r="C2423" s="27">
        <v>45742.0</v>
      </c>
      <c r="D2423" s="27">
        <v>45742.0</v>
      </c>
      <c r="E2423" s="26" t="s">
        <v>1121</v>
      </c>
      <c r="F2423" s="26" t="s">
        <v>1200</v>
      </c>
    </row>
    <row r="2424">
      <c r="A2424" s="26" t="s">
        <v>2206</v>
      </c>
      <c r="B2424" s="26" t="s">
        <v>444</v>
      </c>
      <c r="C2424" s="27">
        <v>45742.0</v>
      </c>
      <c r="D2424" s="27">
        <v>45742.0</v>
      </c>
      <c r="E2424" s="26" t="s">
        <v>1121</v>
      </c>
      <c r="F2424" s="26" t="s">
        <v>1200</v>
      </c>
    </row>
    <row r="2425">
      <c r="A2425" s="26" t="s">
        <v>2206</v>
      </c>
      <c r="B2425" s="26" t="s">
        <v>444</v>
      </c>
      <c r="C2425" s="27">
        <v>45742.0</v>
      </c>
      <c r="D2425" s="27">
        <v>45742.0</v>
      </c>
      <c r="E2425" s="26" t="s">
        <v>1121</v>
      </c>
      <c r="F2425" s="26" t="s">
        <v>1200</v>
      </c>
    </row>
    <row r="2426">
      <c r="A2426" s="26" t="s">
        <v>2206</v>
      </c>
      <c r="B2426" s="26" t="s">
        <v>444</v>
      </c>
      <c r="C2426" s="27">
        <v>45742.0</v>
      </c>
      <c r="D2426" s="27">
        <v>45742.0</v>
      </c>
      <c r="E2426" s="26" t="s">
        <v>1121</v>
      </c>
      <c r="F2426" s="26" t="s">
        <v>1200</v>
      </c>
    </row>
    <row r="2427">
      <c r="A2427" s="26" t="s">
        <v>2207</v>
      </c>
      <c r="B2427" s="26" t="s">
        <v>639</v>
      </c>
      <c r="C2427" s="27">
        <v>45742.0</v>
      </c>
      <c r="D2427" s="27">
        <v>45742.0</v>
      </c>
      <c r="E2427" s="26" t="s">
        <v>1121</v>
      </c>
      <c r="F2427" s="26" t="s">
        <v>1200</v>
      </c>
    </row>
    <row r="2428">
      <c r="A2428" s="26" t="s">
        <v>2207</v>
      </c>
      <c r="B2428" s="26" t="s">
        <v>639</v>
      </c>
      <c r="C2428" s="27">
        <v>45742.0</v>
      </c>
      <c r="D2428" s="27">
        <v>45742.0</v>
      </c>
      <c r="E2428" s="26" t="s">
        <v>1121</v>
      </c>
      <c r="F2428" s="26" t="s">
        <v>1200</v>
      </c>
    </row>
    <row r="2429">
      <c r="A2429" s="26" t="s">
        <v>2208</v>
      </c>
      <c r="B2429" s="26" t="s">
        <v>1226</v>
      </c>
      <c r="C2429" s="27">
        <v>45742.0</v>
      </c>
      <c r="D2429" s="27">
        <v>45742.0</v>
      </c>
      <c r="E2429" s="26" t="s">
        <v>1121</v>
      </c>
      <c r="F2429" s="26" t="s">
        <v>1200</v>
      </c>
    </row>
    <row r="2430">
      <c r="A2430" s="26" t="s">
        <v>2208</v>
      </c>
      <c r="B2430" s="26" t="s">
        <v>1226</v>
      </c>
      <c r="C2430" s="27">
        <v>45742.0</v>
      </c>
      <c r="D2430" s="27">
        <v>45742.0</v>
      </c>
      <c r="E2430" s="26" t="s">
        <v>1121</v>
      </c>
      <c r="F2430" s="26" t="s">
        <v>1200</v>
      </c>
    </row>
    <row r="2431">
      <c r="A2431" s="26" t="s">
        <v>2208</v>
      </c>
      <c r="B2431" s="26" t="s">
        <v>1226</v>
      </c>
      <c r="C2431" s="27">
        <v>45742.0</v>
      </c>
      <c r="D2431" s="27">
        <v>45742.0</v>
      </c>
      <c r="E2431" s="26" t="s">
        <v>1121</v>
      </c>
      <c r="F2431" s="26" t="s">
        <v>1200</v>
      </c>
    </row>
    <row r="2432">
      <c r="A2432" s="26" t="s">
        <v>2208</v>
      </c>
      <c r="B2432" s="26" t="s">
        <v>1226</v>
      </c>
      <c r="C2432" s="27">
        <v>45742.0</v>
      </c>
      <c r="D2432" s="27">
        <v>45742.0</v>
      </c>
      <c r="E2432" s="26" t="s">
        <v>1121</v>
      </c>
      <c r="F2432" s="26" t="s">
        <v>1200</v>
      </c>
    </row>
    <row r="2433">
      <c r="A2433" s="26" t="s">
        <v>2208</v>
      </c>
      <c r="B2433" s="26" t="s">
        <v>1226</v>
      </c>
      <c r="C2433" s="27">
        <v>45742.0</v>
      </c>
      <c r="D2433" s="27">
        <v>45742.0</v>
      </c>
      <c r="E2433" s="26" t="s">
        <v>1121</v>
      </c>
      <c r="F2433" s="26" t="s">
        <v>1200</v>
      </c>
    </row>
    <row r="2434">
      <c r="A2434" s="26" t="s">
        <v>2208</v>
      </c>
      <c r="B2434" s="26" t="s">
        <v>1226</v>
      </c>
      <c r="C2434" s="27">
        <v>45742.0</v>
      </c>
      <c r="D2434" s="27">
        <v>45742.0</v>
      </c>
      <c r="E2434" s="26" t="s">
        <v>1121</v>
      </c>
      <c r="F2434" s="26" t="s">
        <v>1200</v>
      </c>
    </row>
    <row r="2435">
      <c r="A2435" s="26" t="s">
        <v>2208</v>
      </c>
      <c r="B2435" s="26" t="s">
        <v>1226</v>
      </c>
      <c r="C2435" s="27">
        <v>45742.0</v>
      </c>
      <c r="D2435" s="27">
        <v>45742.0</v>
      </c>
      <c r="E2435" s="26" t="s">
        <v>1121</v>
      </c>
      <c r="F2435" s="26" t="s">
        <v>1200</v>
      </c>
    </row>
    <row r="2436">
      <c r="A2436" s="26" t="s">
        <v>2208</v>
      </c>
      <c r="B2436" s="26" t="s">
        <v>1226</v>
      </c>
      <c r="C2436" s="27">
        <v>45742.0</v>
      </c>
      <c r="D2436" s="27">
        <v>45742.0</v>
      </c>
      <c r="E2436" s="26" t="s">
        <v>1121</v>
      </c>
      <c r="F2436" s="26" t="s">
        <v>1200</v>
      </c>
    </row>
    <row r="2437">
      <c r="A2437" s="26" t="s">
        <v>2208</v>
      </c>
      <c r="B2437" s="26" t="s">
        <v>1226</v>
      </c>
      <c r="C2437" s="27">
        <v>45742.0</v>
      </c>
      <c r="D2437" s="27">
        <v>45742.0</v>
      </c>
      <c r="E2437" s="26" t="s">
        <v>1121</v>
      </c>
      <c r="F2437" s="26" t="s">
        <v>1200</v>
      </c>
    </row>
    <row r="2438">
      <c r="A2438" s="26" t="s">
        <v>2209</v>
      </c>
      <c r="B2438" s="26" t="s">
        <v>1335</v>
      </c>
      <c r="C2438" s="27">
        <v>45742.0</v>
      </c>
      <c r="D2438" s="27">
        <v>45742.0</v>
      </c>
      <c r="E2438" s="26" t="s">
        <v>1121</v>
      </c>
      <c r="F2438" s="26" t="s">
        <v>1200</v>
      </c>
    </row>
    <row r="2439">
      <c r="A2439" s="26" t="s">
        <v>2209</v>
      </c>
      <c r="B2439" s="26" t="s">
        <v>1335</v>
      </c>
      <c r="C2439" s="27">
        <v>45742.0</v>
      </c>
      <c r="D2439" s="27">
        <v>45742.0</v>
      </c>
      <c r="E2439" s="26" t="s">
        <v>1121</v>
      </c>
      <c r="F2439" s="26" t="s">
        <v>1200</v>
      </c>
    </row>
    <row r="2440">
      <c r="A2440" s="26" t="s">
        <v>2209</v>
      </c>
      <c r="B2440" s="26" t="s">
        <v>1335</v>
      </c>
      <c r="C2440" s="27">
        <v>45742.0</v>
      </c>
      <c r="D2440" s="27">
        <v>45742.0</v>
      </c>
      <c r="E2440" s="26" t="s">
        <v>1121</v>
      </c>
      <c r="F2440" s="26" t="s">
        <v>1200</v>
      </c>
    </row>
    <row r="2441">
      <c r="A2441" s="26" t="s">
        <v>2209</v>
      </c>
      <c r="B2441" s="26" t="s">
        <v>1335</v>
      </c>
      <c r="C2441" s="27">
        <v>45742.0</v>
      </c>
      <c r="D2441" s="27">
        <v>45742.0</v>
      </c>
      <c r="E2441" s="26" t="s">
        <v>1121</v>
      </c>
      <c r="F2441" s="26" t="s">
        <v>1200</v>
      </c>
    </row>
    <row r="2442">
      <c r="A2442" s="26" t="s">
        <v>2209</v>
      </c>
      <c r="B2442" s="26" t="s">
        <v>1335</v>
      </c>
      <c r="C2442" s="27">
        <v>45742.0</v>
      </c>
      <c r="D2442" s="27">
        <v>45742.0</v>
      </c>
      <c r="E2442" s="26" t="s">
        <v>1121</v>
      </c>
      <c r="F2442" s="26" t="s">
        <v>1200</v>
      </c>
    </row>
    <row r="2443">
      <c r="A2443" s="26" t="s">
        <v>2209</v>
      </c>
      <c r="B2443" s="26" t="s">
        <v>1335</v>
      </c>
      <c r="C2443" s="27">
        <v>45742.0</v>
      </c>
      <c r="D2443" s="27">
        <v>45742.0</v>
      </c>
      <c r="E2443" s="26" t="s">
        <v>1121</v>
      </c>
      <c r="F2443" s="26" t="s">
        <v>1200</v>
      </c>
    </row>
    <row r="2444">
      <c r="A2444" s="26" t="s">
        <v>2209</v>
      </c>
      <c r="B2444" s="26" t="s">
        <v>1335</v>
      </c>
      <c r="C2444" s="27">
        <v>45742.0</v>
      </c>
      <c r="D2444" s="27">
        <v>45742.0</v>
      </c>
      <c r="E2444" s="26" t="s">
        <v>1121</v>
      </c>
      <c r="F2444" s="26" t="s">
        <v>1200</v>
      </c>
    </row>
    <row r="2445">
      <c r="A2445" s="26" t="s">
        <v>2210</v>
      </c>
      <c r="B2445" s="26" t="s">
        <v>752</v>
      </c>
      <c r="C2445" s="27">
        <v>45741.0</v>
      </c>
      <c r="D2445" s="27">
        <v>45741.0</v>
      </c>
      <c r="E2445" s="26" t="s">
        <v>1121</v>
      </c>
      <c r="F2445" s="26" t="s">
        <v>1200</v>
      </c>
    </row>
    <row r="2446">
      <c r="A2446" s="26" t="s">
        <v>2211</v>
      </c>
      <c r="B2446" s="26" t="s">
        <v>435</v>
      </c>
      <c r="C2446" s="27">
        <v>45741.0</v>
      </c>
      <c r="D2446" s="27">
        <v>45741.0</v>
      </c>
      <c r="E2446" s="26" t="s">
        <v>1121</v>
      </c>
      <c r="F2446" s="26" t="s">
        <v>1200</v>
      </c>
    </row>
    <row r="2447">
      <c r="A2447" s="26" t="s">
        <v>2212</v>
      </c>
      <c r="B2447" s="26" t="s">
        <v>505</v>
      </c>
      <c r="C2447" s="27">
        <v>45741.0</v>
      </c>
      <c r="D2447" s="27">
        <v>45741.0</v>
      </c>
      <c r="E2447" s="26" t="s">
        <v>1121</v>
      </c>
      <c r="F2447" s="26" t="s">
        <v>1200</v>
      </c>
    </row>
    <row r="2448">
      <c r="A2448" s="26" t="s">
        <v>2212</v>
      </c>
      <c r="B2448" s="26" t="s">
        <v>505</v>
      </c>
      <c r="C2448" s="27">
        <v>45741.0</v>
      </c>
      <c r="D2448" s="27">
        <v>45741.0</v>
      </c>
      <c r="E2448" s="26" t="s">
        <v>1121</v>
      </c>
      <c r="F2448" s="26" t="s">
        <v>1200</v>
      </c>
    </row>
    <row r="2449">
      <c r="A2449" s="26" t="s">
        <v>2213</v>
      </c>
      <c r="B2449" s="26" t="s">
        <v>1515</v>
      </c>
      <c r="C2449" s="27">
        <v>45740.0</v>
      </c>
      <c r="D2449" s="27">
        <v>45740.0</v>
      </c>
      <c r="E2449" s="26" t="s">
        <v>1121</v>
      </c>
      <c r="F2449" s="26" t="s">
        <v>1200</v>
      </c>
    </row>
    <row r="2450">
      <c r="A2450" s="26" t="s">
        <v>2213</v>
      </c>
      <c r="B2450" s="26" t="s">
        <v>1515</v>
      </c>
      <c r="C2450" s="27">
        <v>45740.0</v>
      </c>
      <c r="D2450" s="27">
        <v>45740.0</v>
      </c>
      <c r="E2450" s="26" t="s">
        <v>1121</v>
      </c>
      <c r="F2450" s="26" t="s">
        <v>1200</v>
      </c>
    </row>
    <row r="2451">
      <c r="A2451" s="26" t="s">
        <v>2214</v>
      </c>
      <c r="B2451" s="26" t="s">
        <v>546</v>
      </c>
      <c r="C2451" s="27">
        <v>45740.0</v>
      </c>
      <c r="D2451" s="27">
        <v>45740.0</v>
      </c>
      <c r="E2451" s="26" t="s">
        <v>1121</v>
      </c>
      <c r="F2451" s="26" t="s">
        <v>1200</v>
      </c>
    </row>
    <row r="2452">
      <c r="A2452" s="26" t="s">
        <v>2214</v>
      </c>
      <c r="B2452" s="26" t="s">
        <v>546</v>
      </c>
      <c r="C2452" s="27">
        <v>45740.0</v>
      </c>
      <c r="D2452" s="27">
        <v>45740.0</v>
      </c>
      <c r="E2452" s="26" t="s">
        <v>1121</v>
      </c>
      <c r="F2452" s="26" t="s">
        <v>1200</v>
      </c>
    </row>
    <row r="2453">
      <c r="A2453" s="26" t="s">
        <v>2214</v>
      </c>
      <c r="B2453" s="26" t="s">
        <v>546</v>
      </c>
      <c r="C2453" s="27">
        <v>45740.0</v>
      </c>
      <c r="D2453" s="27">
        <v>45740.0</v>
      </c>
      <c r="E2453" s="26" t="s">
        <v>1121</v>
      </c>
      <c r="F2453" s="26" t="s">
        <v>1200</v>
      </c>
    </row>
    <row r="2454">
      <c r="A2454" s="26" t="s">
        <v>2214</v>
      </c>
      <c r="B2454" s="26" t="s">
        <v>546</v>
      </c>
      <c r="C2454" s="27">
        <v>45740.0</v>
      </c>
      <c r="D2454" s="27">
        <v>45740.0</v>
      </c>
      <c r="E2454" s="26" t="s">
        <v>1121</v>
      </c>
      <c r="F2454" s="26" t="s">
        <v>1200</v>
      </c>
    </row>
    <row r="2455">
      <c r="A2455" s="26" t="s">
        <v>2214</v>
      </c>
      <c r="B2455" s="26" t="s">
        <v>546</v>
      </c>
      <c r="C2455" s="27">
        <v>45740.0</v>
      </c>
      <c r="D2455" s="27">
        <v>45740.0</v>
      </c>
      <c r="E2455" s="26" t="s">
        <v>1121</v>
      </c>
      <c r="F2455" s="26" t="s">
        <v>1200</v>
      </c>
    </row>
    <row r="2456">
      <c r="A2456" s="26" t="s">
        <v>2215</v>
      </c>
      <c r="B2456" s="26" t="s">
        <v>467</v>
      </c>
      <c r="C2456" s="27">
        <v>45740.0</v>
      </c>
      <c r="D2456" s="27">
        <v>45740.0</v>
      </c>
      <c r="E2456" s="26" t="s">
        <v>1121</v>
      </c>
      <c r="F2456" s="26" t="s">
        <v>1200</v>
      </c>
    </row>
    <row r="2457">
      <c r="A2457" s="26" t="s">
        <v>2216</v>
      </c>
      <c r="B2457" s="26" t="s">
        <v>483</v>
      </c>
      <c r="C2457" s="27">
        <v>45740.0</v>
      </c>
      <c r="D2457" s="27">
        <v>45740.0</v>
      </c>
      <c r="E2457" s="26" t="s">
        <v>1121</v>
      </c>
      <c r="F2457" s="26" t="s">
        <v>1200</v>
      </c>
    </row>
    <row r="2458">
      <c r="A2458" s="26" t="s">
        <v>2217</v>
      </c>
      <c r="B2458" s="26" t="s">
        <v>604</v>
      </c>
      <c r="C2458" s="27">
        <v>45740.0</v>
      </c>
      <c r="D2458" s="27">
        <v>45740.0</v>
      </c>
      <c r="E2458" s="26" t="s">
        <v>1121</v>
      </c>
      <c r="F2458" s="26" t="s">
        <v>1200</v>
      </c>
    </row>
    <row r="2459">
      <c r="A2459" s="26" t="s">
        <v>2218</v>
      </c>
      <c r="B2459" s="26" t="s">
        <v>736</v>
      </c>
      <c r="C2459" s="27">
        <v>45738.0</v>
      </c>
      <c r="D2459" s="27">
        <v>45738.0</v>
      </c>
      <c r="E2459" s="26" t="s">
        <v>1121</v>
      </c>
      <c r="F2459" s="26" t="s">
        <v>1200</v>
      </c>
    </row>
    <row r="2460">
      <c r="A2460" s="26" t="s">
        <v>2218</v>
      </c>
      <c r="B2460" s="26" t="s">
        <v>736</v>
      </c>
      <c r="C2460" s="27">
        <v>45738.0</v>
      </c>
      <c r="D2460" s="27">
        <v>45738.0</v>
      </c>
      <c r="E2460" s="26" t="s">
        <v>1121</v>
      </c>
      <c r="F2460" s="26" t="s">
        <v>1200</v>
      </c>
    </row>
    <row r="2461">
      <c r="A2461" s="26" t="s">
        <v>2218</v>
      </c>
      <c r="B2461" s="26" t="s">
        <v>736</v>
      </c>
      <c r="C2461" s="27">
        <v>45738.0</v>
      </c>
      <c r="D2461" s="27">
        <v>45738.0</v>
      </c>
      <c r="E2461" s="26" t="s">
        <v>1121</v>
      </c>
      <c r="F2461" s="26" t="s">
        <v>1200</v>
      </c>
    </row>
    <row r="2462">
      <c r="A2462" s="26" t="s">
        <v>2218</v>
      </c>
      <c r="B2462" s="26" t="s">
        <v>736</v>
      </c>
      <c r="C2462" s="27">
        <v>45738.0</v>
      </c>
      <c r="D2462" s="27">
        <v>45738.0</v>
      </c>
      <c r="E2462" s="26" t="s">
        <v>1121</v>
      </c>
      <c r="F2462" s="26" t="s">
        <v>1200</v>
      </c>
    </row>
    <row r="2463">
      <c r="A2463" s="26" t="s">
        <v>2218</v>
      </c>
      <c r="B2463" s="26" t="s">
        <v>736</v>
      </c>
      <c r="C2463" s="27">
        <v>45738.0</v>
      </c>
      <c r="D2463" s="27">
        <v>45738.0</v>
      </c>
      <c r="E2463" s="26" t="s">
        <v>1121</v>
      </c>
      <c r="F2463" s="26" t="s">
        <v>1200</v>
      </c>
    </row>
    <row r="2464">
      <c r="A2464" s="26" t="s">
        <v>2219</v>
      </c>
      <c r="B2464" s="26" t="s">
        <v>2188</v>
      </c>
      <c r="C2464" s="27">
        <v>45738.0</v>
      </c>
      <c r="D2464" s="27">
        <v>45738.0</v>
      </c>
      <c r="E2464" s="26" t="s">
        <v>1121</v>
      </c>
      <c r="F2464" s="26" t="s">
        <v>1200</v>
      </c>
    </row>
    <row r="2465">
      <c r="A2465" s="26" t="s">
        <v>2220</v>
      </c>
      <c r="B2465" s="26" t="s">
        <v>432</v>
      </c>
      <c r="C2465" s="27">
        <v>45737.0</v>
      </c>
      <c r="D2465" s="27">
        <v>45737.0</v>
      </c>
      <c r="E2465" s="26" t="s">
        <v>1121</v>
      </c>
      <c r="F2465" s="26" t="s">
        <v>1200</v>
      </c>
    </row>
    <row r="2466">
      <c r="A2466" s="26" t="s">
        <v>2221</v>
      </c>
      <c r="B2466" s="26" t="s">
        <v>574</v>
      </c>
      <c r="C2466" s="27">
        <v>45737.0</v>
      </c>
      <c r="D2466" s="27">
        <v>45737.0</v>
      </c>
      <c r="E2466" s="26" t="s">
        <v>1121</v>
      </c>
      <c r="F2466" s="26" t="s">
        <v>1200</v>
      </c>
    </row>
    <row r="2467">
      <c r="A2467" s="26" t="s">
        <v>2222</v>
      </c>
      <c r="B2467" s="26" t="s">
        <v>516</v>
      </c>
      <c r="C2467" s="27">
        <v>45736.0</v>
      </c>
      <c r="D2467" s="27">
        <v>45736.0</v>
      </c>
      <c r="E2467" s="26" t="s">
        <v>1121</v>
      </c>
      <c r="F2467" s="26" t="s">
        <v>1200</v>
      </c>
    </row>
    <row r="2468">
      <c r="A2468" s="26" t="s">
        <v>2222</v>
      </c>
      <c r="B2468" s="26" t="s">
        <v>516</v>
      </c>
      <c r="C2468" s="27">
        <v>45736.0</v>
      </c>
      <c r="D2468" s="27">
        <v>45736.0</v>
      </c>
      <c r="E2468" s="26" t="s">
        <v>1121</v>
      </c>
      <c r="F2468" s="26" t="s">
        <v>1200</v>
      </c>
    </row>
    <row r="2469">
      <c r="A2469" s="26" t="s">
        <v>2222</v>
      </c>
      <c r="B2469" s="26" t="s">
        <v>516</v>
      </c>
      <c r="C2469" s="27">
        <v>45736.0</v>
      </c>
      <c r="D2469" s="27">
        <v>45736.0</v>
      </c>
      <c r="E2469" s="26" t="s">
        <v>1121</v>
      </c>
      <c r="F2469" s="26" t="s">
        <v>1200</v>
      </c>
    </row>
    <row r="2470">
      <c r="A2470" s="26" t="s">
        <v>2223</v>
      </c>
      <c r="B2470" s="26" t="s">
        <v>546</v>
      </c>
      <c r="C2470" s="27">
        <v>45735.0</v>
      </c>
      <c r="D2470" s="27">
        <v>45735.0</v>
      </c>
      <c r="E2470" s="26" t="s">
        <v>1121</v>
      </c>
      <c r="F2470" s="26" t="s">
        <v>1200</v>
      </c>
    </row>
    <row r="2471">
      <c r="A2471" s="26" t="s">
        <v>2224</v>
      </c>
      <c r="B2471" s="26" t="s">
        <v>483</v>
      </c>
      <c r="C2471" s="27">
        <v>45735.0</v>
      </c>
      <c r="D2471" s="27">
        <v>45735.0</v>
      </c>
      <c r="E2471" s="26" t="s">
        <v>1121</v>
      </c>
      <c r="F2471" s="26" t="s">
        <v>1200</v>
      </c>
    </row>
    <row r="2472">
      <c r="A2472" s="26" t="s">
        <v>2225</v>
      </c>
      <c r="B2472" s="26" t="s">
        <v>542</v>
      </c>
      <c r="C2472" s="27">
        <v>45734.0</v>
      </c>
      <c r="D2472" s="27">
        <v>45734.0</v>
      </c>
      <c r="E2472" s="26" t="s">
        <v>1121</v>
      </c>
      <c r="F2472" s="26" t="s">
        <v>1200</v>
      </c>
    </row>
    <row r="2473">
      <c r="A2473" s="26" t="s">
        <v>2226</v>
      </c>
      <c r="B2473" s="26" t="s">
        <v>444</v>
      </c>
      <c r="C2473" s="27">
        <v>45734.0</v>
      </c>
      <c r="D2473" s="27">
        <v>45734.0</v>
      </c>
      <c r="E2473" s="26" t="s">
        <v>1121</v>
      </c>
      <c r="F2473" s="26" t="s">
        <v>1200</v>
      </c>
    </row>
    <row r="2474">
      <c r="A2474" s="26" t="s">
        <v>2226</v>
      </c>
      <c r="B2474" s="26" t="s">
        <v>444</v>
      </c>
      <c r="C2474" s="27">
        <v>45734.0</v>
      </c>
      <c r="D2474" s="27">
        <v>45734.0</v>
      </c>
      <c r="E2474" s="26" t="s">
        <v>1121</v>
      </c>
      <c r="F2474" s="26" t="s">
        <v>1200</v>
      </c>
    </row>
    <row r="2475">
      <c r="A2475" s="26" t="s">
        <v>2226</v>
      </c>
      <c r="B2475" s="26" t="s">
        <v>444</v>
      </c>
      <c r="C2475" s="27">
        <v>45734.0</v>
      </c>
      <c r="D2475" s="27">
        <v>45734.0</v>
      </c>
      <c r="E2475" s="26" t="s">
        <v>1121</v>
      </c>
      <c r="F2475" s="26" t="s">
        <v>1200</v>
      </c>
    </row>
    <row r="2476">
      <c r="A2476" s="26" t="s">
        <v>2227</v>
      </c>
      <c r="B2476" s="26" t="s">
        <v>461</v>
      </c>
      <c r="C2476" s="27">
        <v>45734.0</v>
      </c>
      <c r="D2476" s="27">
        <v>45734.0</v>
      </c>
      <c r="E2476" s="26" t="s">
        <v>1121</v>
      </c>
      <c r="F2476" s="26" t="s">
        <v>1200</v>
      </c>
    </row>
    <row r="2477">
      <c r="A2477" s="26" t="s">
        <v>2228</v>
      </c>
      <c r="B2477" s="26" t="s">
        <v>467</v>
      </c>
      <c r="C2477" s="27">
        <v>45733.0</v>
      </c>
      <c r="D2477" s="27">
        <v>45733.0</v>
      </c>
      <c r="E2477" s="26" t="s">
        <v>1121</v>
      </c>
      <c r="F2477" s="26" t="s">
        <v>1200</v>
      </c>
    </row>
    <row r="2478">
      <c r="A2478" s="26" t="s">
        <v>2229</v>
      </c>
      <c r="B2478" s="26" t="s">
        <v>546</v>
      </c>
      <c r="C2478" s="27">
        <v>45733.0</v>
      </c>
      <c r="D2478" s="27">
        <v>45733.0</v>
      </c>
      <c r="E2478" s="26" t="s">
        <v>1121</v>
      </c>
      <c r="F2478" s="26" t="s">
        <v>1200</v>
      </c>
    </row>
    <row r="2479">
      <c r="A2479" s="26" t="s">
        <v>2230</v>
      </c>
      <c r="B2479" s="26" t="s">
        <v>1916</v>
      </c>
      <c r="C2479" s="27">
        <v>45731.0</v>
      </c>
      <c r="D2479" s="27">
        <v>45731.0</v>
      </c>
      <c r="E2479" s="26" t="s">
        <v>1121</v>
      </c>
      <c r="F2479" s="26" t="s">
        <v>1200</v>
      </c>
    </row>
    <row r="2480">
      <c r="A2480" s="26" t="s">
        <v>2231</v>
      </c>
      <c r="B2480" s="26" t="s">
        <v>546</v>
      </c>
      <c r="C2480" s="27">
        <v>45731.0</v>
      </c>
      <c r="D2480" s="27">
        <v>45731.0</v>
      </c>
      <c r="E2480" s="26" t="s">
        <v>1121</v>
      </c>
      <c r="F2480" s="26" t="s">
        <v>1200</v>
      </c>
    </row>
    <row r="2481">
      <c r="A2481" s="26" t="s">
        <v>2231</v>
      </c>
      <c r="B2481" s="26" t="s">
        <v>546</v>
      </c>
      <c r="C2481" s="27">
        <v>45731.0</v>
      </c>
      <c r="D2481" s="27">
        <v>45731.0</v>
      </c>
      <c r="E2481" s="26" t="s">
        <v>1121</v>
      </c>
      <c r="F2481" s="26" t="s">
        <v>1200</v>
      </c>
    </row>
    <row r="2482">
      <c r="A2482" s="26" t="s">
        <v>2232</v>
      </c>
      <c r="B2482" s="26" t="s">
        <v>432</v>
      </c>
      <c r="C2482" s="27">
        <v>45730.0</v>
      </c>
      <c r="D2482" s="27">
        <v>45730.0</v>
      </c>
      <c r="E2482" s="26" t="s">
        <v>1121</v>
      </c>
      <c r="F2482" s="26" t="s">
        <v>1200</v>
      </c>
    </row>
    <row r="2483">
      <c r="A2483" s="26" t="s">
        <v>2232</v>
      </c>
      <c r="B2483" s="26" t="s">
        <v>432</v>
      </c>
      <c r="C2483" s="27">
        <v>45730.0</v>
      </c>
      <c r="D2483" s="27">
        <v>45730.0</v>
      </c>
      <c r="E2483" s="26" t="s">
        <v>1121</v>
      </c>
      <c r="F2483" s="26" t="s">
        <v>1200</v>
      </c>
    </row>
    <row r="2484">
      <c r="A2484" s="26" t="s">
        <v>2232</v>
      </c>
      <c r="B2484" s="26" t="s">
        <v>432</v>
      </c>
      <c r="C2484" s="27">
        <v>45730.0</v>
      </c>
      <c r="D2484" s="27">
        <v>45730.0</v>
      </c>
      <c r="E2484" s="26" t="s">
        <v>1121</v>
      </c>
      <c r="F2484" s="26" t="s">
        <v>1200</v>
      </c>
    </row>
    <row r="2485">
      <c r="A2485" s="26" t="s">
        <v>2233</v>
      </c>
      <c r="B2485" s="26" t="s">
        <v>634</v>
      </c>
      <c r="C2485" s="27">
        <v>45730.0</v>
      </c>
      <c r="D2485" s="27">
        <v>45730.0</v>
      </c>
      <c r="E2485" s="26" t="s">
        <v>1121</v>
      </c>
      <c r="F2485" s="26" t="s">
        <v>1200</v>
      </c>
    </row>
    <row r="2486">
      <c r="A2486" s="26" t="s">
        <v>2234</v>
      </c>
      <c r="B2486" s="26" t="s">
        <v>483</v>
      </c>
      <c r="C2486" s="27">
        <v>45730.0</v>
      </c>
      <c r="D2486" s="27">
        <v>45730.0</v>
      </c>
      <c r="E2486" s="26" t="s">
        <v>1121</v>
      </c>
      <c r="F2486" s="26" t="s">
        <v>1200</v>
      </c>
    </row>
    <row r="2487">
      <c r="A2487" s="26" t="s">
        <v>2235</v>
      </c>
      <c r="B2487" s="26" t="s">
        <v>467</v>
      </c>
      <c r="C2487" s="27">
        <v>45728.0</v>
      </c>
      <c r="D2487" s="27">
        <v>45728.0</v>
      </c>
      <c r="E2487" s="26" t="s">
        <v>1121</v>
      </c>
      <c r="F2487" s="26" t="s">
        <v>1200</v>
      </c>
    </row>
    <row r="2488">
      <c r="A2488" s="26" t="s">
        <v>2236</v>
      </c>
      <c r="B2488" s="26" t="s">
        <v>444</v>
      </c>
      <c r="C2488" s="27">
        <v>45728.0</v>
      </c>
      <c r="D2488" s="27">
        <v>45728.0</v>
      </c>
      <c r="E2488" s="26" t="s">
        <v>1121</v>
      </c>
      <c r="F2488" s="26" t="s">
        <v>1200</v>
      </c>
    </row>
    <row r="2489">
      <c r="A2489" s="26" t="s">
        <v>2237</v>
      </c>
      <c r="B2489" s="26" t="s">
        <v>435</v>
      </c>
      <c r="C2489" s="27">
        <v>45727.0</v>
      </c>
      <c r="D2489" s="27">
        <v>45727.0</v>
      </c>
      <c r="E2489" s="26" t="s">
        <v>1121</v>
      </c>
      <c r="F2489" s="26" t="s">
        <v>1200</v>
      </c>
    </row>
    <row r="2490">
      <c r="A2490" s="26" t="s">
        <v>2238</v>
      </c>
      <c r="B2490" s="26" t="s">
        <v>428</v>
      </c>
      <c r="C2490" s="27">
        <v>45727.0</v>
      </c>
      <c r="D2490" s="27">
        <v>45727.0</v>
      </c>
      <c r="E2490" s="26" t="s">
        <v>1121</v>
      </c>
      <c r="F2490" s="26" t="s">
        <v>1200</v>
      </c>
    </row>
    <row r="2491">
      <c r="A2491" s="26" t="s">
        <v>2239</v>
      </c>
      <c r="B2491" s="26" t="s">
        <v>634</v>
      </c>
      <c r="C2491" s="27">
        <v>45727.0</v>
      </c>
      <c r="D2491" s="27">
        <v>45727.0</v>
      </c>
      <c r="E2491" s="26" t="s">
        <v>1121</v>
      </c>
      <c r="F2491" s="26" t="s">
        <v>1200</v>
      </c>
    </row>
    <row r="2492">
      <c r="A2492" s="26" t="s">
        <v>2239</v>
      </c>
      <c r="B2492" s="26" t="s">
        <v>634</v>
      </c>
      <c r="C2492" s="27">
        <v>45727.0</v>
      </c>
      <c r="D2492" s="27">
        <v>45727.0</v>
      </c>
      <c r="E2492" s="26" t="s">
        <v>1121</v>
      </c>
      <c r="F2492" s="26" t="s">
        <v>1200</v>
      </c>
    </row>
    <row r="2493">
      <c r="A2493" s="26" t="s">
        <v>2239</v>
      </c>
      <c r="B2493" s="26" t="s">
        <v>634</v>
      </c>
      <c r="C2493" s="27">
        <v>45727.0</v>
      </c>
      <c r="D2493" s="27">
        <v>45727.0</v>
      </c>
      <c r="E2493" s="26" t="s">
        <v>1121</v>
      </c>
      <c r="F2493" s="26" t="s">
        <v>1200</v>
      </c>
    </row>
    <row r="2494">
      <c r="A2494" s="26" t="s">
        <v>2239</v>
      </c>
      <c r="B2494" s="26" t="s">
        <v>634</v>
      </c>
      <c r="C2494" s="27">
        <v>45727.0</v>
      </c>
      <c r="D2494" s="27">
        <v>45727.0</v>
      </c>
      <c r="E2494" s="26" t="s">
        <v>1121</v>
      </c>
      <c r="F2494" s="26" t="s">
        <v>1200</v>
      </c>
    </row>
    <row r="2495">
      <c r="A2495" s="26" t="s">
        <v>2239</v>
      </c>
      <c r="B2495" s="26" t="s">
        <v>634</v>
      </c>
      <c r="C2495" s="27">
        <v>45727.0</v>
      </c>
      <c r="D2495" s="27">
        <v>45727.0</v>
      </c>
      <c r="E2495" s="26" t="s">
        <v>1121</v>
      </c>
      <c r="F2495" s="26" t="s">
        <v>1200</v>
      </c>
    </row>
    <row r="2496">
      <c r="A2496" s="26" t="s">
        <v>2240</v>
      </c>
      <c r="B2496" s="26" t="s">
        <v>542</v>
      </c>
      <c r="C2496" s="27">
        <v>45726.0</v>
      </c>
      <c r="D2496" s="27">
        <v>45726.0</v>
      </c>
      <c r="E2496" s="26" t="s">
        <v>1121</v>
      </c>
      <c r="F2496" s="26" t="s">
        <v>1200</v>
      </c>
    </row>
    <row r="2497">
      <c r="A2497" s="26" t="s">
        <v>2241</v>
      </c>
      <c r="B2497" s="26" t="s">
        <v>760</v>
      </c>
      <c r="C2497" s="27">
        <v>45726.0</v>
      </c>
      <c r="D2497" s="27">
        <v>45726.0</v>
      </c>
      <c r="E2497" s="26" t="s">
        <v>1121</v>
      </c>
      <c r="F2497" s="26" t="s">
        <v>1200</v>
      </c>
    </row>
    <row r="2498">
      <c r="A2498" s="26" t="s">
        <v>2241</v>
      </c>
      <c r="B2498" s="26" t="s">
        <v>760</v>
      </c>
      <c r="C2498" s="27">
        <v>45726.0</v>
      </c>
      <c r="D2498" s="27">
        <v>45726.0</v>
      </c>
      <c r="E2498" s="26" t="s">
        <v>1121</v>
      </c>
      <c r="F2498" s="26" t="s">
        <v>1200</v>
      </c>
    </row>
    <row r="2499">
      <c r="A2499" s="26" t="s">
        <v>2242</v>
      </c>
      <c r="B2499" s="26" t="s">
        <v>516</v>
      </c>
      <c r="C2499" s="27">
        <v>45726.0</v>
      </c>
      <c r="D2499" s="27">
        <v>45726.0</v>
      </c>
      <c r="E2499" s="26" t="s">
        <v>1121</v>
      </c>
      <c r="F2499" s="26" t="s">
        <v>1200</v>
      </c>
    </row>
    <row r="2500">
      <c r="A2500" s="26" t="s">
        <v>2242</v>
      </c>
      <c r="B2500" s="26" t="s">
        <v>516</v>
      </c>
      <c r="C2500" s="27">
        <v>45726.0</v>
      </c>
      <c r="D2500" s="27">
        <v>45726.0</v>
      </c>
      <c r="E2500" s="26" t="s">
        <v>1121</v>
      </c>
      <c r="F2500" s="26" t="s">
        <v>1200</v>
      </c>
    </row>
    <row r="2501">
      <c r="A2501" s="26" t="s">
        <v>2242</v>
      </c>
      <c r="B2501" s="26" t="s">
        <v>516</v>
      </c>
      <c r="C2501" s="27">
        <v>45726.0</v>
      </c>
      <c r="D2501" s="27">
        <v>45726.0</v>
      </c>
      <c r="E2501" s="26" t="s">
        <v>1121</v>
      </c>
      <c r="F2501" s="26" t="s">
        <v>1200</v>
      </c>
    </row>
    <row r="2502">
      <c r="A2502" s="26" t="s">
        <v>2243</v>
      </c>
      <c r="B2502" s="26" t="s">
        <v>546</v>
      </c>
      <c r="C2502" s="27">
        <v>45726.0</v>
      </c>
      <c r="D2502" s="27">
        <v>45726.0</v>
      </c>
      <c r="E2502" s="26" t="s">
        <v>1121</v>
      </c>
      <c r="F2502" s="26" t="s">
        <v>1200</v>
      </c>
    </row>
    <row r="2503">
      <c r="A2503" s="26" t="s">
        <v>2243</v>
      </c>
      <c r="B2503" s="26" t="s">
        <v>546</v>
      </c>
      <c r="C2503" s="27">
        <v>45726.0</v>
      </c>
      <c r="D2503" s="27">
        <v>45726.0</v>
      </c>
      <c r="E2503" s="26" t="s">
        <v>1121</v>
      </c>
      <c r="F2503" s="26" t="s">
        <v>1200</v>
      </c>
    </row>
    <row r="2504">
      <c r="A2504" s="26" t="s">
        <v>2243</v>
      </c>
      <c r="B2504" s="26" t="s">
        <v>546</v>
      </c>
      <c r="C2504" s="27">
        <v>45726.0</v>
      </c>
      <c r="D2504" s="27">
        <v>45726.0</v>
      </c>
      <c r="E2504" s="26" t="s">
        <v>1121</v>
      </c>
      <c r="F2504" s="26" t="s">
        <v>1200</v>
      </c>
    </row>
    <row r="2505">
      <c r="A2505" s="26" t="s">
        <v>2244</v>
      </c>
      <c r="B2505" s="26" t="s">
        <v>483</v>
      </c>
      <c r="C2505" s="27">
        <v>45726.0</v>
      </c>
      <c r="D2505" s="27">
        <v>45726.0</v>
      </c>
      <c r="E2505" s="26" t="s">
        <v>1121</v>
      </c>
      <c r="F2505" s="26" t="s">
        <v>1200</v>
      </c>
    </row>
    <row r="2506">
      <c r="A2506" s="26" t="s">
        <v>2245</v>
      </c>
      <c r="B2506" s="26" t="s">
        <v>472</v>
      </c>
      <c r="C2506" s="27">
        <v>45724.0</v>
      </c>
      <c r="D2506" s="27">
        <v>45724.0</v>
      </c>
      <c r="E2506" s="26" t="s">
        <v>1121</v>
      </c>
      <c r="F2506" s="26" t="s">
        <v>1200</v>
      </c>
    </row>
    <row r="2507">
      <c r="A2507" s="26" t="s">
        <v>2245</v>
      </c>
      <c r="B2507" s="26" t="s">
        <v>472</v>
      </c>
      <c r="C2507" s="27">
        <v>45724.0</v>
      </c>
      <c r="D2507" s="27">
        <v>45724.0</v>
      </c>
      <c r="E2507" s="26" t="s">
        <v>1121</v>
      </c>
      <c r="F2507" s="26" t="s">
        <v>1200</v>
      </c>
    </row>
    <row r="2508">
      <c r="A2508" s="26" t="s">
        <v>2246</v>
      </c>
      <c r="B2508" s="26" t="s">
        <v>736</v>
      </c>
      <c r="C2508" s="27">
        <v>45724.0</v>
      </c>
      <c r="D2508" s="27">
        <v>45724.0</v>
      </c>
      <c r="E2508" s="26" t="s">
        <v>1121</v>
      </c>
      <c r="F2508" s="26" t="s">
        <v>1200</v>
      </c>
    </row>
    <row r="2509">
      <c r="A2509" s="26" t="s">
        <v>2246</v>
      </c>
      <c r="B2509" s="26" t="s">
        <v>736</v>
      </c>
      <c r="C2509" s="27">
        <v>45724.0</v>
      </c>
      <c r="D2509" s="27">
        <v>45724.0</v>
      </c>
      <c r="E2509" s="26" t="s">
        <v>1121</v>
      </c>
      <c r="F2509" s="26" t="s">
        <v>1200</v>
      </c>
    </row>
    <row r="2510">
      <c r="A2510" s="26" t="s">
        <v>2246</v>
      </c>
      <c r="B2510" s="26" t="s">
        <v>736</v>
      </c>
      <c r="C2510" s="27">
        <v>45724.0</v>
      </c>
      <c r="D2510" s="27">
        <v>45724.0</v>
      </c>
      <c r="E2510" s="26" t="s">
        <v>1121</v>
      </c>
      <c r="F2510" s="26" t="s">
        <v>1200</v>
      </c>
    </row>
    <row r="2511">
      <c r="A2511" s="26" t="s">
        <v>2246</v>
      </c>
      <c r="B2511" s="26" t="s">
        <v>736</v>
      </c>
      <c r="C2511" s="27">
        <v>45724.0</v>
      </c>
      <c r="D2511" s="27">
        <v>45724.0</v>
      </c>
      <c r="E2511" s="26" t="s">
        <v>1121</v>
      </c>
      <c r="F2511" s="26" t="s">
        <v>1200</v>
      </c>
    </row>
    <row r="2512">
      <c r="A2512" s="26" t="s">
        <v>2246</v>
      </c>
      <c r="B2512" s="26" t="s">
        <v>736</v>
      </c>
      <c r="C2512" s="27">
        <v>45724.0</v>
      </c>
      <c r="D2512" s="27">
        <v>45724.0</v>
      </c>
      <c r="E2512" s="26" t="s">
        <v>1121</v>
      </c>
      <c r="F2512" s="26" t="s">
        <v>1200</v>
      </c>
    </row>
    <row r="2513">
      <c r="A2513" s="26" t="s">
        <v>2247</v>
      </c>
      <c r="B2513" s="26" t="s">
        <v>432</v>
      </c>
      <c r="C2513" s="27">
        <v>45723.0</v>
      </c>
      <c r="D2513" s="27">
        <v>45723.0</v>
      </c>
      <c r="E2513" s="26" t="s">
        <v>1121</v>
      </c>
      <c r="F2513" s="26" t="s">
        <v>1200</v>
      </c>
    </row>
    <row r="2514">
      <c r="A2514" s="26" t="s">
        <v>2248</v>
      </c>
      <c r="B2514" s="26" t="s">
        <v>483</v>
      </c>
      <c r="C2514" s="27">
        <v>45723.0</v>
      </c>
      <c r="D2514" s="27">
        <v>45723.0</v>
      </c>
      <c r="E2514" s="26" t="s">
        <v>1121</v>
      </c>
      <c r="F2514" s="26" t="s">
        <v>1200</v>
      </c>
    </row>
    <row r="2515">
      <c r="A2515" s="26" t="s">
        <v>2249</v>
      </c>
      <c r="B2515" s="26" t="s">
        <v>444</v>
      </c>
      <c r="C2515" s="27">
        <v>45723.0</v>
      </c>
      <c r="D2515" s="27">
        <v>45723.0</v>
      </c>
      <c r="E2515" s="26" t="s">
        <v>1121</v>
      </c>
      <c r="F2515" s="26" t="s">
        <v>1200</v>
      </c>
    </row>
    <row r="2516">
      <c r="A2516" s="26" t="s">
        <v>2249</v>
      </c>
      <c r="B2516" s="26" t="s">
        <v>444</v>
      </c>
      <c r="C2516" s="27">
        <v>45723.0</v>
      </c>
      <c r="D2516" s="27">
        <v>45723.0</v>
      </c>
      <c r="E2516" s="26" t="s">
        <v>1121</v>
      </c>
      <c r="F2516" s="26" t="s">
        <v>1200</v>
      </c>
    </row>
    <row r="2517">
      <c r="A2517" s="26" t="s">
        <v>2250</v>
      </c>
      <c r="B2517" s="26" t="s">
        <v>461</v>
      </c>
      <c r="C2517" s="27">
        <v>45722.0</v>
      </c>
      <c r="D2517" s="27">
        <v>45722.0</v>
      </c>
      <c r="E2517" s="26" t="s">
        <v>1121</v>
      </c>
      <c r="F2517" s="26" t="s">
        <v>1200</v>
      </c>
    </row>
    <row r="2518">
      <c r="A2518" s="26" t="s">
        <v>2251</v>
      </c>
      <c r="B2518" s="26" t="s">
        <v>467</v>
      </c>
      <c r="C2518" s="27">
        <v>45722.0</v>
      </c>
      <c r="D2518" s="27">
        <v>45722.0</v>
      </c>
      <c r="E2518" s="26" t="s">
        <v>1121</v>
      </c>
      <c r="F2518" s="26" t="s">
        <v>1200</v>
      </c>
    </row>
    <row r="2519">
      <c r="A2519" s="26" t="s">
        <v>2252</v>
      </c>
      <c r="B2519" s="26" t="s">
        <v>1766</v>
      </c>
      <c r="C2519" s="27">
        <v>45721.0</v>
      </c>
      <c r="D2519" s="27">
        <v>45721.0</v>
      </c>
      <c r="E2519" s="26" t="s">
        <v>1121</v>
      </c>
      <c r="F2519" s="26" t="s">
        <v>1200</v>
      </c>
    </row>
    <row r="2520">
      <c r="A2520" s="26" t="s">
        <v>2253</v>
      </c>
      <c r="B2520" s="26" t="s">
        <v>357</v>
      </c>
      <c r="C2520" s="27">
        <v>45721.0</v>
      </c>
      <c r="D2520" s="27">
        <v>45721.0</v>
      </c>
      <c r="E2520" s="26" t="s">
        <v>1121</v>
      </c>
      <c r="F2520" s="26" t="s">
        <v>1200</v>
      </c>
    </row>
    <row r="2521">
      <c r="A2521" s="26" t="s">
        <v>2254</v>
      </c>
      <c r="B2521" s="26" t="s">
        <v>444</v>
      </c>
      <c r="C2521" s="27">
        <v>45721.0</v>
      </c>
      <c r="D2521" s="27">
        <v>45721.0</v>
      </c>
      <c r="E2521" s="26" t="s">
        <v>1121</v>
      </c>
      <c r="F2521" s="26" t="s">
        <v>1200</v>
      </c>
    </row>
    <row r="2522">
      <c r="A2522" s="26" t="s">
        <v>2254</v>
      </c>
      <c r="B2522" s="26" t="s">
        <v>444</v>
      </c>
      <c r="C2522" s="27">
        <v>45721.0</v>
      </c>
      <c r="D2522" s="27">
        <v>45721.0</v>
      </c>
      <c r="E2522" s="26" t="s">
        <v>1121</v>
      </c>
      <c r="F2522" s="26" t="s">
        <v>1200</v>
      </c>
    </row>
    <row r="2523">
      <c r="A2523" s="26" t="s">
        <v>2254</v>
      </c>
      <c r="B2523" s="26" t="s">
        <v>444</v>
      </c>
      <c r="C2523" s="27">
        <v>45721.0</v>
      </c>
      <c r="D2523" s="27">
        <v>45721.0</v>
      </c>
      <c r="E2523" s="26" t="s">
        <v>1121</v>
      </c>
      <c r="F2523" s="26" t="s">
        <v>1200</v>
      </c>
    </row>
    <row r="2524">
      <c r="A2524" s="26" t="s">
        <v>2255</v>
      </c>
      <c r="B2524" s="26" t="s">
        <v>461</v>
      </c>
      <c r="C2524" s="27">
        <v>45720.0</v>
      </c>
      <c r="D2524" s="27">
        <v>45720.0</v>
      </c>
      <c r="E2524" s="26" t="s">
        <v>1121</v>
      </c>
      <c r="F2524" s="26" t="s">
        <v>1200</v>
      </c>
    </row>
    <row r="2525">
      <c r="A2525" s="26" t="s">
        <v>2256</v>
      </c>
      <c r="B2525" s="26" t="s">
        <v>444</v>
      </c>
      <c r="C2525" s="27">
        <v>45720.0</v>
      </c>
      <c r="D2525" s="27">
        <v>45720.0</v>
      </c>
      <c r="E2525" s="26" t="s">
        <v>1121</v>
      </c>
      <c r="F2525" s="26" t="s">
        <v>1200</v>
      </c>
    </row>
    <row r="2526">
      <c r="A2526" s="26" t="s">
        <v>2257</v>
      </c>
      <c r="B2526" s="26" t="s">
        <v>546</v>
      </c>
      <c r="C2526" s="27">
        <v>45720.0</v>
      </c>
      <c r="D2526" s="27">
        <v>45720.0</v>
      </c>
      <c r="E2526" s="26" t="s">
        <v>1121</v>
      </c>
      <c r="F2526" s="26" t="s">
        <v>1200</v>
      </c>
    </row>
    <row r="2527">
      <c r="A2527" s="26" t="s">
        <v>2257</v>
      </c>
      <c r="B2527" s="26" t="s">
        <v>546</v>
      </c>
      <c r="C2527" s="27">
        <v>45720.0</v>
      </c>
      <c r="D2527" s="27">
        <v>45720.0</v>
      </c>
      <c r="E2527" s="26" t="s">
        <v>1121</v>
      </c>
      <c r="F2527" s="26" t="s">
        <v>1200</v>
      </c>
    </row>
    <row r="2528">
      <c r="A2528" s="26" t="s">
        <v>2258</v>
      </c>
      <c r="B2528" s="26" t="s">
        <v>1226</v>
      </c>
      <c r="C2528" s="27">
        <v>45720.0</v>
      </c>
      <c r="D2528" s="27">
        <v>45720.0</v>
      </c>
      <c r="E2528" s="26" t="s">
        <v>1121</v>
      </c>
      <c r="F2528" s="26" t="s">
        <v>1200</v>
      </c>
    </row>
    <row r="2529">
      <c r="A2529" s="26" t="s">
        <v>2258</v>
      </c>
      <c r="B2529" s="26" t="s">
        <v>1226</v>
      </c>
      <c r="C2529" s="27">
        <v>45720.0</v>
      </c>
      <c r="D2529" s="27">
        <v>45720.0</v>
      </c>
      <c r="E2529" s="26" t="s">
        <v>1121</v>
      </c>
      <c r="F2529" s="26" t="s">
        <v>1200</v>
      </c>
    </row>
    <row r="2530">
      <c r="A2530" s="26" t="s">
        <v>2258</v>
      </c>
      <c r="B2530" s="26" t="s">
        <v>1226</v>
      </c>
      <c r="C2530" s="27">
        <v>45720.0</v>
      </c>
      <c r="D2530" s="27">
        <v>45720.0</v>
      </c>
      <c r="E2530" s="26" t="s">
        <v>1121</v>
      </c>
      <c r="F2530" s="26" t="s">
        <v>1200</v>
      </c>
    </row>
    <row r="2531">
      <c r="A2531" s="26" t="s">
        <v>2258</v>
      </c>
      <c r="B2531" s="26" t="s">
        <v>1226</v>
      </c>
      <c r="C2531" s="27">
        <v>45720.0</v>
      </c>
      <c r="D2531" s="27">
        <v>45720.0</v>
      </c>
      <c r="E2531" s="26" t="s">
        <v>1121</v>
      </c>
      <c r="F2531" s="26" t="s">
        <v>1200</v>
      </c>
    </row>
    <row r="2532">
      <c r="A2532" s="26" t="s">
        <v>2258</v>
      </c>
      <c r="B2532" s="26" t="s">
        <v>1226</v>
      </c>
      <c r="C2532" s="27">
        <v>45720.0</v>
      </c>
      <c r="D2532" s="27">
        <v>45720.0</v>
      </c>
      <c r="E2532" s="26" t="s">
        <v>1121</v>
      </c>
      <c r="F2532" s="26" t="s">
        <v>1200</v>
      </c>
    </row>
    <row r="2533">
      <c r="A2533" s="26" t="s">
        <v>2258</v>
      </c>
      <c r="B2533" s="26" t="s">
        <v>1226</v>
      </c>
      <c r="C2533" s="27">
        <v>45720.0</v>
      </c>
      <c r="D2533" s="27">
        <v>45720.0</v>
      </c>
      <c r="E2533" s="26" t="s">
        <v>1121</v>
      </c>
      <c r="F2533" s="26" t="s">
        <v>1200</v>
      </c>
    </row>
    <row r="2534">
      <c r="A2534" s="26" t="s">
        <v>2258</v>
      </c>
      <c r="B2534" s="26" t="s">
        <v>1226</v>
      </c>
      <c r="C2534" s="27">
        <v>45720.0</v>
      </c>
      <c r="D2534" s="27">
        <v>45720.0</v>
      </c>
      <c r="E2534" s="26" t="s">
        <v>1121</v>
      </c>
      <c r="F2534" s="26" t="s">
        <v>1200</v>
      </c>
    </row>
    <row r="2535">
      <c r="A2535" s="26" t="s">
        <v>2258</v>
      </c>
      <c r="B2535" s="26" t="s">
        <v>1226</v>
      </c>
      <c r="C2535" s="27">
        <v>45720.0</v>
      </c>
      <c r="D2535" s="27">
        <v>45720.0</v>
      </c>
      <c r="E2535" s="26" t="s">
        <v>1121</v>
      </c>
      <c r="F2535" s="26" t="s">
        <v>1200</v>
      </c>
    </row>
    <row r="2536">
      <c r="A2536" s="26" t="s">
        <v>2258</v>
      </c>
      <c r="B2536" s="26" t="s">
        <v>1226</v>
      </c>
      <c r="C2536" s="27">
        <v>45720.0</v>
      </c>
      <c r="D2536" s="27">
        <v>45720.0</v>
      </c>
      <c r="E2536" s="26" t="s">
        <v>1121</v>
      </c>
      <c r="F2536" s="26" t="s">
        <v>1200</v>
      </c>
    </row>
    <row r="2537">
      <c r="A2537" s="26" t="s">
        <v>2258</v>
      </c>
      <c r="B2537" s="26" t="s">
        <v>1226</v>
      </c>
      <c r="C2537" s="27">
        <v>45720.0</v>
      </c>
      <c r="D2537" s="27">
        <v>45720.0</v>
      </c>
      <c r="E2537" s="26" t="s">
        <v>1121</v>
      </c>
      <c r="F2537" s="26" t="s">
        <v>1200</v>
      </c>
    </row>
    <row r="2538">
      <c r="A2538" s="26" t="s">
        <v>2259</v>
      </c>
      <c r="B2538" s="26" t="s">
        <v>745</v>
      </c>
      <c r="C2538" s="27">
        <v>45720.0</v>
      </c>
      <c r="D2538" s="27">
        <v>45720.0</v>
      </c>
      <c r="E2538" s="26" t="s">
        <v>1121</v>
      </c>
      <c r="F2538" s="26" t="s">
        <v>1200</v>
      </c>
    </row>
    <row r="2539">
      <c r="A2539" s="26" t="s">
        <v>2259</v>
      </c>
      <c r="B2539" s="26" t="s">
        <v>745</v>
      </c>
      <c r="C2539" s="27">
        <v>45720.0</v>
      </c>
      <c r="D2539" s="27">
        <v>45720.0</v>
      </c>
      <c r="E2539" s="26" t="s">
        <v>1121</v>
      </c>
      <c r="F2539" s="26" t="s">
        <v>1200</v>
      </c>
    </row>
    <row r="2540">
      <c r="A2540" s="26" t="s">
        <v>2260</v>
      </c>
      <c r="B2540" s="26" t="s">
        <v>2261</v>
      </c>
      <c r="C2540" s="27">
        <v>45720.0</v>
      </c>
      <c r="D2540" s="27">
        <v>45720.0</v>
      </c>
      <c r="E2540" s="26" t="s">
        <v>1121</v>
      </c>
      <c r="F2540" s="26" t="s">
        <v>1200</v>
      </c>
    </row>
    <row r="2541">
      <c r="A2541" s="26" t="s">
        <v>2262</v>
      </c>
      <c r="B2541" s="26" t="s">
        <v>455</v>
      </c>
      <c r="C2541" s="27">
        <v>45719.0</v>
      </c>
      <c r="D2541" s="27">
        <v>45719.0</v>
      </c>
      <c r="E2541" s="26" t="s">
        <v>1121</v>
      </c>
      <c r="F2541" s="26" t="s">
        <v>1200</v>
      </c>
    </row>
    <row r="2542">
      <c r="A2542" s="26" t="s">
        <v>2263</v>
      </c>
      <c r="B2542" s="26" t="s">
        <v>467</v>
      </c>
      <c r="C2542" s="27">
        <v>45719.0</v>
      </c>
      <c r="D2542" s="27">
        <v>45719.0</v>
      </c>
      <c r="E2542" s="26" t="s">
        <v>1121</v>
      </c>
      <c r="F2542" s="26" t="s">
        <v>1200</v>
      </c>
    </row>
    <row r="2543">
      <c r="A2543" s="26" t="s">
        <v>2264</v>
      </c>
      <c r="B2543" s="26" t="s">
        <v>444</v>
      </c>
      <c r="C2543" s="27">
        <v>45719.0</v>
      </c>
      <c r="D2543" s="27">
        <v>45719.0</v>
      </c>
      <c r="E2543" s="26" t="s">
        <v>1121</v>
      </c>
      <c r="F2543" s="26" t="s">
        <v>1200</v>
      </c>
    </row>
    <row r="2544">
      <c r="A2544" s="26" t="s">
        <v>2265</v>
      </c>
      <c r="B2544" s="26" t="s">
        <v>739</v>
      </c>
      <c r="C2544" s="27">
        <v>45719.0</v>
      </c>
      <c r="D2544" s="27">
        <v>45719.0</v>
      </c>
      <c r="E2544" s="26" t="s">
        <v>1121</v>
      </c>
      <c r="F2544" s="26" t="s">
        <v>1200</v>
      </c>
    </row>
    <row r="2545">
      <c r="A2545" s="26" t="s">
        <v>2265</v>
      </c>
      <c r="B2545" s="26" t="s">
        <v>739</v>
      </c>
      <c r="C2545" s="27">
        <v>45719.0</v>
      </c>
      <c r="D2545" s="27">
        <v>45719.0</v>
      </c>
      <c r="E2545" s="26" t="s">
        <v>1121</v>
      </c>
      <c r="F2545" s="26" t="s">
        <v>1200</v>
      </c>
    </row>
    <row r="2546">
      <c r="A2546" s="26" t="s">
        <v>2266</v>
      </c>
      <c r="B2546" s="26" t="s">
        <v>546</v>
      </c>
      <c r="C2546" s="27">
        <v>45716.0</v>
      </c>
      <c r="D2546" s="27">
        <v>45716.0</v>
      </c>
      <c r="E2546" s="26" t="s">
        <v>1121</v>
      </c>
      <c r="F2546" s="26" t="s">
        <v>1200</v>
      </c>
    </row>
    <row r="2547">
      <c r="A2547" s="26" t="s">
        <v>2267</v>
      </c>
      <c r="B2547" s="26" t="s">
        <v>432</v>
      </c>
      <c r="C2547" s="27">
        <v>45716.0</v>
      </c>
      <c r="D2547" s="27">
        <v>45716.0</v>
      </c>
      <c r="E2547" s="26" t="s">
        <v>1121</v>
      </c>
      <c r="F2547" s="26" t="s">
        <v>1200</v>
      </c>
    </row>
    <row r="2548">
      <c r="A2548" s="26" t="s">
        <v>2268</v>
      </c>
      <c r="B2548" s="26" t="s">
        <v>546</v>
      </c>
      <c r="C2548" s="27">
        <v>45715.0</v>
      </c>
      <c r="D2548" s="27">
        <v>45715.0</v>
      </c>
      <c r="E2548" s="26" t="s">
        <v>1121</v>
      </c>
      <c r="F2548" s="26" t="s">
        <v>1200</v>
      </c>
    </row>
    <row r="2549">
      <c r="A2549" s="26" t="s">
        <v>2268</v>
      </c>
      <c r="B2549" s="26" t="s">
        <v>546</v>
      </c>
      <c r="C2549" s="27">
        <v>45715.0</v>
      </c>
      <c r="D2549" s="27">
        <v>45715.0</v>
      </c>
      <c r="E2549" s="26" t="s">
        <v>1121</v>
      </c>
      <c r="F2549" s="26" t="s">
        <v>1200</v>
      </c>
    </row>
    <row r="2550">
      <c r="A2550" s="26" t="s">
        <v>2269</v>
      </c>
      <c r="B2550" s="26" t="s">
        <v>295</v>
      </c>
      <c r="C2550" s="27">
        <v>45714.0</v>
      </c>
      <c r="D2550" s="27">
        <v>45714.0</v>
      </c>
      <c r="E2550" s="26" t="s">
        <v>1121</v>
      </c>
      <c r="F2550" s="26" t="s">
        <v>1200</v>
      </c>
    </row>
    <row r="2551">
      <c r="A2551" s="26" t="s">
        <v>2269</v>
      </c>
      <c r="B2551" s="26" t="s">
        <v>295</v>
      </c>
      <c r="C2551" s="27">
        <v>45714.0</v>
      </c>
      <c r="D2551" s="27">
        <v>45714.0</v>
      </c>
      <c r="E2551" s="26" t="s">
        <v>1121</v>
      </c>
      <c r="F2551" s="26" t="s">
        <v>1200</v>
      </c>
    </row>
    <row r="2552">
      <c r="A2552" s="26" t="s">
        <v>2270</v>
      </c>
      <c r="B2552" s="26" t="s">
        <v>542</v>
      </c>
      <c r="C2552" s="27">
        <v>45714.0</v>
      </c>
      <c r="D2552" s="27">
        <v>45714.0</v>
      </c>
      <c r="E2552" s="26" t="s">
        <v>1121</v>
      </c>
      <c r="F2552" s="26" t="s">
        <v>1200</v>
      </c>
    </row>
    <row r="2553">
      <c r="A2553" s="26" t="s">
        <v>2271</v>
      </c>
      <c r="B2553" s="26" t="s">
        <v>2188</v>
      </c>
      <c r="C2553" s="27">
        <v>45714.0</v>
      </c>
      <c r="D2553" s="27">
        <v>45714.0</v>
      </c>
      <c r="E2553" s="26" t="s">
        <v>1121</v>
      </c>
      <c r="F2553" s="26" t="s">
        <v>1200</v>
      </c>
    </row>
    <row r="2554">
      <c r="A2554" s="26" t="s">
        <v>2271</v>
      </c>
      <c r="B2554" s="26" t="s">
        <v>2188</v>
      </c>
      <c r="C2554" s="27">
        <v>45714.0</v>
      </c>
      <c r="D2554" s="27">
        <v>45714.0</v>
      </c>
      <c r="E2554" s="26" t="s">
        <v>1121</v>
      </c>
      <c r="F2554" s="26" t="s">
        <v>1200</v>
      </c>
    </row>
    <row r="2555">
      <c r="A2555" s="26" t="s">
        <v>2272</v>
      </c>
      <c r="B2555" s="26" t="s">
        <v>303</v>
      </c>
      <c r="C2555" s="27">
        <v>45714.0</v>
      </c>
      <c r="D2555" s="27">
        <v>45714.0</v>
      </c>
      <c r="E2555" s="26" t="s">
        <v>1121</v>
      </c>
      <c r="F2555" s="26" t="s">
        <v>1200</v>
      </c>
    </row>
    <row r="2556">
      <c r="A2556" s="26" t="s">
        <v>2273</v>
      </c>
      <c r="B2556" s="26" t="s">
        <v>435</v>
      </c>
      <c r="C2556" s="27">
        <v>45713.0</v>
      </c>
      <c r="D2556" s="27">
        <v>45713.0</v>
      </c>
      <c r="E2556" s="26" t="s">
        <v>1121</v>
      </c>
      <c r="F2556" s="26" t="s">
        <v>1200</v>
      </c>
    </row>
    <row r="2557">
      <c r="A2557" s="26" t="s">
        <v>2274</v>
      </c>
      <c r="B2557" s="26" t="s">
        <v>2142</v>
      </c>
      <c r="C2557" s="27">
        <v>45713.0</v>
      </c>
      <c r="D2557" s="27">
        <v>45713.0</v>
      </c>
      <c r="E2557" s="26" t="s">
        <v>1121</v>
      </c>
      <c r="F2557" s="26" t="s">
        <v>1200</v>
      </c>
    </row>
    <row r="2558">
      <c r="A2558" s="26" t="s">
        <v>2275</v>
      </c>
      <c r="B2558" s="26" t="s">
        <v>493</v>
      </c>
      <c r="C2558" s="27">
        <v>45713.0</v>
      </c>
      <c r="D2558" s="27">
        <v>45713.0</v>
      </c>
      <c r="E2558" s="26" t="s">
        <v>1121</v>
      </c>
      <c r="F2558" s="26" t="s">
        <v>1200</v>
      </c>
    </row>
    <row r="2559">
      <c r="A2559" s="26" t="s">
        <v>2276</v>
      </c>
      <c r="B2559" s="26" t="s">
        <v>448</v>
      </c>
      <c r="C2559" s="27">
        <v>45712.0</v>
      </c>
      <c r="D2559" s="27">
        <v>45712.0</v>
      </c>
      <c r="E2559" s="26" t="s">
        <v>1121</v>
      </c>
      <c r="F2559" s="26" t="s">
        <v>1200</v>
      </c>
    </row>
    <row r="2560">
      <c r="A2560" s="26" t="s">
        <v>2276</v>
      </c>
      <c r="B2560" s="26" t="s">
        <v>448</v>
      </c>
      <c r="C2560" s="27">
        <v>45712.0</v>
      </c>
      <c r="D2560" s="27">
        <v>45712.0</v>
      </c>
      <c r="E2560" s="26" t="s">
        <v>1121</v>
      </c>
      <c r="F2560" s="26" t="s">
        <v>1200</v>
      </c>
    </row>
    <row r="2561">
      <c r="A2561" s="26" t="s">
        <v>2277</v>
      </c>
      <c r="B2561" s="26" t="s">
        <v>580</v>
      </c>
      <c r="C2561" s="27">
        <v>45712.0</v>
      </c>
      <c r="D2561" s="27">
        <v>45712.0</v>
      </c>
      <c r="E2561" s="26" t="s">
        <v>1121</v>
      </c>
      <c r="F2561" s="26" t="s">
        <v>1200</v>
      </c>
    </row>
    <row r="2562">
      <c r="A2562" s="26" t="s">
        <v>2278</v>
      </c>
      <c r="B2562" s="26" t="s">
        <v>444</v>
      </c>
      <c r="C2562" s="27">
        <v>45712.0</v>
      </c>
      <c r="D2562" s="27">
        <v>45712.0</v>
      </c>
      <c r="E2562" s="26" t="s">
        <v>1121</v>
      </c>
      <c r="F2562" s="26" t="s">
        <v>1200</v>
      </c>
    </row>
    <row r="2563">
      <c r="A2563" s="26" t="s">
        <v>2278</v>
      </c>
      <c r="B2563" s="26" t="s">
        <v>444</v>
      </c>
      <c r="C2563" s="27">
        <v>45712.0</v>
      </c>
      <c r="D2563" s="27">
        <v>45712.0</v>
      </c>
      <c r="E2563" s="26" t="s">
        <v>1121</v>
      </c>
      <c r="F2563" s="26" t="s">
        <v>1200</v>
      </c>
    </row>
    <row r="2564">
      <c r="A2564" s="26" t="s">
        <v>2278</v>
      </c>
      <c r="B2564" s="26" t="s">
        <v>444</v>
      </c>
      <c r="C2564" s="27">
        <v>45712.0</v>
      </c>
      <c r="D2564" s="27">
        <v>45712.0</v>
      </c>
      <c r="E2564" s="26" t="s">
        <v>1121</v>
      </c>
      <c r="F2564" s="26" t="s">
        <v>1200</v>
      </c>
    </row>
    <row r="2565">
      <c r="A2565" s="26" t="s">
        <v>2279</v>
      </c>
      <c r="B2565" s="26" t="s">
        <v>483</v>
      </c>
      <c r="C2565" s="27">
        <v>45712.0</v>
      </c>
      <c r="D2565" s="27">
        <v>45712.0</v>
      </c>
      <c r="E2565" s="26" t="s">
        <v>1121</v>
      </c>
      <c r="F2565" s="26" t="s">
        <v>1200</v>
      </c>
    </row>
    <row r="2566">
      <c r="A2566" s="26" t="s">
        <v>2280</v>
      </c>
      <c r="B2566" s="26" t="s">
        <v>546</v>
      </c>
      <c r="C2566" s="27">
        <v>45712.0</v>
      </c>
      <c r="D2566" s="27">
        <v>45712.0</v>
      </c>
      <c r="E2566" s="26" t="s">
        <v>1121</v>
      </c>
      <c r="F2566" s="26" t="s">
        <v>1200</v>
      </c>
    </row>
    <row r="2567">
      <c r="A2567" s="26" t="s">
        <v>2281</v>
      </c>
      <c r="B2567" s="26" t="s">
        <v>574</v>
      </c>
      <c r="C2567" s="27">
        <v>45712.0</v>
      </c>
      <c r="D2567" s="27">
        <v>45712.0</v>
      </c>
      <c r="E2567" s="26" t="s">
        <v>1121</v>
      </c>
      <c r="F2567" s="26" t="s">
        <v>1200</v>
      </c>
    </row>
    <row r="2568">
      <c r="A2568" s="26" t="s">
        <v>2282</v>
      </c>
      <c r="B2568" s="26" t="s">
        <v>444</v>
      </c>
      <c r="C2568" s="27">
        <v>45710.0</v>
      </c>
      <c r="D2568" s="27">
        <v>45710.0</v>
      </c>
      <c r="E2568" s="26" t="s">
        <v>1121</v>
      </c>
      <c r="F2568" s="26" t="s">
        <v>1200</v>
      </c>
    </row>
    <row r="2569">
      <c r="A2569" s="26" t="s">
        <v>2282</v>
      </c>
      <c r="B2569" s="26" t="s">
        <v>444</v>
      </c>
      <c r="C2569" s="27">
        <v>45710.0</v>
      </c>
      <c r="D2569" s="27">
        <v>45710.0</v>
      </c>
      <c r="E2569" s="26" t="s">
        <v>1121</v>
      </c>
      <c r="F2569" s="26" t="s">
        <v>1200</v>
      </c>
    </row>
    <row r="2570">
      <c r="A2570" s="26" t="s">
        <v>2282</v>
      </c>
      <c r="B2570" s="26" t="s">
        <v>444</v>
      </c>
      <c r="C2570" s="27">
        <v>45710.0</v>
      </c>
      <c r="D2570" s="27">
        <v>45710.0</v>
      </c>
      <c r="E2570" s="26" t="s">
        <v>1121</v>
      </c>
      <c r="F2570" s="26" t="s">
        <v>1200</v>
      </c>
    </row>
    <row r="2571">
      <c r="A2571" s="26" t="s">
        <v>2282</v>
      </c>
      <c r="B2571" s="26" t="s">
        <v>444</v>
      </c>
      <c r="C2571" s="27">
        <v>45710.0</v>
      </c>
      <c r="D2571" s="27">
        <v>45710.0</v>
      </c>
      <c r="E2571" s="26" t="s">
        <v>1121</v>
      </c>
      <c r="F2571" s="26" t="s">
        <v>1200</v>
      </c>
    </row>
    <row r="2572">
      <c r="A2572" s="26" t="s">
        <v>2283</v>
      </c>
      <c r="B2572" s="26" t="s">
        <v>483</v>
      </c>
      <c r="C2572" s="27">
        <v>45710.0</v>
      </c>
      <c r="D2572" s="27">
        <v>45710.0</v>
      </c>
      <c r="E2572" s="26" t="s">
        <v>1121</v>
      </c>
      <c r="F2572" s="26" t="s">
        <v>1200</v>
      </c>
    </row>
    <row r="2573">
      <c r="A2573" s="26" t="s">
        <v>2284</v>
      </c>
      <c r="B2573" s="26" t="s">
        <v>546</v>
      </c>
      <c r="C2573" s="27">
        <v>45710.0</v>
      </c>
      <c r="D2573" s="27">
        <v>45710.0</v>
      </c>
      <c r="E2573" s="26" t="s">
        <v>1121</v>
      </c>
      <c r="F2573" s="26" t="s">
        <v>1200</v>
      </c>
    </row>
    <row r="2574">
      <c r="A2574" s="26" t="s">
        <v>2285</v>
      </c>
      <c r="B2574" s="26" t="s">
        <v>435</v>
      </c>
      <c r="C2574" s="27">
        <v>45709.0</v>
      </c>
      <c r="D2574" s="27">
        <v>45709.0</v>
      </c>
      <c r="E2574" s="26" t="s">
        <v>1121</v>
      </c>
      <c r="F2574" s="26" t="s">
        <v>1200</v>
      </c>
    </row>
    <row r="2575">
      <c r="A2575" s="26" t="s">
        <v>2286</v>
      </c>
      <c r="B2575" s="26" t="s">
        <v>739</v>
      </c>
      <c r="C2575" s="27">
        <v>45709.0</v>
      </c>
      <c r="D2575" s="27">
        <v>45709.0</v>
      </c>
      <c r="E2575" s="26" t="s">
        <v>1121</v>
      </c>
      <c r="F2575" s="26" t="s">
        <v>1200</v>
      </c>
    </row>
    <row r="2576">
      <c r="A2576" s="26" t="s">
        <v>2286</v>
      </c>
      <c r="B2576" s="26" t="s">
        <v>739</v>
      </c>
      <c r="C2576" s="27">
        <v>45709.0</v>
      </c>
      <c r="D2576" s="27">
        <v>45709.0</v>
      </c>
      <c r="E2576" s="26" t="s">
        <v>1121</v>
      </c>
      <c r="F2576" s="26" t="s">
        <v>1200</v>
      </c>
    </row>
    <row r="2577">
      <c r="A2577" s="26" t="s">
        <v>2286</v>
      </c>
      <c r="B2577" s="26" t="s">
        <v>739</v>
      </c>
      <c r="C2577" s="27">
        <v>45709.0</v>
      </c>
      <c r="D2577" s="27">
        <v>45709.0</v>
      </c>
      <c r="E2577" s="26" t="s">
        <v>1121</v>
      </c>
      <c r="F2577" s="26" t="s">
        <v>1200</v>
      </c>
    </row>
    <row r="2578">
      <c r="A2578" s="26" t="s">
        <v>2287</v>
      </c>
      <c r="B2578" s="26" t="s">
        <v>599</v>
      </c>
      <c r="C2578" s="27">
        <v>45709.0</v>
      </c>
      <c r="D2578" s="27">
        <v>45709.0</v>
      </c>
      <c r="E2578" s="26" t="s">
        <v>1121</v>
      </c>
      <c r="F2578" s="26" t="s">
        <v>1200</v>
      </c>
    </row>
    <row r="2579">
      <c r="A2579" s="26" t="s">
        <v>2287</v>
      </c>
      <c r="B2579" s="26" t="s">
        <v>599</v>
      </c>
      <c r="C2579" s="27">
        <v>45709.0</v>
      </c>
      <c r="D2579" s="27">
        <v>45709.0</v>
      </c>
      <c r="E2579" s="26" t="s">
        <v>1121</v>
      </c>
      <c r="F2579" s="26" t="s">
        <v>1200</v>
      </c>
    </row>
    <row r="2580">
      <c r="A2580" s="26" t="s">
        <v>2288</v>
      </c>
      <c r="B2580" s="26" t="s">
        <v>467</v>
      </c>
      <c r="C2580" s="27">
        <v>45708.0</v>
      </c>
      <c r="D2580" s="27">
        <v>45708.0</v>
      </c>
      <c r="E2580" s="26" t="s">
        <v>1121</v>
      </c>
      <c r="F2580" s="26" t="s">
        <v>1200</v>
      </c>
    </row>
    <row r="2581">
      <c r="A2581" s="26" t="s">
        <v>2289</v>
      </c>
      <c r="B2581" s="26" t="s">
        <v>439</v>
      </c>
      <c r="C2581" s="27">
        <v>45708.0</v>
      </c>
      <c r="D2581" s="27">
        <v>45708.0</v>
      </c>
      <c r="E2581" s="26" t="s">
        <v>1121</v>
      </c>
      <c r="F2581" s="26" t="s">
        <v>1200</v>
      </c>
    </row>
    <row r="2582">
      <c r="A2582" s="26" t="s">
        <v>2290</v>
      </c>
      <c r="B2582" s="26" t="s">
        <v>745</v>
      </c>
      <c r="C2582" s="27">
        <v>45708.0</v>
      </c>
      <c r="D2582" s="27">
        <v>45708.0</v>
      </c>
      <c r="E2582" s="26" t="s">
        <v>1121</v>
      </c>
      <c r="F2582" s="26" t="s">
        <v>1200</v>
      </c>
    </row>
    <row r="2583">
      <c r="A2583" s="26" t="s">
        <v>2290</v>
      </c>
      <c r="B2583" s="26" t="s">
        <v>745</v>
      </c>
      <c r="C2583" s="27">
        <v>45708.0</v>
      </c>
      <c r="D2583" s="27">
        <v>45708.0</v>
      </c>
      <c r="E2583" s="26" t="s">
        <v>1121</v>
      </c>
      <c r="F2583" s="26" t="s">
        <v>1200</v>
      </c>
    </row>
    <row r="2584">
      <c r="A2584" s="26" t="s">
        <v>2290</v>
      </c>
      <c r="B2584" s="26" t="s">
        <v>745</v>
      </c>
      <c r="C2584" s="27">
        <v>45708.0</v>
      </c>
      <c r="D2584" s="27">
        <v>45708.0</v>
      </c>
      <c r="E2584" s="26" t="s">
        <v>1121</v>
      </c>
      <c r="F2584" s="26" t="s">
        <v>1200</v>
      </c>
    </row>
    <row r="2585">
      <c r="A2585" s="26" t="s">
        <v>2291</v>
      </c>
      <c r="B2585" s="26" t="s">
        <v>1766</v>
      </c>
      <c r="C2585" s="27">
        <v>45707.0</v>
      </c>
      <c r="D2585" s="27">
        <v>45707.0</v>
      </c>
      <c r="E2585" s="26" t="s">
        <v>1121</v>
      </c>
      <c r="F2585" s="26" t="s">
        <v>1200</v>
      </c>
    </row>
    <row r="2586">
      <c r="A2586" s="26" t="s">
        <v>2291</v>
      </c>
      <c r="B2586" s="26" t="s">
        <v>1766</v>
      </c>
      <c r="C2586" s="27">
        <v>45707.0</v>
      </c>
      <c r="D2586" s="27">
        <v>45707.0</v>
      </c>
      <c r="E2586" s="26" t="s">
        <v>1121</v>
      </c>
      <c r="F2586" s="26" t="s">
        <v>1200</v>
      </c>
    </row>
    <row r="2587">
      <c r="A2587" s="26" t="s">
        <v>2291</v>
      </c>
      <c r="B2587" s="26" t="s">
        <v>1766</v>
      </c>
      <c r="C2587" s="27">
        <v>45707.0</v>
      </c>
      <c r="D2587" s="27">
        <v>45707.0</v>
      </c>
      <c r="E2587" s="26" t="s">
        <v>1121</v>
      </c>
      <c r="F2587" s="26" t="s">
        <v>1200</v>
      </c>
    </row>
    <row r="2588">
      <c r="A2588" s="26" t="s">
        <v>2292</v>
      </c>
      <c r="B2588" s="26" t="s">
        <v>546</v>
      </c>
      <c r="C2588" s="27">
        <v>45706.0</v>
      </c>
      <c r="D2588" s="27">
        <v>45706.0</v>
      </c>
      <c r="E2588" s="26" t="s">
        <v>1121</v>
      </c>
      <c r="F2588" s="26" t="s">
        <v>1200</v>
      </c>
    </row>
    <row r="2589">
      <c r="A2589" s="26" t="s">
        <v>2292</v>
      </c>
      <c r="B2589" s="26" t="s">
        <v>546</v>
      </c>
      <c r="C2589" s="27">
        <v>45706.0</v>
      </c>
      <c r="D2589" s="27">
        <v>45706.0</v>
      </c>
      <c r="E2589" s="26" t="s">
        <v>1121</v>
      </c>
      <c r="F2589" s="26" t="s">
        <v>1200</v>
      </c>
    </row>
    <row r="2590">
      <c r="A2590" s="26" t="s">
        <v>2293</v>
      </c>
      <c r="B2590" s="26" t="s">
        <v>2117</v>
      </c>
      <c r="C2590" s="27">
        <v>45706.0</v>
      </c>
      <c r="D2590" s="27">
        <v>45706.0</v>
      </c>
      <c r="E2590" s="26" t="s">
        <v>1121</v>
      </c>
      <c r="F2590" s="26" t="s">
        <v>1200</v>
      </c>
    </row>
    <row r="2591">
      <c r="A2591" s="26" t="s">
        <v>2294</v>
      </c>
      <c r="B2591" s="26" t="s">
        <v>2295</v>
      </c>
      <c r="C2591" s="27">
        <v>45706.0</v>
      </c>
      <c r="D2591" s="27">
        <v>45706.0</v>
      </c>
      <c r="E2591" s="26" t="s">
        <v>1121</v>
      </c>
      <c r="F2591" s="26" t="s">
        <v>1200</v>
      </c>
    </row>
    <row r="2592">
      <c r="A2592" s="26" t="s">
        <v>2296</v>
      </c>
      <c r="B2592" s="26" t="s">
        <v>461</v>
      </c>
      <c r="C2592" s="27">
        <v>45705.0</v>
      </c>
      <c r="D2592" s="27">
        <v>45705.0</v>
      </c>
      <c r="E2592" s="26" t="s">
        <v>1121</v>
      </c>
      <c r="F2592" s="26" t="s">
        <v>1200</v>
      </c>
    </row>
    <row r="2593">
      <c r="A2593" s="26" t="s">
        <v>2297</v>
      </c>
      <c r="B2593" s="26" t="s">
        <v>2298</v>
      </c>
      <c r="C2593" s="27">
        <v>45705.0</v>
      </c>
      <c r="D2593" s="27">
        <v>45705.0</v>
      </c>
      <c r="E2593" s="26" t="s">
        <v>1121</v>
      </c>
      <c r="F2593" s="26" t="s">
        <v>1200</v>
      </c>
    </row>
    <row r="2594">
      <c r="A2594" s="26" t="s">
        <v>2299</v>
      </c>
      <c r="B2594" s="26" t="s">
        <v>444</v>
      </c>
      <c r="C2594" s="27">
        <v>45703.0</v>
      </c>
      <c r="D2594" s="27">
        <v>45703.0</v>
      </c>
      <c r="E2594" s="26" t="s">
        <v>1121</v>
      </c>
      <c r="F2594" s="26" t="s">
        <v>1200</v>
      </c>
    </row>
    <row r="2595">
      <c r="A2595" s="26" t="s">
        <v>2299</v>
      </c>
      <c r="B2595" s="26" t="s">
        <v>444</v>
      </c>
      <c r="C2595" s="27">
        <v>45703.0</v>
      </c>
      <c r="D2595" s="27">
        <v>45703.0</v>
      </c>
      <c r="E2595" s="26" t="s">
        <v>1121</v>
      </c>
      <c r="F2595" s="26" t="s">
        <v>1200</v>
      </c>
    </row>
    <row r="2596">
      <c r="A2596" s="26" t="s">
        <v>2299</v>
      </c>
      <c r="B2596" s="26" t="s">
        <v>444</v>
      </c>
      <c r="C2596" s="27">
        <v>45703.0</v>
      </c>
      <c r="D2596" s="27">
        <v>45703.0</v>
      </c>
      <c r="E2596" s="26" t="s">
        <v>1121</v>
      </c>
      <c r="F2596" s="26" t="s">
        <v>1200</v>
      </c>
    </row>
    <row r="2597">
      <c r="A2597" s="26" t="s">
        <v>2299</v>
      </c>
      <c r="B2597" s="26" t="s">
        <v>444</v>
      </c>
      <c r="C2597" s="27">
        <v>45703.0</v>
      </c>
      <c r="D2597" s="27">
        <v>45703.0</v>
      </c>
      <c r="E2597" s="26" t="s">
        <v>1121</v>
      </c>
      <c r="F2597" s="26" t="s">
        <v>1200</v>
      </c>
    </row>
    <row r="2598">
      <c r="A2598" s="26" t="s">
        <v>2299</v>
      </c>
      <c r="B2598" s="26" t="s">
        <v>444</v>
      </c>
      <c r="C2598" s="27">
        <v>45703.0</v>
      </c>
      <c r="D2598" s="27">
        <v>45703.0</v>
      </c>
      <c r="E2598" s="26" t="s">
        <v>1121</v>
      </c>
      <c r="F2598" s="26" t="s">
        <v>1200</v>
      </c>
    </row>
    <row r="2599">
      <c r="A2599" s="26" t="s">
        <v>2300</v>
      </c>
      <c r="B2599" s="26" t="s">
        <v>1916</v>
      </c>
      <c r="C2599" s="27">
        <v>45703.0</v>
      </c>
      <c r="D2599" s="27">
        <v>45703.0</v>
      </c>
      <c r="E2599" s="26" t="s">
        <v>1121</v>
      </c>
      <c r="F2599" s="26" t="s">
        <v>1200</v>
      </c>
    </row>
    <row r="2600">
      <c r="A2600" s="26" t="s">
        <v>2301</v>
      </c>
      <c r="B2600" s="26" t="s">
        <v>467</v>
      </c>
      <c r="C2600" s="27">
        <v>45703.0</v>
      </c>
      <c r="D2600" s="27">
        <v>45703.0</v>
      </c>
      <c r="E2600" s="26" t="s">
        <v>1121</v>
      </c>
      <c r="F2600" s="26" t="s">
        <v>1200</v>
      </c>
    </row>
    <row r="2601">
      <c r="A2601" s="26" t="s">
        <v>2302</v>
      </c>
      <c r="B2601" s="26" t="s">
        <v>483</v>
      </c>
      <c r="C2601" s="27">
        <v>45703.0</v>
      </c>
      <c r="D2601" s="27">
        <v>45703.0</v>
      </c>
      <c r="E2601" s="26" t="s">
        <v>1121</v>
      </c>
      <c r="F2601" s="26" t="s">
        <v>1200</v>
      </c>
    </row>
    <row r="2602">
      <c r="A2602" s="26" t="s">
        <v>2303</v>
      </c>
      <c r="B2602" s="26" t="s">
        <v>546</v>
      </c>
      <c r="C2602" s="27">
        <v>45703.0</v>
      </c>
      <c r="D2602" s="27">
        <v>45703.0</v>
      </c>
      <c r="E2602" s="26" t="s">
        <v>1121</v>
      </c>
      <c r="F2602" s="26" t="s">
        <v>1200</v>
      </c>
    </row>
    <row r="2603">
      <c r="A2603" s="26" t="s">
        <v>2304</v>
      </c>
      <c r="B2603" s="26" t="s">
        <v>435</v>
      </c>
      <c r="C2603" s="27">
        <v>45702.0</v>
      </c>
      <c r="D2603" s="27">
        <v>45702.0</v>
      </c>
      <c r="E2603" s="26" t="s">
        <v>1121</v>
      </c>
      <c r="F2603" s="26" t="s">
        <v>1200</v>
      </c>
    </row>
    <row r="2604">
      <c r="A2604" s="26" t="s">
        <v>2305</v>
      </c>
      <c r="B2604" s="26" t="s">
        <v>432</v>
      </c>
      <c r="C2604" s="27">
        <v>45702.0</v>
      </c>
      <c r="D2604" s="27">
        <v>45702.0</v>
      </c>
      <c r="E2604" s="26" t="s">
        <v>1121</v>
      </c>
      <c r="F2604" s="26" t="s">
        <v>1200</v>
      </c>
    </row>
    <row r="2605">
      <c r="A2605" s="26" t="s">
        <v>2306</v>
      </c>
      <c r="B2605" s="26" t="s">
        <v>516</v>
      </c>
      <c r="C2605" s="27">
        <v>45702.0</v>
      </c>
      <c r="D2605" s="27">
        <v>45702.0</v>
      </c>
      <c r="E2605" s="26" t="s">
        <v>1121</v>
      </c>
      <c r="F2605" s="26" t="s">
        <v>1200</v>
      </c>
    </row>
    <row r="2606">
      <c r="A2606" s="26" t="s">
        <v>2306</v>
      </c>
      <c r="B2606" s="26" t="s">
        <v>516</v>
      </c>
      <c r="C2606" s="27">
        <v>45702.0</v>
      </c>
      <c r="D2606" s="27">
        <v>45702.0</v>
      </c>
      <c r="E2606" s="26" t="s">
        <v>1121</v>
      </c>
      <c r="F2606" s="26" t="s">
        <v>1200</v>
      </c>
    </row>
    <row r="2607">
      <c r="A2607" s="26" t="s">
        <v>2306</v>
      </c>
      <c r="B2607" s="26" t="s">
        <v>516</v>
      </c>
      <c r="C2607" s="27">
        <v>45702.0</v>
      </c>
      <c r="D2607" s="27">
        <v>45702.0</v>
      </c>
      <c r="E2607" s="26" t="s">
        <v>1121</v>
      </c>
      <c r="F2607" s="26" t="s">
        <v>1200</v>
      </c>
    </row>
    <row r="2608">
      <c r="A2608" s="26" t="s">
        <v>2307</v>
      </c>
      <c r="B2608" s="26" t="s">
        <v>467</v>
      </c>
      <c r="C2608" s="27">
        <v>45701.0</v>
      </c>
      <c r="D2608" s="27">
        <v>45701.0</v>
      </c>
      <c r="E2608" s="26" t="s">
        <v>1121</v>
      </c>
      <c r="F2608" s="26" t="s">
        <v>1200</v>
      </c>
    </row>
    <row r="2609">
      <c r="A2609" s="26" t="s">
        <v>2308</v>
      </c>
      <c r="B2609" s="26" t="s">
        <v>542</v>
      </c>
      <c r="C2609" s="27">
        <v>45700.0</v>
      </c>
      <c r="D2609" s="27">
        <v>45700.0</v>
      </c>
      <c r="E2609" s="26" t="s">
        <v>1121</v>
      </c>
      <c r="F2609" s="26" t="s">
        <v>1200</v>
      </c>
    </row>
    <row r="2610">
      <c r="A2610" s="26" t="s">
        <v>2309</v>
      </c>
      <c r="B2610" s="26" t="s">
        <v>1559</v>
      </c>
      <c r="C2610" s="27">
        <v>45700.0</v>
      </c>
      <c r="D2610" s="27">
        <v>45700.0</v>
      </c>
      <c r="E2610" s="26" t="s">
        <v>1121</v>
      </c>
      <c r="F2610" s="26" t="s">
        <v>1200</v>
      </c>
    </row>
    <row r="2611">
      <c r="A2611" s="26" t="s">
        <v>2309</v>
      </c>
      <c r="B2611" s="26" t="s">
        <v>1559</v>
      </c>
      <c r="C2611" s="27">
        <v>45700.0</v>
      </c>
      <c r="D2611" s="27">
        <v>45700.0</v>
      </c>
      <c r="E2611" s="26" t="s">
        <v>1121</v>
      </c>
      <c r="F2611" s="26" t="s">
        <v>1200</v>
      </c>
    </row>
    <row r="2612">
      <c r="A2612" s="26" t="s">
        <v>2310</v>
      </c>
      <c r="B2612" s="26" t="s">
        <v>432</v>
      </c>
      <c r="C2612" s="27">
        <v>45699.0</v>
      </c>
      <c r="D2612" s="27">
        <v>45699.0</v>
      </c>
      <c r="E2612" s="26" t="s">
        <v>1121</v>
      </c>
      <c r="F2612" s="26" t="s">
        <v>1200</v>
      </c>
    </row>
    <row r="2613">
      <c r="A2613" s="26" t="s">
        <v>2311</v>
      </c>
      <c r="B2613" s="26" t="s">
        <v>483</v>
      </c>
      <c r="C2613" s="27">
        <v>45699.0</v>
      </c>
      <c r="D2613" s="27">
        <v>45699.0</v>
      </c>
      <c r="E2613" s="26" t="s">
        <v>1121</v>
      </c>
      <c r="F2613" s="26" t="s">
        <v>1200</v>
      </c>
    </row>
    <row r="2614">
      <c r="A2614" s="26" t="s">
        <v>2312</v>
      </c>
      <c r="B2614" s="26" t="s">
        <v>295</v>
      </c>
      <c r="C2614" s="27">
        <v>45699.0</v>
      </c>
      <c r="D2614" s="27">
        <v>45699.0</v>
      </c>
      <c r="E2614" s="26" t="s">
        <v>1121</v>
      </c>
      <c r="F2614" s="26" t="s">
        <v>1200</v>
      </c>
    </row>
    <row r="2615">
      <c r="A2615" s="26" t="s">
        <v>2312</v>
      </c>
      <c r="B2615" s="26" t="s">
        <v>295</v>
      </c>
      <c r="C2615" s="27">
        <v>45699.0</v>
      </c>
      <c r="D2615" s="27">
        <v>45699.0</v>
      </c>
      <c r="E2615" s="26" t="s">
        <v>1121</v>
      </c>
      <c r="F2615" s="26" t="s">
        <v>1200</v>
      </c>
    </row>
    <row r="2616">
      <c r="A2616" s="26" t="s">
        <v>2312</v>
      </c>
      <c r="B2616" s="26" t="s">
        <v>295</v>
      </c>
      <c r="C2616" s="27">
        <v>45699.0</v>
      </c>
      <c r="D2616" s="27">
        <v>45699.0</v>
      </c>
      <c r="E2616" s="26" t="s">
        <v>1121</v>
      </c>
      <c r="F2616" s="26" t="s">
        <v>1200</v>
      </c>
    </row>
    <row r="2617">
      <c r="A2617" s="26" t="s">
        <v>2312</v>
      </c>
      <c r="B2617" s="26" t="s">
        <v>295</v>
      </c>
      <c r="C2617" s="27">
        <v>45699.0</v>
      </c>
      <c r="D2617" s="27">
        <v>45699.0</v>
      </c>
      <c r="E2617" s="26" t="s">
        <v>1121</v>
      </c>
      <c r="F2617" s="26" t="s">
        <v>1200</v>
      </c>
    </row>
    <row r="2618">
      <c r="A2618" s="26" t="s">
        <v>2312</v>
      </c>
      <c r="B2618" s="26" t="s">
        <v>295</v>
      </c>
      <c r="C2618" s="27">
        <v>45699.0</v>
      </c>
      <c r="D2618" s="27">
        <v>45699.0</v>
      </c>
      <c r="E2618" s="26" t="s">
        <v>1121</v>
      </c>
      <c r="F2618" s="26" t="s">
        <v>1200</v>
      </c>
    </row>
    <row r="2619">
      <c r="A2619" s="26" t="s">
        <v>2313</v>
      </c>
      <c r="B2619" s="26" t="s">
        <v>2188</v>
      </c>
      <c r="C2619" s="27">
        <v>45698.0</v>
      </c>
      <c r="D2619" s="27">
        <v>45698.0</v>
      </c>
      <c r="E2619" s="26" t="s">
        <v>1121</v>
      </c>
      <c r="F2619" s="26" t="s">
        <v>1200</v>
      </c>
    </row>
    <row r="2620">
      <c r="A2620" s="26" t="s">
        <v>2314</v>
      </c>
      <c r="B2620" s="26" t="s">
        <v>1515</v>
      </c>
      <c r="C2620" s="27">
        <v>45698.0</v>
      </c>
      <c r="D2620" s="27">
        <v>45698.0</v>
      </c>
      <c r="E2620" s="26" t="s">
        <v>1121</v>
      </c>
      <c r="F2620" s="26" t="s">
        <v>1200</v>
      </c>
    </row>
    <row r="2621">
      <c r="A2621" s="26" t="s">
        <v>2314</v>
      </c>
      <c r="B2621" s="26" t="s">
        <v>1515</v>
      </c>
      <c r="C2621" s="27">
        <v>45698.0</v>
      </c>
      <c r="D2621" s="27">
        <v>45698.0</v>
      </c>
      <c r="E2621" s="26" t="s">
        <v>1121</v>
      </c>
      <c r="F2621" s="26" t="s">
        <v>1200</v>
      </c>
    </row>
    <row r="2622">
      <c r="A2622" s="26" t="s">
        <v>2315</v>
      </c>
      <c r="B2622" s="26" t="s">
        <v>1179</v>
      </c>
      <c r="C2622" s="27">
        <v>45698.0</v>
      </c>
      <c r="D2622" s="27">
        <v>45698.0</v>
      </c>
      <c r="E2622" s="26" t="s">
        <v>1121</v>
      </c>
      <c r="F2622" s="26" t="s">
        <v>1200</v>
      </c>
    </row>
    <row r="2623">
      <c r="A2623" s="26" t="s">
        <v>2315</v>
      </c>
      <c r="B2623" s="26" t="s">
        <v>1179</v>
      </c>
      <c r="C2623" s="27">
        <v>45698.0</v>
      </c>
      <c r="D2623" s="27">
        <v>45698.0</v>
      </c>
      <c r="E2623" s="26" t="s">
        <v>1121</v>
      </c>
      <c r="F2623" s="26" t="s">
        <v>1200</v>
      </c>
    </row>
    <row r="2624">
      <c r="A2624" s="26" t="s">
        <v>2316</v>
      </c>
      <c r="B2624" s="26" t="s">
        <v>483</v>
      </c>
      <c r="C2624" s="27">
        <v>45698.0</v>
      </c>
      <c r="D2624" s="27">
        <v>45698.0</v>
      </c>
      <c r="E2624" s="26" t="s">
        <v>1121</v>
      </c>
      <c r="F2624" s="26" t="s">
        <v>1200</v>
      </c>
    </row>
    <row r="2625">
      <c r="A2625" s="26" t="s">
        <v>2317</v>
      </c>
      <c r="B2625" s="26" t="s">
        <v>736</v>
      </c>
      <c r="C2625" s="27">
        <v>45696.0</v>
      </c>
      <c r="D2625" s="27">
        <v>45696.0</v>
      </c>
      <c r="E2625" s="26" t="s">
        <v>1121</v>
      </c>
      <c r="F2625" s="26" t="s">
        <v>1200</v>
      </c>
    </row>
    <row r="2626">
      <c r="A2626" s="26" t="s">
        <v>2317</v>
      </c>
      <c r="B2626" s="26" t="s">
        <v>736</v>
      </c>
      <c r="C2626" s="27">
        <v>45696.0</v>
      </c>
      <c r="D2626" s="27">
        <v>45696.0</v>
      </c>
      <c r="E2626" s="26" t="s">
        <v>1121</v>
      </c>
      <c r="F2626" s="26" t="s">
        <v>1200</v>
      </c>
    </row>
    <row r="2627">
      <c r="A2627" s="26" t="s">
        <v>2317</v>
      </c>
      <c r="B2627" s="26" t="s">
        <v>736</v>
      </c>
      <c r="C2627" s="27">
        <v>45696.0</v>
      </c>
      <c r="D2627" s="27">
        <v>45696.0</v>
      </c>
      <c r="E2627" s="26" t="s">
        <v>1121</v>
      </c>
      <c r="F2627" s="26" t="s">
        <v>1200</v>
      </c>
    </row>
    <row r="2628">
      <c r="A2628" s="26" t="s">
        <v>2317</v>
      </c>
      <c r="B2628" s="26" t="s">
        <v>736</v>
      </c>
      <c r="C2628" s="27">
        <v>45696.0</v>
      </c>
      <c r="D2628" s="27">
        <v>45696.0</v>
      </c>
      <c r="E2628" s="26" t="s">
        <v>1121</v>
      </c>
      <c r="F2628" s="26" t="s">
        <v>1200</v>
      </c>
    </row>
    <row r="2629">
      <c r="A2629" s="26" t="s">
        <v>2318</v>
      </c>
      <c r="B2629" s="26" t="s">
        <v>478</v>
      </c>
      <c r="C2629" s="27">
        <v>45696.0</v>
      </c>
      <c r="D2629" s="27">
        <v>45696.0</v>
      </c>
      <c r="E2629" s="26" t="s">
        <v>1121</v>
      </c>
      <c r="F2629" s="26" t="s">
        <v>1200</v>
      </c>
    </row>
    <row r="2630">
      <c r="A2630" s="26" t="s">
        <v>2318</v>
      </c>
      <c r="B2630" s="26" t="s">
        <v>478</v>
      </c>
      <c r="C2630" s="27">
        <v>45696.0</v>
      </c>
      <c r="D2630" s="27">
        <v>45696.0</v>
      </c>
      <c r="E2630" s="26" t="s">
        <v>1121</v>
      </c>
      <c r="F2630" s="26" t="s">
        <v>1200</v>
      </c>
    </row>
    <row r="2631">
      <c r="A2631" s="26" t="s">
        <v>2319</v>
      </c>
      <c r="B2631" s="26" t="s">
        <v>512</v>
      </c>
      <c r="C2631" s="27">
        <v>45696.0</v>
      </c>
      <c r="D2631" s="27">
        <v>45696.0</v>
      </c>
      <c r="E2631" s="26" t="s">
        <v>1121</v>
      </c>
      <c r="F2631" s="26" t="s">
        <v>1200</v>
      </c>
    </row>
    <row r="2632">
      <c r="A2632" s="26" t="s">
        <v>2320</v>
      </c>
      <c r="B2632" s="26" t="s">
        <v>435</v>
      </c>
      <c r="C2632" s="27">
        <v>45695.0</v>
      </c>
      <c r="D2632" s="27">
        <v>45695.0</v>
      </c>
      <c r="E2632" s="26" t="s">
        <v>1121</v>
      </c>
      <c r="F2632" s="26" t="s">
        <v>1200</v>
      </c>
    </row>
    <row r="2633">
      <c r="A2633" s="26" t="s">
        <v>2321</v>
      </c>
      <c r="B2633" s="26" t="s">
        <v>1574</v>
      </c>
      <c r="C2633" s="27">
        <v>45695.0</v>
      </c>
      <c r="D2633" s="27">
        <v>45695.0</v>
      </c>
      <c r="E2633" s="26" t="s">
        <v>1121</v>
      </c>
      <c r="F2633" s="26" t="s">
        <v>1200</v>
      </c>
    </row>
    <row r="2634">
      <c r="A2634" s="26" t="s">
        <v>2321</v>
      </c>
      <c r="B2634" s="26" t="s">
        <v>1574</v>
      </c>
      <c r="C2634" s="27">
        <v>45695.0</v>
      </c>
      <c r="D2634" s="27">
        <v>45695.0</v>
      </c>
      <c r="E2634" s="26" t="s">
        <v>1121</v>
      </c>
      <c r="F2634" s="26" t="s">
        <v>1200</v>
      </c>
    </row>
    <row r="2635">
      <c r="A2635" s="26" t="s">
        <v>2322</v>
      </c>
      <c r="B2635" s="26" t="s">
        <v>467</v>
      </c>
      <c r="C2635" s="27">
        <v>45695.0</v>
      </c>
      <c r="D2635" s="27">
        <v>45695.0</v>
      </c>
      <c r="E2635" s="26" t="s">
        <v>1121</v>
      </c>
      <c r="F2635" s="26" t="s">
        <v>1200</v>
      </c>
    </row>
    <row r="2636">
      <c r="A2636" s="26" t="s">
        <v>2323</v>
      </c>
      <c r="B2636" s="26" t="s">
        <v>745</v>
      </c>
      <c r="C2636" s="27">
        <v>45694.0</v>
      </c>
      <c r="D2636" s="27">
        <v>45694.0</v>
      </c>
      <c r="E2636" s="26" t="s">
        <v>1121</v>
      </c>
      <c r="F2636" s="26" t="s">
        <v>1200</v>
      </c>
    </row>
    <row r="2637">
      <c r="A2637" s="26" t="s">
        <v>2323</v>
      </c>
      <c r="B2637" s="26" t="s">
        <v>745</v>
      </c>
      <c r="C2637" s="27">
        <v>45694.0</v>
      </c>
      <c r="D2637" s="27">
        <v>45694.0</v>
      </c>
      <c r="E2637" s="26" t="s">
        <v>1121</v>
      </c>
      <c r="F2637" s="26" t="s">
        <v>1200</v>
      </c>
    </row>
    <row r="2638">
      <c r="A2638" s="26" t="s">
        <v>2323</v>
      </c>
      <c r="B2638" s="26" t="s">
        <v>745</v>
      </c>
      <c r="C2638" s="27">
        <v>45694.0</v>
      </c>
      <c r="D2638" s="27">
        <v>45694.0</v>
      </c>
      <c r="E2638" s="26" t="s">
        <v>1121</v>
      </c>
      <c r="F2638" s="26" t="s">
        <v>1200</v>
      </c>
    </row>
    <row r="2639">
      <c r="A2639" s="26" t="s">
        <v>2323</v>
      </c>
      <c r="B2639" s="26" t="s">
        <v>745</v>
      </c>
      <c r="C2639" s="27">
        <v>45694.0</v>
      </c>
      <c r="D2639" s="27">
        <v>45694.0</v>
      </c>
      <c r="E2639" s="26" t="s">
        <v>1121</v>
      </c>
      <c r="F2639" s="26" t="s">
        <v>1200</v>
      </c>
    </row>
    <row r="2640">
      <c r="A2640" s="26" t="s">
        <v>2323</v>
      </c>
      <c r="B2640" s="26" t="s">
        <v>745</v>
      </c>
      <c r="C2640" s="27">
        <v>45694.0</v>
      </c>
      <c r="D2640" s="27">
        <v>45694.0</v>
      </c>
      <c r="E2640" s="26" t="s">
        <v>1121</v>
      </c>
      <c r="F2640" s="26" t="s">
        <v>1200</v>
      </c>
    </row>
    <row r="2641">
      <c r="A2641" s="26" t="s">
        <v>2324</v>
      </c>
      <c r="B2641" s="26" t="s">
        <v>580</v>
      </c>
      <c r="C2641" s="27">
        <v>45693.0</v>
      </c>
      <c r="D2641" s="27">
        <v>45693.0</v>
      </c>
      <c r="E2641" s="26" t="s">
        <v>1121</v>
      </c>
      <c r="F2641" s="26" t="s">
        <v>1200</v>
      </c>
    </row>
    <row r="2642">
      <c r="A2642" s="26" t="s">
        <v>2325</v>
      </c>
      <c r="B2642" s="26" t="s">
        <v>428</v>
      </c>
      <c r="C2642" s="27">
        <v>45692.0</v>
      </c>
      <c r="D2642" s="27">
        <v>45692.0</v>
      </c>
      <c r="E2642" s="26" t="s">
        <v>1121</v>
      </c>
      <c r="F2642" s="26" t="s">
        <v>1200</v>
      </c>
    </row>
    <row r="2643">
      <c r="A2643" s="26" t="s">
        <v>2326</v>
      </c>
      <c r="B2643" s="26" t="s">
        <v>432</v>
      </c>
      <c r="C2643" s="27">
        <v>45692.0</v>
      </c>
      <c r="D2643" s="27">
        <v>45692.0</v>
      </c>
      <c r="E2643" s="26" t="s">
        <v>1121</v>
      </c>
      <c r="F2643" s="26" t="s">
        <v>1200</v>
      </c>
    </row>
    <row r="2644">
      <c r="A2644" s="26" t="s">
        <v>2327</v>
      </c>
      <c r="B2644" s="26" t="s">
        <v>467</v>
      </c>
      <c r="C2644" s="27">
        <v>45692.0</v>
      </c>
      <c r="D2644" s="27">
        <v>45692.0</v>
      </c>
      <c r="E2644" s="26" t="s">
        <v>1121</v>
      </c>
      <c r="F2644" s="26" t="s">
        <v>1200</v>
      </c>
    </row>
    <row r="2645">
      <c r="A2645" s="26" t="s">
        <v>2328</v>
      </c>
      <c r="B2645" s="26" t="s">
        <v>1306</v>
      </c>
      <c r="C2645" s="27">
        <v>45692.0</v>
      </c>
      <c r="D2645" s="27">
        <v>45692.0</v>
      </c>
      <c r="E2645" s="26" t="s">
        <v>1121</v>
      </c>
      <c r="F2645" s="26" t="s">
        <v>1200</v>
      </c>
    </row>
    <row r="2646">
      <c r="A2646" s="26" t="s">
        <v>2328</v>
      </c>
      <c r="B2646" s="26" t="s">
        <v>1306</v>
      </c>
      <c r="C2646" s="27">
        <v>45692.0</v>
      </c>
      <c r="D2646" s="27">
        <v>45692.0</v>
      </c>
      <c r="E2646" s="26" t="s">
        <v>1121</v>
      </c>
      <c r="F2646" s="26" t="s">
        <v>1200</v>
      </c>
    </row>
    <row r="2647">
      <c r="A2647" s="26" t="s">
        <v>2328</v>
      </c>
      <c r="B2647" s="26" t="s">
        <v>1306</v>
      </c>
      <c r="C2647" s="27">
        <v>45692.0</v>
      </c>
      <c r="D2647" s="27">
        <v>45692.0</v>
      </c>
      <c r="E2647" s="26" t="s">
        <v>1121</v>
      </c>
      <c r="F2647" s="26" t="s">
        <v>1200</v>
      </c>
    </row>
    <row r="2648">
      <c r="A2648" s="26" t="s">
        <v>2329</v>
      </c>
      <c r="B2648" s="26" t="s">
        <v>516</v>
      </c>
      <c r="C2648" s="27">
        <v>45691.0</v>
      </c>
      <c r="D2648" s="27">
        <v>45691.0</v>
      </c>
      <c r="E2648" s="26" t="s">
        <v>1121</v>
      </c>
      <c r="F2648" s="26" t="s">
        <v>1200</v>
      </c>
    </row>
    <row r="2649">
      <c r="A2649" s="26" t="s">
        <v>2329</v>
      </c>
      <c r="B2649" s="26" t="s">
        <v>516</v>
      </c>
      <c r="C2649" s="27">
        <v>45691.0</v>
      </c>
      <c r="D2649" s="27">
        <v>45691.0</v>
      </c>
      <c r="E2649" s="26" t="s">
        <v>1121</v>
      </c>
      <c r="F2649" s="26" t="s">
        <v>1200</v>
      </c>
    </row>
    <row r="2650">
      <c r="A2650" s="26" t="s">
        <v>2329</v>
      </c>
      <c r="B2650" s="26" t="s">
        <v>516</v>
      </c>
      <c r="C2650" s="27">
        <v>45691.0</v>
      </c>
      <c r="D2650" s="27">
        <v>45691.0</v>
      </c>
      <c r="E2650" s="26" t="s">
        <v>1121</v>
      </c>
      <c r="F2650" s="26" t="s">
        <v>1200</v>
      </c>
    </row>
    <row r="2651">
      <c r="A2651" s="26" t="s">
        <v>2329</v>
      </c>
      <c r="B2651" s="26" t="s">
        <v>516</v>
      </c>
      <c r="C2651" s="27">
        <v>45691.0</v>
      </c>
      <c r="D2651" s="27">
        <v>45691.0</v>
      </c>
      <c r="E2651" s="26" t="s">
        <v>1121</v>
      </c>
      <c r="F2651" s="26" t="s">
        <v>1200</v>
      </c>
    </row>
    <row r="2652">
      <c r="A2652" s="26" t="s">
        <v>2330</v>
      </c>
      <c r="B2652" s="26" t="s">
        <v>546</v>
      </c>
      <c r="C2652" s="27">
        <v>45691.0</v>
      </c>
      <c r="D2652" s="27">
        <v>45691.0</v>
      </c>
      <c r="E2652" s="26" t="s">
        <v>1121</v>
      </c>
      <c r="F2652" s="26" t="s">
        <v>1200</v>
      </c>
    </row>
    <row r="2653">
      <c r="A2653" s="26" t="s">
        <v>2330</v>
      </c>
      <c r="B2653" s="26" t="s">
        <v>546</v>
      </c>
      <c r="C2653" s="27">
        <v>45691.0</v>
      </c>
      <c r="D2653" s="27">
        <v>45691.0</v>
      </c>
      <c r="E2653" s="26" t="s">
        <v>1121</v>
      </c>
      <c r="F2653" s="26" t="s">
        <v>1200</v>
      </c>
    </row>
    <row r="2654">
      <c r="A2654" s="26" t="s">
        <v>2330</v>
      </c>
      <c r="B2654" s="26" t="s">
        <v>546</v>
      </c>
      <c r="C2654" s="27">
        <v>45691.0</v>
      </c>
      <c r="D2654" s="27">
        <v>45691.0</v>
      </c>
      <c r="E2654" s="26" t="s">
        <v>1121</v>
      </c>
      <c r="F2654" s="26" t="s">
        <v>1200</v>
      </c>
    </row>
    <row r="2655">
      <c r="A2655" s="26" t="s">
        <v>2330</v>
      </c>
      <c r="B2655" s="26" t="s">
        <v>546</v>
      </c>
      <c r="C2655" s="27">
        <v>45691.0</v>
      </c>
      <c r="D2655" s="27">
        <v>45691.0</v>
      </c>
      <c r="E2655" s="26" t="s">
        <v>1121</v>
      </c>
      <c r="F2655" s="26" t="s">
        <v>1200</v>
      </c>
    </row>
    <row r="2656">
      <c r="A2656" s="26" t="s">
        <v>2331</v>
      </c>
      <c r="B2656" s="26" t="s">
        <v>595</v>
      </c>
      <c r="C2656" s="27">
        <v>45691.0</v>
      </c>
      <c r="D2656" s="27">
        <v>45691.0</v>
      </c>
      <c r="E2656" s="26" t="s">
        <v>1121</v>
      </c>
      <c r="F2656" s="26" t="s">
        <v>1200</v>
      </c>
    </row>
    <row r="2657">
      <c r="A2657" s="26" t="s">
        <v>2332</v>
      </c>
      <c r="B2657" s="26" t="s">
        <v>2298</v>
      </c>
      <c r="C2657" s="27">
        <v>45691.0</v>
      </c>
      <c r="D2657" s="27">
        <v>45691.0</v>
      </c>
      <c r="E2657" s="26" t="s">
        <v>1121</v>
      </c>
      <c r="F2657" s="26" t="s">
        <v>1200</v>
      </c>
    </row>
    <row r="2658">
      <c r="A2658" s="26" t="s">
        <v>2333</v>
      </c>
      <c r="B2658" s="26" t="s">
        <v>435</v>
      </c>
      <c r="C2658" s="27">
        <v>45681.0</v>
      </c>
      <c r="D2658" s="27">
        <v>45681.0</v>
      </c>
      <c r="E2658" s="26" t="s">
        <v>1121</v>
      </c>
      <c r="F2658" s="26" t="s">
        <v>1200</v>
      </c>
    </row>
    <row r="2659">
      <c r="A2659" s="26" t="s">
        <v>2334</v>
      </c>
      <c r="B2659" s="26" t="s">
        <v>444</v>
      </c>
      <c r="C2659" s="27">
        <v>45681.0</v>
      </c>
      <c r="D2659" s="27">
        <v>45681.0</v>
      </c>
      <c r="E2659" s="26" t="s">
        <v>1121</v>
      </c>
      <c r="F2659" s="26" t="s">
        <v>1200</v>
      </c>
    </row>
    <row r="2660">
      <c r="A2660" s="26" t="s">
        <v>2335</v>
      </c>
      <c r="B2660" s="26" t="s">
        <v>542</v>
      </c>
      <c r="C2660" s="27">
        <v>45680.0</v>
      </c>
      <c r="D2660" s="27">
        <v>45680.0</v>
      </c>
      <c r="E2660" s="26" t="s">
        <v>1121</v>
      </c>
      <c r="F2660" s="26" t="s">
        <v>1200</v>
      </c>
    </row>
    <row r="2661">
      <c r="A2661" s="26" t="s">
        <v>2335</v>
      </c>
      <c r="B2661" s="26" t="s">
        <v>542</v>
      </c>
      <c r="C2661" s="27">
        <v>45680.0</v>
      </c>
      <c r="D2661" s="27">
        <v>45680.0</v>
      </c>
      <c r="E2661" s="26" t="s">
        <v>1121</v>
      </c>
      <c r="F2661" s="26" t="s">
        <v>1200</v>
      </c>
    </row>
    <row r="2662">
      <c r="A2662" s="26" t="s">
        <v>2335</v>
      </c>
      <c r="B2662" s="26" t="s">
        <v>542</v>
      </c>
      <c r="C2662" s="27">
        <v>45680.0</v>
      </c>
      <c r="D2662" s="27">
        <v>45680.0</v>
      </c>
      <c r="E2662" s="26" t="s">
        <v>1121</v>
      </c>
      <c r="F2662" s="26" t="s">
        <v>1200</v>
      </c>
    </row>
    <row r="2663">
      <c r="A2663" s="26" t="s">
        <v>2336</v>
      </c>
      <c r="B2663" s="26" t="s">
        <v>752</v>
      </c>
      <c r="C2663" s="27">
        <v>45680.0</v>
      </c>
      <c r="D2663" s="27">
        <v>45680.0</v>
      </c>
      <c r="E2663" s="26" t="s">
        <v>1121</v>
      </c>
      <c r="F2663" s="26" t="s">
        <v>1200</v>
      </c>
    </row>
    <row r="2664">
      <c r="A2664" s="26" t="s">
        <v>2336</v>
      </c>
      <c r="B2664" s="26" t="s">
        <v>752</v>
      </c>
      <c r="C2664" s="27">
        <v>45680.0</v>
      </c>
      <c r="D2664" s="27">
        <v>45680.0</v>
      </c>
      <c r="E2664" s="26" t="s">
        <v>1121</v>
      </c>
      <c r="F2664" s="26" t="s">
        <v>1200</v>
      </c>
    </row>
    <row r="2665">
      <c r="A2665" s="26" t="s">
        <v>2336</v>
      </c>
      <c r="B2665" s="26" t="s">
        <v>752</v>
      </c>
      <c r="C2665" s="27">
        <v>45680.0</v>
      </c>
      <c r="D2665" s="27">
        <v>45680.0</v>
      </c>
      <c r="E2665" s="26" t="s">
        <v>1121</v>
      </c>
      <c r="F2665" s="26" t="s">
        <v>1200</v>
      </c>
    </row>
    <row r="2666">
      <c r="A2666" s="26" t="s">
        <v>2336</v>
      </c>
      <c r="B2666" s="26" t="s">
        <v>752</v>
      </c>
      <c r="C2666" s="27">
        <v>45680.0</v>
      </c>
      <c r="D2666" s="27">
        <v>45680.0</v>
      </c>
      <c r="E2666" s="26" t="s">
        <v>1121</v>
      </c>
      <c r="F2666" s="26" t="s">
        <v>1200</v>
      </c>
    </row>
    <row r="2667">
      <c r="A2667" s="26" t="s">
        <v>2337</v>
      </c>
      <c r="B2667" s="26" t="s">
        <v>1574</v>
      </c>
      <c r="C2667" s="27">
        <v>45680.0</v>
      </c>
      <c r="D2667" s="27">
        <v>45680.0</v>
      </c>
      <c r="E2667" s="26" t="s">
        <v>1121</v>
      </c>
      <c r="F2667" s="26" t="s">
        <v>1200</v>
      </c>
    </row>
    <row r="2668">
      <c r="A2668" s="26" t="s">
        <v>2338</v>
      </c>
      <c r="B2668" s="26" t="s">
        <v>461</v>
      </c>
      <c r="C2668" s="27">
        <v>45680.0</v>
      </c>
      <c r="D2668" s="27">
        <v>45680.0</v>
      </c>
      <c r="E2668" s="26" t="s">
        <v>1121</v>
      </c>
      <c r="F2668" s="26" t="s">
        <v>1200</v>
      </c>
    </row>
    <row r="2669">
      <c r="A2669" s="26" t="s">
        <v>2339</v>
      </c>
      <c r="B2669" s="26" t="s">
        <v>522</v>
      </c>
      <c r="C2669" s="27">
        <v>45680.0</v>
      </c>
      <c r="D2669" s="27">
        <v>45680.0</v>
      </c>
      <c r="E2669" s="26" t="s">
        <v>1121</v>
      </c>
      <c r="F2669" s="26" t="s">
        <v>1200</v>
      </c>
    </row>
    <row r="2670">
      <c r="A2670" s="26" t="s">
        <v>2339</v>
      </c>
      <c r="B2670" s="26" t="s">
        <v>522</v>
      </c>
      <c r="C2670" s="27">
        <v>45680.0</v>
      </c>
      <c r="D2670" s="27">
        <v>45680.0</v>
      </c>
      <c r="E2670" s="26" t="s">
        <v>1121</v>
      </c>
      <c r="F2670" s="26" t="s">
        <v>1200</v>
      </c>
    </row>
    <row r="2671">
      <c r="A2671" s="26" t="s">
        <v>2340</v>
      </c>
      <c r="B2671" s="26" t="s">
        <v>483</v>
      </c>
      <c r="C2671" s="27">
        <v>45680.0</v>
      </c>
      <c r="D2671" s="27">
        <v>45680.0</v>
      </c>
      <c r="E2671" s="26" t="s">
        <v>1121</v>
      </c>
      <c r="F2671" s="26" t="s">
        <v>1200</v>
      </c>
    </row>
    <row r="2672">
      <c r="A2672" s="26" t="s">
        <v>2340</v>
      </c>
      <c r="B2672" s="26" t="s">
        <v>483</v>
      </c>
      <c r="C2672" s="27">
        <v>45680.0</v>
      </c>
      <c r="D2672" s="27">
        <v>45680.0</v>
      </c>
      <c r="E2672" s="26" t="s">
        <v>1121</v>
      </c>
      <c r="F2672" s="26" t="s">
        <v>1200</v>
      </c>
    </row>
    <row r="2673">
      <c r="A2673" s="26" t="s">
        <v>2341</v>
      </c>
      <c r="B2673" s="26" t="s">
        <v>1304</v>
      </c>
      <c r="C2673" s="27">
        <v>45680.0</v>
      </c>
      <c r="D2673" s="27">
        <v>45680.0</v>
      </c>
      <c r="E2673" s="26" t="s">
        <v>1121</v>
      </c>
      <c r="F2673" s="26" t="s">
        <v>1200</v>
      </c>
    </row>
    <row r="2674">
      <c r="A2674" s="26" t="s">
        <v>2341</v>
      </c>
      <c r="B2674" s="26" t="s">
        <v>1304</v>
      </c>
      <c r="C2674" s="27">
        <v>45680.0</v>
      </c>
      <c r="D2674" s="27">
        <v>45680.0</v>
      </c>
      <c r="E2674" s="26" t="s">
        <v>1121</v>
      </c>
      <c r="F2674" s="26" t="s">
        <v>1200</v>
      </c>
    </row>
    <row r="2675">
      <c r="A2675" s="26" t="s">
        <v>2342</v>
      </c>
      <c r="B2675" s="26" t="s">
        <v>2343</v>
      </c>
      <c r="C2675" s="27">
        <v>45680.0</v>
      </c>
      <c r="D2675" s="27">
        <v>45680.0</v>
      </c>
      <c r="E2675" s="26" t="s">
        <v>1121</v>
      </c>
      <c r="F2675" s="26" t="s">
        <v>1200</v>
      </c>
    </row>
    <row r="2676">
      <c r="A2676" s="26" t="s">
        <v>2342</v>
      </c>
      <c r="B2676" s="26" t="s">
        <v>2343</v>
      </c>
      <c r="C2676" s="27">
        <v>45680.0</v>
      </c>
      <c r="D2676" s="27">
        <v>45680.0</v>
      </c>
      <c r="E2676" s="26" t="s">
        <v>1121</v>
      </c>
      <c r="F2676" s="26" t="s">
        <v>1200</v>
      </c>
    </row>
    <row r="2677">
      <c r="A2677" s="26" t="s">
        <v>2342</v>
      </c>
      <c r="B2677" s="26" t="s">
        <v>2343</v>
      </c>
      <c r="C2677" s="27">
        <v>45680.0</v>
      </c>
      <c r="D2677" s="27">
        <v>45680.0</v>
      </c>
      <c r="E2677" s="26" t="s">
        <v>1121</v>
      </c>
      <c r="F2677" s="26" t="s">
        <v>1200</v>
      </c>
    </row>
    <row r="2678">
      <c r="A2678" s="26" t="s">
        <v>2342</v>
      </c>
      <c r="B2678" s="26" t="s">
        <v>2343</v>
      </c>
      <c r="C2678" s="27">
        <v>45680.0</v>
      </c>
      <c r="D2678" s="27">
        <v>45680.0</v>
      </c>
      <c r="E2678" s="26" t="s">
        <v>1121</v>
      </c>
      <c r="F2678" s="26" t="s">
        <v>1200</v>
      </c>
    </row>
    <row r="2679">
      <c r="A2679" s="26" t="s">
        <v>2342</v>
      </c>
      <c r="B2679" s="26" t="s">
        <v>2343</v>
      </c>
      <c r="C2679" s="27">
        <v>45680.0</v>
      </c>
      <c r="D2679" s="27">
        <v>45680.0</v>
      </c>
      <c r="E2679" s="26" t="s">
        <v>1121</v>
      </c>
      <c r="F2679" s="26" t="s">
        <v>1200</v>
      </c>
    </row>
    <row r="2680">
      <c r="A2680" s="26" t="s">
        <v>2344</v>
      </c>
      <c r="B2680" s="26" t="s">
        <v>1300</v>
      </c>
      <c r="C2680" s="27">
        <v>45680.0</v>
      </c>
      <c r="D2680" s="27">
        <v>45680.0</v>
      </c>
      <c r="E2680" s="26" t="s">
        <v>1121</v>
      </c>
      <c r="F2680" s="26" t="s">
        <v>1200</v>
      </c>
    </row>
    <row r="2681">
      <c r="A2681" s="26" t="s">
        <v>2344</v>
      </c>
      <c r="B2681" s="26" t="s">
        <v>1300</v>
      </c>
      <c r="C2681" s="27">
        <v>45680.0</v>
      </c>
      <c r="D2681" s="27">
        <v>45680.0</v>
      </c>
      <c r="E2681" s="26" t="s">
        <v>1121</v>
      </c>
      <c r="F2681" s="26" t="s">
        <v>1200</v>
      </c>
    </row>
    <row r="2682">
      <c r="A2682" s="26" t="s">
        <v>2344</v>
      </c>
      <c r="B2682" s="26" t="s">
        <v>1300</v>
      </c>
      <c r="C2682" s="27">
        <v>45680.0</v>
      </c>
      <c r="D2682" s="27">
        <v>45680.0</v>
      </c>
      <c r="E2682" s="26" t="s">
        <v>1121</v>
      </c>
      <c r="F2682" s="26" t="s">
        <v>1200</v>
      </c>
    </row>
    <row r="2683">
      <c r="A2683" s="26" t="s">
        <v>2344</v>
      </c>
      <c r="B2683" s="26" t="s">
        <v>1300</v>
      </c>
      <c r="C2683" s="27">
        <v>45680.0</v>
      </c>
      <c r="D2683" s="27">
        <v>45680.0</v>
      </c>
      <c r="E2683" s="26" t="s">
        <v>1121</v>
      </c>
      <c r="F2683" s="26" t="s">
        <v>1200</v>
      </c>
    </row>
    <row r="2684">
      <c r="A2684" s="26" t="s">
        <v>2345</v>
      </c>
      <c r="B2684" s="26" t="s">
        <v>546</v>
      </c>
      <c r="C2684" s="27">
        <v>45679.0</v>
      </c>
      <c r="D2684" s="27">
        <v>45679.0</v>
      </c>
      <c r="E2684" s="26" t="s">
        <v>1121</v>
      </c>
      <c r="F2684" s="26" t="s">
        <v>1200</v>
      </c>
    </row>
    <row r="2685">
      <c r="A2685" s="26" t="s">
        <v>2346</v>
      </c>
      <c r="B2685" s="26" t="s">
        <v>1574</v>
      </c>
      <c r="C2685" s="27">
        <v>45679.0</v>
      </c>
      <c r="D2685" s="27">
        <v>45679.0</v>
      </c>
      <c r="E2685" s="26" t="s">
        <v>1121</v>
      </c>
      <c r="F2685" s="26" t="s">
        <v>1200</v>
      </c>
    </row>
    <row r="2686">
      <c r="A2686" s="26" t="s">
        <v>2346</v>
      </c>
      <c r="B2686" s="26" t="s">
        <v>1574</v>
      </c>
      <c r="C2686" s="27">
        <v>45679.0</v>
      </c>
      <c r="D2686" s="27">
        <v>45679.0</v>
      </c>
      <c r="E2686" s="26" t="s">
        <v>1121</v>
      </c>
      <c r="F2686" s="26" t="s">
        <v>1200</v>
      </c>
    </row>
    <row r="2687">
      <c r="A2687" s="26" t="s">
        <v>2346</v>
      </c>
      <c r="B2687" s="26" t="s">
        <v>1574</v>
      </c>
      <c r="C2687" s="27">
        <v>45679.0</v>
      </c>
      <c r="D2687" s="27">
        <v>45679.0</v>
      </c>
      <c r="E2687" s="26" t="s">
        <v>1121</v>
      </c>
      <c r="F2687" s="26" t="s">
        <v>1200</v>
      </c>
    </row>
    <row r="2688">
      <c r="A2688" s="26" t="s">
        <v>2347</v>
      </c>
      <c r="B2688" s="26" t="s">
        <v>745</v>
      </c>
      <c r="C2688" s="27">
        <v>45678.0</v>
      </c>
      <c r="D2688" s="27">
        <v>45678.0</v>
      </c>
      <c r="E2688" s="26" t="s">
        <v>1121</v>
      </c>
      <c r="F2688" s="26" t="s">
        <v>1200</v>
      </c>
    </row>
    <row r="2689">
      <c r="A2689" s="26" t="s">
        <v>2347</v>
      </c>
      <c r="B2689" s="26" t="s">
        <v>745</v>
      </c>
      <c r="C2689" s="27">
        <v>45678.0</v>
      </c>
      <c r="D2689" s="27">
        <v>45678.0</v>
      </c>
      <c r="E2689" s="26" t="s">
        <v>1121</v>
      </c>
      <c r="F2689" s="26" t="s">
        <v>1200</v>
      </c>
    </row>
    <row r="2690">
      <c r="A2690" s="26" t="s">
        <v>2347</v>
      </c>
      <c r="B2690" s="26" t="s">
        <v>745</v>
      </c>
      <c r="C2690" s="27">
        <v>45678.0</v>
      </c>
      <c r="D2690" s="27">
        <v>45678.0</v>
      </c>
      <c r="E2690" s="26" t="s">
        <v>1121</v>
      </c>
      <c r="F2690" s="26" t="s">
        <v>1200</v>
      </c>
    </row>
    <row r="2691">
      <c r="A2691" s="26" t="s">
        <v>2347</v>
      </c>
      <c r="B2691" s="26" t="s">
        <v>745</v>
      </c>
      <c r="C2691" s="27">
        <v>45678.0</v>
      </c>
      <c r="D2691" s="27">
        <v>45678.0</v>
      </c>
      <c r="E2691" s="26" t="s">
        <v>1121</v>
      </c>
      <c r="F2691" s="26" t="s">
        <v>1200</v>
      </c>
    </row>
    <row r="2692">
      <c r="A2692" s="26" t="s">
        <v>2348</v>
      </c>
      <c r="B2692" s="26" t="s">
        <v>2142</v>
      </c>
      <c r="C2692" s="27">
        <v>45678.0</v>
      </c>
      <c r="D2692" s="27">
        <v>45678.0</v>
      </c>
      <c r="E2692" s="26" t="s">
        <v>1121</v>
      </c>
      <c r="F2692" s="26" t="s">
        <v>1200</v>
      </c>
    </row>
    <row r="2693">
      <c r="A2693" s="26" t="s">
        <v>2349</v>
      </c>
      <c r="B2693" s="26" t="s">
        <v>428</v>
      </c>
      <c r="C2693" s="27">
        <v>45678.0</v>
      </c>
      <c r="D2693" s="27">
        <v>45678.0</v>
      </c>
      <c r="E2693" s="26" t="s">
        <v>1121</v>
      </c>
      <c r="F2693" s="26" t="s">
        <v>1200</v>
      </c>
    </row>
    <row r="2694">
      <c r="A2694" s="26" t="s">
        <v>2350</v>
      </c>
      <c r="B2694" s="26" t="s">
        <v>432</v>
      </c>
      <c r="C2694" s="27">
        <v>45678.0</v>
      </c>
      <c r="D2694" s="27">
        <v>45678.0</v>
      </c>
      <c r="E2694" s="26" t="s">
        <v>1121</v>
      </c>
      <c r="F2694" s="26" t="s">
        <v>1200</v>
      </c>
    </row>
    <row r="2695">
      <c r="A2695" s="26" t="s">
        <v>2351</v>
      </c>
      <c r="B2695" s="26" t="s">
        <v>444</v>
      </c>
      <c r="C2695" s="27">
        <v>45678.0</v>
      </c>
      <c r="D2695" s="27">
        <v>45678.0</v>
      </c>
      <c r="E2695" s="26" t="s">
        <v>1121</v>
      </c>
      <c r="F2695" s="26" t="s">
        <v>1200</v>
      </c>
    </row>
    <row r="2696">
      <c r="A2696" s="26" t="s">
        <v>2351</v>
      </c>
      <c r="B2696" s="26" t="s">
        <v>444</v>
      </c>
      <c r="C2696" s="27">
        <v>45678.0</v>
      </c>
      <c r="D2696" s="27">
        <v>45678.0</v>
      </c>
      <c r="E2696" s="26" t="s">
        <v>1121</v>
      </c>
      <c r="F2696" s="26" t="s">
        <v>1200</v>
      </c>
    </row>
    <row r="2697">
      <c r="A2697" s="26" t="s">
        <v>2351</v>
      </c>
      <c r="B2697" s="26" t="s">
        <v>444</v>
      </c>
      <c r="C2697" s="27">
        <v>45678.0</v>
      </c>
      <c r="D2697" s="27">
        <v>45678.0</v>
      </c>
      <c r="E2697" s="26" t="s">
        <v>1121</v>
      </c>
      <c r="F2697" s="26" t="s">
        <v>1200</v>
      </c>
    </row>
    <row r="2698">
      <c r="A2698" s="26" t="s">
        <v>2351</v>
      </c>
      <c r="B2698" s="26" t="s">
        <v>444</v>
      </c>
      <c r="C2698" s="27">
        <v>45678.0</v>
      </c>
      <c r="D2698" s="27">
        <v>45678.0</v>
      </c>
      <c r="E2698" s="26" t="s">
        <v>1121</v>
      </c>
      <c r="F2698" s="26" t="s">
        <v>1200</v>
      </c>
    </row>
    <row r="2699">
      <c r="A2699" s="26" t="s">
        <v>2352</v>
      </c>
      <c r="B2699" s="26" t="s">
        <v>2353</v>
      </c>
      <c r="C2699" s="27">
        <v>45678.0</v>
      </c>
      <c r="D2699" s="27">
        <v>45678.0</v>
      </c>
      <c r="E2699" s="26" t="s">
        <v>1121</v>
      </c>
      <c r="F2699" s="26" t="s">
        <v>1200</v>
      </c>
    </row>
    <row r="2700">
      <c r="A2700" s="26" t="s">
        <v>2354</v>
      </c>
      <c r="B2700" s="26" t="s">
        <v>546</v>
      </c>
      <c r="C2700" s="27">
        <v>45678.0</v>
      </c>
      <c r="D2700" s="27">
        <v>45678.0</v>
      </c>
      <c r="E2700" s="26" t="s">
        <v>1121</v>
      </c>
      <c r="F2700" s="26" t="s">
        <v>1200</v>
      </c>
    </row>
    <row r="2701">
      <c r="A2701" s="26" t="s">
        <v>2355</v>
      </c>
      <c r="B2701" s="26" t="s">
        <v>483</v>
      </c>
      <c r="C2701" s="27">
        <v>45678.0</v>
      </c>
      <c r="D2701" s="27">
        <v>45678.0</v>
      </c>
      <c r="E2701" s="26" t="s">
        <v>1121</v>
      </c>
      <c r="F2701" s="26" t="s">
        <v>1200</v>
      </c>
    </row>
    <row r="2702">
      <c r="A2702" s="26" t="s">
        <v>2356</v>
      </c>
      <c r="B2702" s="26" t="s">
        <v>1319</v>
      </c>
      <c r="C2702" s="27">
        <v>45677.0</v>
      </c>
      <c r="D2702" s="27">
        <v>45677.0</v>
      </c>
      <c r="E2702" s="26" t="s">
        <v>1121</v>
      </c>
      <c r="F2702" s="26" t="s">
        <v>1200</v>
      </c>
    </row>
    <row r="2703">
      <c r="A2703" s="26" t="s">
        <v>2356</v>
      </c>
      <c r="B2703" s="26" t="s">
        <v>1319</v>
      </c>
      <c r="C2703" s="27">
        <v>45677.0</v>
      </c>
      <c r="D2703" s="27">
        <v>45677.0</v>
      </c>
      <c r="E2703" s="26" t="s">
        <v>1121</v>
      </c>
      <c r="F2703" s="26" t="s">
        <v>1200</v>
      </c>
    </row>
    <row r="2704">
      <c r="A2704" s="26" t="s">
        <v>2357</v>
      </c>
      <c r="B2704" s="26" t="s">
        <v>361</v>
      </c>
      <c r="C2704" s="27">
        <v>45677.0</v>
      </c>
      <c r="D2704" s="27">
        <v>45677.0</v>
      </c>
      <c r="E2704" s="26" t="s">
        <v>1121</v>
      </c>
      <c r="F2704" s="26" t="s">
        <v>1200</v>
      </c>
    </row>
    <row r="2705">
      <c r="A2705" s="26" t="s">
        <v>2357</v>
      </c>
      <c r="B2705" s="26" t="s">
        <v>361</v>
      </c>
      <c r="C2705" s="27">
        <v>45677.0</v>
      </c>
      <c r="D2705" s="27">
        <v>45677.0</v>
      </c>
      <c r="E2705" s="26" t="s">
        <v>1121</v>
      </c>
      <c r="F2705" s="26" t="s">
        <v>1200</v>
      </c>
    </row>
    <row r="2706">
      <c r="A2706" s="26" t="s">
        <v>2357</v>
      </c>
      <c r="B2706" s="26" t="s">
        <v>361</v>
      </c>
      <c r="C2706" s="27">
        <v>45677.0</v>
      </c>
      <c r="D2706" s="27">
        <v>45677.0</v>
      </c>
      <c r="E2706" s="26" t="s">
        <v>1121</v>
      </c>
      <c r="F2706" s="26" t="s">
        <v>1200</v>
      </c>
    </row>
    <row r="2707">
      <c r="A2707" s="26" t="s">
        <v>2357</v>
      </c>
      <c r="B2707" s="26" t="s">
        <v>361</v>
      </c>
      <c r="C2707" s="27">
        <v>45677.0</v>
      </c>
      <c r="D2707" s="27">
        <v>45677.0</v>
      </c>
      <c r="E2707" s="26" t="s">
        <v>1121</v>
      </c>
      <c r="F2707" s="26" t="s">
        <v>1200</v>
      </c>
    </row>
    <row r="2708">
      <c r="A2708" s="26" t="s">
        <v>2358</v>
      </c>
      <c r="B2708" s="26" t="s">
        <v>546</v>
      </c>
      <c r="C2708" s="27">
        <v>45677.0</v>
      </c>
      <c r="D2708" s="27">
        <v>45677.0</v>
      </c>
      <c r="E2708" s="26" t="s">
        <v>1121</v>
      </c>
      <c r="F2708" s="26" t="s">
        <v>1200</v>
      </c>
    </row>
    <row r="2709">
      <c r="A2709" s="26" t="s">
        <v>2358</v>
      </c>
      <c r="B2709" s="26" t="s">
        <v>546</v>
      </c>
      <c r="C2709" s="27">
        <v>45677.0</v>
      </c>
      <c r="D2709" s="27">
        <v>45677.0</v>
      </c>
      <c r="E2709" s="26" t="s">
        <v>1121</v>
      </c>
      <c r="F2709" s="26" t="s">
        <v>1200</v>
      </c>
    </row>
    <row r="2710">
      <c r="A2710" s="26" t="s">
        <v>2359</v>
      </c>
      <c r="B2710" s="26" t="s">
        <v>439</v>
      </c>
      <c r="C2710" s="27">
        <v>45677.0</v>
      </c>
      <c r="D2710" s="27">
        <v>45677.0</v>
      </c>
      <c r="E2710" s="26" t="s">
        <v>1121</v>
      </c>
      <c r="F2710" s="26" t="s">
        <v>1200</v>
      </c>
    </row>
    <row r="2711">
      <c r="A2711" s="26" t="s">
        <v>2360</v>
      </c>
      <c r="B2711" s="26" t="s">
        <v>1226</v>
      </c>
      <c r="C2711" s="27">
        <v>45675.0</v>
      </c>
      <c r="D2711" s="27">
        <v>45675.0</v>
      </c>
      <c r="E2711" s="26" t="s">
        <v>1121</v>
      </c>
      <c r="F2711" s="26" t="s">
        <v>1200</v>
      </c>
    </row>
    <row r="2712">
      <c r="A2712" s="26" t="s">
        <v>2360</v>
      </c>
      <c r="B2712" s="26" t="s">
        <v>1226</v>
      </c>
      <c r="C2712" s="27">
        <v>45675.0</v>
      </c>
      <c r="D2712" s="27">
        <v>45675.0</v>
      </c>
      <c r="E2712" s="26" t="s">
        <v>1121</v>
      </c>
      <c r="F2712" s="26" t="s">
        <v>1200</v>
      </c>
    </row>
    <row r="2713">
      <c r="A2713" s="26" t="s">
        <v>2360</v>
      </c>
      <c r="B2713" s="26" t="s">
        <v>1226</v>
      </c>
      <c r="C2713" s="27">
        <v>45675.0</v>
      </c>
      <c r="D2713" s="27">
        <v>45675.0</v>
      </c>
      <c r="E2713" s="26" t="s">
        <v>1121</v>
      </c>
      <c r="F2713" s="26" t="s">
        <v>1200</v>
      </c>
    </row>
    <row r="2714">
      <c r="A2714" s="26" t="s">
        <v>2360</v>
      </c>
      <c r="B2714" s="26" t="s">
        <v>1226</v>
      </c>
      <c r="C2714" s="27">
        <v>45675.0</v>
      </c>
      <c r="D2714" s="27">
        <v>45675.0</v>
      </c>
      <c r="E2714" s="26" t="s">
        <v>1121</v>
      </c>
      <c r="F2714" s="26" t="s">
        <v>1200</v>
      </c>
    </row>
    <row r="2715">
      <c r="A2715" s="26" t="s">
        <v>2360</v>
      </c>
      <c r="B2715" s="26" t="s">
        <v>1226</v>
      </c>
      <c r="C2715" s="27">
        <v>45675.0</v>
      </c>
      <c r="D2715" s="27">
        <v>45675.0</v>
      </c>
      <c r="E2715" s="26" t="s">
        <v>1121</v>
      </c>
      <c r="F2715" s="26" t="s">
        <v>1200</v>
      </c>
    </row>
    <row r="2716">
      <c r="A2716" s="26" t="s">
        <v>2360</v>
      </c>
      <c r="B2716" s="26" t="s">
        <v>1226</v>
      </c>
      <c r="C2716" s="27">
        <v>45675.0</v>
      </c>
      <c r="D2716" s="27">
        <v>45675.0</v>
      </c>
      <c r="E2716" s="26" t="s">
        <v>1121</v>
      </c>
      <c r="F2716" s="26" t="s">
        <v>1200</v>
      </c>
    </row>
    <row r="2717">
      <c r="A2717" s="26" t="s">
        <v>2361</v>
      </c>
      <c r="B2717" s="26" t="s">
        <v>340</v>
      </c>
      <c r="C2717" s="27">
        <v>45675.0</v>
      </c>
      <c r="D2717" s="27">
        <v>45675.0</v>
      </c>
      <c r="E2717" s="26" t="s">
        <v>1121</v>
      </c>
      <c r="F2717" s="26" t="s">
        <v>1200</v>
      </c>
    </row>
    <row r="2718">
      <c r="A2718" s="26" t="s">
        <v>2361</v>
      </c>
      <c r="B2718" s="26" t="s">
        <v>340</v>
      </c>
      <c r="C2718" s="27">
        <v>45675.0</v>
      </c>
      <c r="D2718" s="27">
        <v>45675.0</v>
      </c>
      <c r="E2718" s="26" t="s">
        <v>1121</v>
      </c>
      <c r="F2718" s="26" t="s">
        <v>1200</v>
      </c>
    </row>
    <row r="2719">
      <c r="A2719" s="26" t="s">
        <v>2362</v>
      </c>
      <c r="B2719" s="26" t="s">
        <v>483</v>
      </c>
      <c r="C2719" s="27">
        <v>45675.0</v>
      </c>
      <c r="D2719" s="27">
        <v>45675.0</v>
      </c>
      <c r="E2719" s="26" t="s">
        <v>1121</v>
      </c>
      <c r="F2719" s="26" t="s">
        <v>1200</v>
      </c>
    </row>
    <row r="2720">
      <c r="A2720" s="26" t="s">
        <v>2362</v>
      </c>
      <c r="B2720" s="26" t="s">
        <v>483</v>
      </c>
      <c r="C2720" s="27">
        <v>45675.0</v>
      </c>
      <c r="D2720" s="27">
        <v>45675.0</v>
      </c>
      <c r="E2720" s="26" t="s">
        <v>1121</v>
      </c>
      <c r="F2720" s="26" t="s">
        <v>1200</v>
      </c>
    </row>
    <row r="2721">
      <c r="A2721" s="26" t="s">
        <v>2363</v>
      </c>
      <c r="B2721" s="26" t="s">
        <v>467</v>
      </c>
      <c r="C2721" s="27">
        <v>45674.0</v>
      </c>
      <c r="D2721" s="27">
        <v>45674.0</v>
      </c>
      <c r="E2721" s="26" t="s">
        <v>1121</v>
      </c>
      <c r="F2721" s="26" t="s">
        <v>1200</v>
      </c>
    </row>
    <row r="2722">
      <c r="A2722" s="26" t="s">
        <v>2363</v>
      </c>
      <c r="B2722" s="26" t="s">
        <v>467</v>
      </c>
      <c r="C2722" s="27">
        <v>45674.0</v>
      </c>
      <c r="D2722" s="27">
        <v>45674.0</v>
      </c>
      <c r="E2722" s="26" t="s">
        <v>1121</v>
      </c>
      <c r="F2722" s="26" t="s">
        <v>1200</v>
      </c>
    </row>
    <row r="2723">
      <c r="A2723" s="26" t="s">
        <v>2364</v>
      </c>
      <c r="B2723" s="26" t="s">
        <v>624</v>
      </c>
      <c r="C2723" s="27">
        <v>45674.0</v>
      </c>
      <c r="D2723" s="27">
        <v>45674.0</v>
      </c>
      <c r="E2723" s="26" t="s">
        <v>1121</v>
      </c>
      <c r="F2723" s="26" t="s">
        <v>1200</v>
      </c>
    </row>
    <row r="2724">
      <c r="A2724" s="26" t="s">
        <v>2365</v>
      </c>
      <c r="B2724" s="26" t="s">
        <v>2353</v>
      </c>
      <c r="C2724" s="27">
        <v>45674.0</v>
      </c>
      <c r="D2724" s="27">
        <v>45674.0</v>
      </c>
      <c r="E2724" s="26" t="s">
        <v>1121</v>
      </c>
      <c r="F2724" s="26" t="s">
        <v>1200</v>
      </c>
    </row>
    <row r="2725">
      <c r="A2725" s="26" t="s">
        <v>2366</v>
      </c>
      <c r="B2725" s="26" t="s">
        <v>546</v>
      </c>
      <c r="C2725" s="27">
        <v>45674.0</v>
      </c>
      <c r="D2725" s="27">
        <v>45674.0</v>
      </c>
      <c r="E2725" s="26" t="s">
        <v>1121</v>
      </c>
      <c r="F2725" s="26" t="s">
        <v>1200</v>
      </c>
    </row>
    <row r="2726">
      <c r="A2726" s="26" t="s">
        <v>2366</v>
      </c>
      <c r="B2726" s="26" t="s">
        <v>546</v>
      </c>
      <c r="C2726" s="27">
        <v>45674.0</v>
      </c>
      <c r="D2726" s="27">
        <v>45674.0</v>
      </c>
      <c r="E2726" s="26" t="s">
        <v>1121</v>
      </c>
      <c r="F2726" s="26" t="s">
        <v>1200</v>
      </c>
    </row>
    <row r="2727">
      <c r="A2727" s="26" t="s">
        <v>2366</v>
      </c>
      <c r="B2727" s="26" t="s">
        <v>546</v>
      </c>
      <c r="C2727" s="27">
        <v>45674.0</v>
      </c>
      <c r="D2727" s="27">
        <v>45674.0</v>
      </c>
      <c r="E2727" s="26" t="s">
        <v>1121</v>
      </c>
      <c r="F2727" s="26" t="s">
        <v>1200</v>
      </c>
    </row>
    <row r="2728">
      <c r="A2728" s="26" t="s">
        <v>2367</v>
      </c>
      <c r="B2728" s="26" t="s">
        <v>2261</v>
      </c>
      <c r="C2728" s="27">
        <v>45674.0</v>
      </c>
      <c r="D2728" s="27">
        <v>45674.0</v>
      </c>
      <c r="E2728" s="26" t="s">
        <v>1121</v>
      </c>
      <c r="F2728" s="26" t="s">
        <v>1200</v>
      </c>
    </row>
    <row r="2729">
      <c r="A2729" s="26" t="s">
        <v>2368</v>
      </c>
      <c r="B2729" s="26" t="s">
        <v>1308</v>
      </c>
      <c r="C2729" s="27">
        <v>45674.0</v>
      </c>
      <c r="D2729" s="27">
        <v>45674.0</v>
      </c>
      <c r="E2729" s="26" t="s">
        <v>1121</v>
      </c>
      <c r="F2729" s="26" t="s">
        <v>1200</v>
      </c>
    </row>
    <row r="2730">
      <c r="A2730" s="26" t="s">
        <v>2368</v>
      </c>
      <c r="B2730" s="26" t="s">
        <v>1308</v>
      </c>
      <c r="C2730" s="27">
        <v>45674.0</v>
      </c>
      <c r="D2730" s="27">
        <v>45674.0</v>
      </c>
      <c r="E2730" s="26" t="s">
        <v>1121</v>
      </c>
      <c r="F2730" s="26" t="s">
        <v>1200</v>
      </c>
    </row>
    <row r="2731">
      <c r="A2731" s="26" t="s">
        <v>2368</v>
      </c>
      <c r="B2731" s="26" t="s">
        <v>1308</v>
      </c>
      <c r="C2731" s="27">
        <v>45674.0</v>
      </c>
      <c r="D2731" s="27">
        <v>45674.0</v>
      </c>
      <c r="E2731" s="26" t="s">
        <v>1121</v>
      </c>
      <c r="F2731" s="26" t="s">
        <v>1200</v>
      </c>
    </row>
    <row r="2732">
      <c r="A2732" s="26" t="s">
        <v>2369</v>
      </c>
      <c r="B2732" s="26" t="s">
        <v>567</v>
      </c>
      <c r="C2732" s="27">
        <v>45674.0</v>
      </c>
      <c r="D2732" s="27">
        <v>45674.0</v>
      </c>
      <c r="E2732" s="26" t="s">
        <v>1121</v>
      </c>
      <c r="F2732" s="26" t="s">
        <v>1200</v>
      </c>
    </row>
    <row r="2733">
      <c r="A2733" s="26" t="s">
        <v>2370</v>
      </c>
      <c r="B2733" s="26" t="s">
        <v>2188</v>
      </c>
      <c r="C2733" s="27">
        <v>45673.0</v>
      </c>
      <c r="D2733" s="27">
        <v>45673.0</v>
      </c>
      <c r="E2733" s="26" t="s">
        <v>1121</v>
      </c>
      <c r="F2733" s="26" t="s">
        <v>1200</v>
      </c>
    </row>
    <row r="2734">
      <c r="A2734" s="26" t="s">
        <v>2370</v>
      </c>
      <c r="B2734" s="26" t="s">
        <v>2188</v>
      </c>
      <c r="C2734" s="27">
        <v>45673.0</v>
      </c>
      <c r="D2734" s="27">
        <v>45673.0</v>
      </c>
      <c r="E2734" s="26" t="s">
        <v>1121</v>
      </c>
      <c r="F2734" s="26" t="s">
        <v>1200</v>
      </c>
    </row>
    <row r="2735">
      <c r="A2735" s="26" t="s">
        <v>2371</v>
      </c>
      <c r="B2735" s="26" t="s">
        <v>1574</v>
      </c>
      <c r="C2735" s="27">
        <v>45672.0</v>
      </c>
      <c r="D2735" s="27">
        <v>45672.0</v>
      </c>
      <c r="E2735" s="26" t="s">
        <v>1121</v>
      </c>
      <c r="F2735" s="26" t="s">
        <v>1200</v>
      </c>
    </row>
    <row r="2736">
      <c r="A2736" s="26" t="s">
        <v>2371</v>
      </c>
      <c r="B2736" s="26" t="s">
        <v>1574</v>
      </c>
      <c r="C2736" s="27">
        <v>45672.0</v>
      </c>
      <c r="D2736" s="27">
        <v>45672.0</v>
      </c>
      <c r="E2736" s="26" t="s">
        <v>1121</v>
      </c>
      <c r="F2736" s="26" t="s">
        <v>1200</v>
      </c>
    </row>
    <row r="2737">
      <c r="A2737" s="26" t="s">
        <v>2372</v>
      </c>
      <c r="B2737" s="26" t="s">
        <v>435</v>
      </c>
      <c r="C2737" s="27">
        <v>45672.0</v>
      </c>
      <c r="D2737" s="27">
        <v>45672.0</v>
      </c>
      <c r="E2737" s="26" t="s">
        <v>1121</v>
      </c>
      <c r="F2737" s="26" t="s">
        <v>1200</v>
      </c>
    </row>
    <row r="2738">
      <c r="A2738" s="26" t="s">
        <v>2373</v>
      </c>
      <c r="B2738" s="26" t="s">
        <v>505</v>
      </c>
      <c r="C2738" s="27">
        <v>45672.0</v>
      </c>
      <c r="D2738" s="27">
        <v>45672.0</v>
      </c>
      <c r="E2738" s="26" t="s">
        <v>1121</v>
      </c>
      <c r="F2738" s="26" t="s">
        <v>1200</v>
      </c>
    </row>
    <row r="2739">
      <c r="A2739" s="26" t="s">
        <v>2373</v>
      </c>
      <c r="B2739" s="26" t="s">
        <v>505</v>
      </c>
      <c r="C2739" s="27">
        <v>45672.0</v>
      </c>
      <c r="D2739" s="27">
        <v>45672.0</v>
      </c>
      <c r="E2739" s="26" t="s">
        <v>1121</v>
      </c>
      <c r="F2739" s="26" t="s">
        <v>1200</v>
      </c>
    </row>
    <row r="2740">
      <c r="A2740" s="26" t="s">
        <v>2374</v>
      </c>
      <c r="B2740" s="26" t="s">
        <v>2375</v>
      </c>
      <c r="C2740" s="27">
        <v>45672.0</v>
      </c>
      <c r="D2740" s="27">
        <v>45672.0</v>
      </c>
      <c r="E2740" s="26" t="s">
        <v>1121</v>
      </c>
      <c r="F2740" s="26" t="s">
        <v>1200</v>
      </c>
    </row>
    <row r="2741">
      <c r="A2741" s="26" t="s">
        <v>2376</v>
      </c>
      <c r="B2741" s="26" t="s">
        <v>528</v>
      </c>
      <c r="C2741" s="27">
        <v>45672.0</v>
      </c>
      <c r="D2741" s="27">
        <v>45672.0</v>
      </c>
      <c r="E2741" s="26" t="s">
        <v>1121</v>
      </c>
      <c r="F2741" s="26" t="s">
        <v>1200</v>
      </c>
    </row>
    <row r="2742">
      <c r="A2742" s="26" t="s">
        <v>2376</v>
      </c>
      <c r="B2742" s="26" t="s">
        <v>528</v>
      </c>
      <c r="C2742" s="27">
        <v>45672.0</v>
      </c>
      <c r="D2742" s="27">
        <v>45672.0</v>
      </c>
      <c r="E2742" s="26" t="s">
        <v>1121</v>
      </c>
      <c r="F2742" s="26" t="s">
        <v>1200</v>
      </c>
    </row>
    <row r="2743">
      <c r="A2743" s="26" t="s">
        <v>2377</v>
      </c>
      <c r="B2743" s="26" t="s">
        <v>2188</v>
      </c>
      <c r="C2743" s="27">
        <v>45672.0</v>
      </c>
      <c r="D2743" s="27">
        <v>45672.0</v>
      </c>
      <c r="E2743" s="26" t="s">
        <v>1121</v>
      </c>
      <c r="F2743" s="26" t="s">
        <v>1200</v>
      </c>
    </row>
    <row r="2744">
      <c r="A2744" s="26" t="s">
        <v>2378</v>
      </c>
      <c r="B2744" s="26" t="s">
        <v>432</v>
      </c>
      <c r="C2744" s="27">
        <v>45671.0</v>
      </c>
      <c r="D2744" s="27">
        <v>45671.0</v>
      </c>
      <c r="E2744" s="26" t="s">
        <v>1121</v>
      </c>
      <c r="F2744" s="26" t="s">
        <v>1200</v>
      </c>
    </row>
    <row r="2745">
      <c r="A2745" s="26" t="s">
        <v>2379</v>
      </c>
      <c r="B2745" s="26" t="s">
        <v>493</v>
      </c>
      <c r="C2745" s="27">
        <v>45670.0</v>
      </c>
      <c r="D2745" s="27">
        <v>45670.0</v>
      </c>
      <c r="E2745" s="26" t="s">
        <v>1121</v>
      </c>
      <c r="F2745" s="26" t="s">
        <v>1200</v>
      </c>
    </row>
    <row r="2746">
      <c r="A2746" s="26" t="s">
        <v>2380</v>
      </c>
      <c r="B2746" s="26" t="s">
        <v>631</v>
      </c>
      <c r="C2746" s="27">
        <v>45670.0</v>
      </c>
      <c r="D2746" s="27">
        <v>45670.0</v>
      </c>
      <c r="E2746" s="26" t="s">
        <v>1121</v>
      </c>
      <c r="F2746" s="26" t="s">
        <v>1200</v>
      </c>
    </row>
    <row r="2747">
      <c r="A2747" s="26" t="s">
        <v>2381</v>
      </c>
      <c r="B2747" s="26" t="s">
        <v>505</v>
      </c>
      <c r="C2747" s="27">
        <v>45670.0</v>
      </c>
      <c r="D2747" s="27">
        <v>45670.0</v>
      </c>
      <c r="E2747" s="26" t="s">
        <v>1121</v>
      </c>
      <c r="F2747" s="26" t="s">
        <v>1200</v>
      </c>
    </row>
    <row r="2748">
      <c r="A2748" s="26" t="s">
        <v>2381</v>
      </c>
      <c r="B2748" s="26" t="s">
        <v>505</v>
      </c>
      <c r="C2748" s="27">
        <v>45670.0</v>
      </c>
      <c r="D2748" s="27">
        <v>45670.0</v>
      </c>
      <c r="E2748" s="26" t="s">
        <v>1121</v>
      </c>
      <c r="F2748" s="26" t="s">
        <v>1200</v>
      </c>
    </row>
    <row r="2749">
      <c r="A2749" s="26" t="s">
        <v>2382</v>
      </c>
      <c r="B2749" s="26" t="s">
        <v>497</v>
      </c>
      <c r="C2749" s="27">
        <v>45670.0</v>
      </c>
      <c r="D2749" s="27">
        <v>45670.0</v>
      </c>
      <c r="E2749" s="26" t="s">
        <v>1121</v>
      </c>
      <c r="F2749" s="26" t="s">
        <v>1200</v>
      </c>
    </row>
    <row r="2750">
      <c r="A2750" s="26" t="s">
        <v>2382</v>
      </c>
      <c r="B2750" s="26" t="s">
        <v>497</v>
      </c>
      <c r="C2750" s="27">
        <v>45670.0</v>
      </c>
      <c r="D2750" s="27">
        <v>45670.0</v>
      </c>
      <c r="E2750" s="26" t="s">
        <v>1121</v>
      </c>
      <c r="F2750" s="26" t="s">
        <v>1200</v>
      </c>
    </row>
    <row r="2751">
      <c r="A2751" s="26" t="s">
        <v>2383</v>
      </c>
      <c r="B2751" s="26" t="s">
        <v>1916</v>
      </c>
      <c r="C2751" s="27">
        <v>45670.0</v>
      </c>
      <c r="D2751" s="27">
        <v>45670.0</v>
      </c>
      <c r="E2751" s="26" t="s">
        <v>1121</v>
      </c>
      <c r="F2751" s="26" t="s">
        <v>1200</v>
      </c>
    </row>
    <row r="2752">
      <c r="A2752" s="26" t="s">
        <v>2384</v>
      </c>
      <c r="B2752" s="26" t="s">
        <v>444</v>
      </c>
      <c r="C2752" s="27">
        <v>45670.0</v>
      </c>
      <c r="D2752" s="27">
        <v>45670.0</v>
      </c>
      <c r="E2752" s="26" t="s">
        <v>1121</v>
      </c>
      <c r="F2752" s="26" t="s">
        <v>1200</v>
      </c>
    </row>
    <row r="2753">
      <c r="A2753" s="26" t="s">
        <v>2385</v>
      </c>
      <c r="B2753" s="26" t="s">
        <v>2353</v>
      </c>
      <c r="C2753" s="27">
        <v>45670.0</v>
      </c>
      <c r="D2753" s="27">
        <v>45670.0</v>
      </c>
      <c r="E2753" s="26" t="s">
        <v>1121</v>
      </c>
      <c r="F2753" s="26" t="s">
        <v>1200</v>
      </c>
    </row>
    <row r="2754">
      <c r="A2754" s="26" t="s">
        <v>2385</v>
      </c>
      <c r="B2754" s="26" t="s">
        <v>2353</v>
      </c>
      <c r="C2754" s="27">
        <v>45670.0</v>
      </c>
      <c r="D2754" s="27">
        <v>45670.0</v>
      </c>
      <c r="E2754" s="26" t="s">
        <v>1121</v>
      </c>
      <c r="F2754" s="26" t="s">
        <v>1200</v>
      </c>
    </row>
    <row r="2755">
      <c r="A2755" s="26" t="s">
        <v>2386</v>
      </c>
      <c r="B2755" s="26" t="s">
        <v>574</v>
      </c>
      <c r="C2755" s="27">
        <v>45670.0</v>
      </c>
      <c r="D2755" s="27">
        <v>45670.0</v>
      </c>
      <c r="E2755" s="26" t="s">
        <v>1121</v>
      </c>
      <c r="F2755" s="26" t="s">
        <v>1200</v>
      </c>
    </row>
    <row r="2756">
      <c r="A2756" s="26" t="s">
        <v>2387</v>
      </c>
      <c r="B2756" s="26" t="s">
        <v>1306</v>
      </c>
      <c r="C2756" s="27">
        <v>45670.0</v>
      </c>
      <c r="D2756" s="27">
        <v>45670.0</v>
      </c>
      <c r="E2756" s="26" t="s">
        <v>1121</v>
      </c>
      <c r="F2756" s="26" t="s">
        <v>1200</v>
      </c>
    </row>
    <row r="2757">
      <c r="A2757" s="26" t="s">
        <v>2387</v>
      </c>
      <c r="B2757" s="26" t="s">
        <v>1306</v>
      </c>
      <c r="C2757" s="27">
        <v>45670.0</v>
      </c>
      <c r="D2757" s="27">
        <v>45670.0</v>
      </c>
      <c r="E2757" s="26" t="s">
        <v>1121</v>
      </c>
      <c r="F2757" s="26" t="s">
        <v>1200</v>
      </c>
    </row>
    <row r="2758">
      <c r="A2758" s="26" t="s">
        <v>2388</v>
      </c>
      <c r="B2758" s="26" t="s">
        <v>745</v>
      </c>
      <c r="C2758" s="27">
        <v>45668.0</v>
      </c>
      <c r="D2758" s="27">
        <v>45668.0</v>
      </c>
      <c r="E2758" s="26" t="s">
        <v>1121</v>
      </c>
      <c r="F2758" s="26" t="s">
        <v>1200</v>
      </c>
    </row>
    <row r="2759">
      <c r="A2759" s="26" t="s">
        <v>2388</v>
      </c>
      <c r="B2759" s="26" t="s">
        <v>745</v>
      </c>
      <c r="C2759" s="27">
        <v>45668.0</v>
      </c>
      <c r="D2759" s="27">
        <v>45668.0</v>
      </c>
      <c r="E2759" s="26" t="s">
        <v>1121</v>
      </c>
      <c r="F2759" s="26" t="s">
        <v>1200</v>
      </c>
    </row>
    <row r="2760">
      <c r="A2760" s="26" t="s">
        <v>2388</v>
      </c>
      <c r="B2760" s="26" t="s">
        <v>745</v>
      </c>
      <c r="C2760" s="27">
        <v>45668.0</v>
      </c>
      <c r="D2760" s="27">
        <v>45668.0</v>
      </c>
      <c r="E2760" s="26" t="s">
        <v>1121</v>
      </c>
      <c r="F2760" s="26" t="s">
        <v>1200</v>
      </c>
    </row>
    <row r="2761">
      <c r="A2761" s="26" t="s">
        <v>2388</v>
      </c>
      <c r="B2761" s="26" t="s">
        <v>745</v>
      </c>
      <c r="C2761" s="27">
        <v>45668.0</v>
      </c>
      <c r="D2761" s="27">
        <v>45668.0</v>
      </c>
      <c r="E2761" s="26" t="s">
        <v>1121</v>
      </c>
      <c r="F2761" s="26" t="s">
        <v>1200</v>
      </c>
    </row>
    <row r="2762">
      <c r="A2762" s="26" t="s">
        <v>2389</v>
      </c>
      <c r="B2762" s="26" t="s">
        <v>461</v>
      </c>
      <c r="C2762" s="27">
        <v>45668.0</v>
      </c>
      <c r="D2762" s="27">
        <v>45668.0</v>
      </c>
      <c r="E2762" s="26" t="s">
        <v>1121</v>
      </c>
      <c r="F2762" s="26" t="s">
        <v>1200</v>
      </c>
    </row>
    <row r="2763">
      <c r="A2763" s="26" t="s">
        <v>2390</v>
      </c>
      <c r="B2763" s="26" t="s">
        <v>736</v>
      </c>
      <c r="C2763" s="27">
        <v>45668.0</v>
      </c>
      <c r="D2763" s="27">
        <v>45668.0</v>
      </c>
      <c r="E2763" s="26" t="s">
        <v>1121</v>
      </c>
      <c r="F2763" s="26" t="s">
        <v>1200</v>
      </c>
    </row>
    <row r="2764">
      <c r="A2764" s="26" t="s">
        <v>2390</v>
      </c>
      <c r="B2764" s="26" t="s">
        <v>736</v>
      </c>
      <c r="C2764" s="27">
        <v>45668.0</v>
      </c>
      <c r="D2764" s="27">
        <v>45668.0</v>
      </c>
      <c r="E2764" s="26" t="s">
        <v>1121</v>
      </c>
      <c r="F2764" s="26" t="s">
        <v>1200</v>
      </c>
    </row>
    <row r="2765">
      <c r="A2765" s="26" t="s">
        <v>2390</v>
      </c>
      <c r="B2765" s="26" t="s">
        <v>736</v>
      </c>
      <c r="C2765" s="27">
        <v>45668.0</v>
      </c>
      <c r="D2765" s="27">
        <v>45668.0</v>
      </c>
      <c r="E2765" s="26" t="s">
        <v>1121</v>
      </c>
      <c r="F2765" s="26" t="s">
        <v>1200</v>
      </c>
    </row>
    <row r="2766">
      <c r="A2766" s="26" t="s">
        <v>2390</v>
      </c>
      <c r="B2766" s="26" t="s">
        <v>736</v>
      </c>
      <c r="C2766" s="27">
        <v>45668.0</v>
      </c>
      <c r="D2766" s="27">
        <v>45668.0</v>
      </c>
      <c r="E2766" s="26" t="s">
        <v>1121</v>
      </c>
      <c r="F2766" s="26" t="s">
        <v>1200</v>
      </c>
    </row>
    <row r="2767">
      <c r="A2767" s="26" t="s">
        <v>2390</v>
      </c>
      <c r="B2767" s="26" t="s">
        <v>736</v>
      </c>
      <c r="C2767" s="27">
        <v>45668.0</v>
      </c>
      <c r="D2767" s="27">
        <v>45668.0</v>
      </c>
      <c r="E2767" s="26" t="s">
        <v>1121</v>
      </c>
      <c r="F2767" s="26" t="s">
        <v>1200</v>
      </c>
    </row>
    <row r="2768">
      <c r="A2768" s="26" t="s">
        <v>2390</v>
      </c>
      <c r="B2768" s="26" t="s">
        <v>736</v>
      </c>
      <c r="C2768" s="27">
        <v>45668.0</v>
      </c>
      <c r="D2768" s="27">
        <v>45668.0</v>
      </c>
      <c r="E2768" s="26" t="s">
        <v>1121</v>
      </c>
      <c r="F2768" s="26" t="s">
        <v>1200</v>
      </c>
    </row>
    <row r="2769">
      <c r="A2769" s="26" t="s">
        <v>2390</v>
      </c>
      <c r="B2769" s="26" t="s">
        <v>736</v>
      </c>
      <c r="C2769" s="27">
        <v>45668.0</v>
      </c>
      <c r="D2769" s="27">
        <v>45668.0</v>
      </c>
      <c r="E2769" s="26" t="s">
        <v>1121</v>
      </c>
      <c r="F2769" s="26" t="s">
        <v>1200</v>
      </c>
    </row>
    <row r="2770">
      <c r="A2770" s="26" t="s">
        <v>2390</v>
      </c>
      <c r="B2770" s="26" t="s">
        <v>736</v>
      </c>
      <c r="C2770" s="27">
        <v>45668.0</v>
      </c>
      <c r="D2770" s="27">
        <v>45668.0</v>
      </c>
      <c r="E2770" s="26" t="s">
        <v>1121</v>
      </c>
      <c r="F2770" s="26" t="s">
        <v>1200</v>
      </c>
    </row>
    <row r="2771">
      <c r="A2771" s="26" t="s">
        <v>2390</v>
      </c>
      <c r="B2771" s="26" t="s">
        <v>736</v>
      </c>
      <c r="C2771" s="27">
        <v>45668.0</v>
      </c>
      <c r="D2771" s="27">
        <v>45668.0</v>
      </c>
      <c r="E2771" s="26" t="s">
        <v>1121</v>
      </c>
      <c r="F2771" s="26" t="s">
        <v>1200</v>
      </c>
    </row>
    <row r="2772">
      <c r="A2772" s="26" t="s">
        <v>2391</v>
      </c>
      <c r="B2772" s="26" t="s">
        <v>546</v>
      </c>
      <c r="C2772" s="27">
        <v>45668.0</v>
      </c>
      <c r="D2772" s="27">
        <v>45668.0</v>
      </c>
      <c r="E2772" s="26" t="s">
        <v>1121</v>
      </c>
      <c r="F2772" s="26" t="s">
        <v>1200</v>
      </c>
    </row>
    <row r="2773">
      <c r="A2773" s="26" t="s">
        <v>2392</v>
      </c>
      <c r="B2773" s="26" t="s">
        <v>416</v>
      </c>
      <c r="C2773" s="27">
        <v>45667.0</v>
      </c>
      <c r="D2773" s="27">
        <v>45667.0</v>
      </c>
      <c r="E2773" s="26" t="s">
        <v>1121</v>
      </c>
      <c r="F2773" s="26" t="s">
        <v>1200</v>
      </c>
    </row>
    <row r="2774">
      <c r="A2774" s="26" t="s">
        <v>2392</v>
      </c>
      <c r="B2774" s="26" t="s">
        <v>416</v>
      </c>
      <c r="C2774" s="27">
        <v>45667.0</v>
      </c>
      <c r="D2774" s="27">
        <v>45667.0</v>
      </c>
      <c r="E2774" s="26" t="s">
        <v>1121</v>
      </c>
      <c r="F2774" s="26" t="s">
        <v>1200</v>
      </c>
    </row>
    <row r="2775">
      <c r="A2775" s="26" t="s">
        <v>2392</v>
      </c>
      <c r="B2775" s="26" t="s">
        <v>416</v>
      </c>
      <c r="C2775" s="27">
        <v>45667.0</v>
      </c>
      <c r="D2775" s="27">
        <v>45667.0</v>
      </c>
      <c r="E2775" s="26" t="s">
        <v>1121</v>
      </c>
      <c r="F2775" s="26" t="s">
        <v>1200</v>
      </c>
    </row>
    <row r="2776">
      <c r="A2776" s="26" t="s">
        <v>2392</v>
      </c>
      <c r="B2776" s="26" t="s">
        <v>416</v>
      </c>
      <c r="C2776" s="27">
        <v>45667.0</v>
      </c>
      <c r="D2776" s="27">
        <v>45667.0</v>
      </c>
      <c r="E2776" s="26" t="s">
        <v>1121</v>
      </c>
      <c r="F2776" s="26" t="s">
        <v>1200</v>
      </c>
    </row>
    <row r="2777">
      <c r="A2777" s="26" t="s">
        <v>2392</v>
      </c>
      <c r="B2777" s="26" t="s">
        <v>416</v>
      </c>
      <c r="C2777" s="27">
        <v>45667.0</v>
      </c>
      <c r="D2777" s="27">
        <v>45667.0</v>
      </c>
      <c r="E2777" s="26" t="s">
        <v>1121</v>
      </c>
      <c r="F2777" s="26" t="s">
        <v>1200</v>
      </c>
    </row>
    <row r="2778">
      <c r="A2778" s="26" t="s">
        <v>2392</v>
      </c>
      <c r="B2778" s="26" t="s">
        <v>416</v>
      </c>
      <c r="C2778" s="27">
        <v>45667.0</v>
      </c>
      <c r="D2778" s="27">
        <v>45667.0</v>
      </c>
      <c r="E2778" s="26" t="s">
        <v>1121</v>
      </c>
      <c r="F2778" s="26" t="s">
        <v>1200</v>
      </c>
    </row>
    <row r="2779">
      <c r="A2779" s="26" t="s">
        <v>2393</v>
      </c>
      <c r="B2779" s="26" t="s">
        <v>2142</v>
      </c>
      <c r="C2779" s="27">
        <v>45667.0</v>
      </c>
      <c r="D2779" s="27">
        <v>45667.0</v>
      </c>
      <c r="E2779" s="26" t="s">
        <v>1121</v>
      </c>
      <c r="F2779" s="26" t="s">
        <v>1200</v>
      </c>
    </row>
    <row r="2780">
      <c r="A2780" s="26" t="s">
        <v>2394</v>
      </c>
      <c r="B2780" s="26" t="s">
        <v>432</v>
      </c>
      <c r="C2780" s="27">
        <v>45667.0</v>
      </c>
      <c r="D2780" s="27">
        <v>45667.0</v>
      </c>
      <c r="E2780" s="26" t="s">
        <v>1121</v>
      </c>
      <c r="F2780" s="26" t="s">
        <v>1200</v>
      </c>
    </row>
    <row r="2781">
      <c r="A2781" s="26" t="s">
        <v>2395</v>
      </c>
      <c r="B2781" s="26" t="s">
        <v>448</v>
      </c>
      <c r="C2781" s="27">
        <v>45667.0</v>
      </c>
      <c r="D2781" s="27">
        <v>45667.0</v>
      </c>
      <c r="E2781" s="26" t="s">
        <v>1121</v>
      </c>
      <c r="F2781" s="26" t="s">
        <v>1200</v>
      </c>
    </row>
    <row r="2782">
      <c r="A2782" s="26" t="s">
        <v>2395</v>
      </c>
      <c r="B2782" s="26" t="s">
        <v>448</v>
      </c>
      <c r="C2782" s="27">
        <v>45667.0</v>
      </c>
      <c r="D2782" s="27">
        <v>45667.0</v>
      </c>
      <c r="E2782" s="26" t="s">
        <v>1121</v>
      </c>
      <c r="F2782" s="26" t="s">
        <v>1200</v>
      </c>
    </row>
    <row r="2783">
      <c r="A2783" s="26" t="s">
        <v>2396</v>
      </c>
      <c r="B2783" s="26" t="s">
        <v>516</v>
      </c>
      <c r="C2783" s="27">
        <v>45667.0</v>
      </c>
      <c r="D2783" s="27">
        <v>45667.0</v>
      </c>
      <c r="E2783" s="26" t="s">
        <v>1121</v>
      </c>
      <c r="F2783" s="26" t="s">
        <v>1200</v>
      </c>
    </row>
    <row r="2784">
      <c r="A2784" s="26" t="s">
        <v>2397</v>
      </c>
      <c r="B2784" s="26" t="s">
        <v>483</v>
      </c>
      <c r="C2784" s="27">
        <v>45667.0</v>
      </c>
      <c r="D2784" s="27">
        <v>45667.0</v>
      </c>
      <c r="E2784" s="26" t="s">
        <v>1121</v>
      </c>
      <c r="F2784" s="26" t="s">
        <v>1200</v>
      </c>
    </row>
    <row r="2785">
      <c r="A2785" s="26" t="s">
        <v>2398</v>
      </c>
      <c r="B2785" s="26" t="s">
        <v>1987</v>
      </c>
      <c r="C2785" s="27">
        <v>45667.0</v>
      </c>
      <c r="D2785" s="27">
        <v>45667.0</v>
      </c>
      <c r="E2785" s="26" t="s">
        <v>1121</v>
      </c>
      <c r="F2785" s="26" t="s">
        <v>1200</v>
      </c>
    </row>
    <row r="2786">
      <c r="A2786" s="26" t="s">
        <v>2399</v>
      </c>
      <c r="B2786" s="26" t="s">
        <v>591</v>
      </c>
      <c r="C2786" s="27">
        <v>45667.0</v>
      </c>
      <c r="D2786" s="27">
        <v>45667.0</v>
      </c>
      <c r="E2786" s="26" t="s">
        <v>1121</v>
      </c>
      <c r="F2786" s="26" t="s">
        <v>1200</v>
      </c>
    </row>
    <row r="2787">
      <c r="A2787" s="26" t="s">
        <v>2400</v>
      </c>
      <c r="B2787" s="26" t="s">
        <v>771</v>
      </c>
      <c r="C2787" s="27">
        <v>45666.0</v>
      </c>
      <c r="D2787" s="27">
        <v>45666.0</v>
      </c>
      <c r="E2787" s="26" t="s">
        <v>1121</v>
      </c>
      <c r="F2787" s="26" t="s">
        <v>1200</v>
      </c>
    </row>
    <row r="2788">
      <c r="A2788" s="26" t="s">
        <v>2400</v>
      </c>
      <c r="B2788" s="26" t="s">
        <v>771</v>
      </c>
      <c r="C2788" s="27">
        <v>45666.0</v>
      </c>
      <c r="D2788" s="27">
        <v>45666.0</v>
      </c>
      <c r="E2788" s="26" t="s">
        <v>1121</v>
      </c>
      <c r="F2788" s="26" t="s">
        <v>1200</v>
      </c>
    </row>
    <row r="2789">
      <c r="A2789" s="26" t="s">
        <v>2401</v>
      </c>
      <c r="B2789" s="26" t="s">
        <v>467</v>
      </c>
      <c r="C2789" s="27">
        <v>45666.0</v>
      </c>
      <c r="D2789" s="27">
        <v>45666.0</v>
      </c>
      <c r="E2789" s="26" t="s">
        <v>1121</v>
      </c>
      <c r="F2789" s="26" t="s">
        <v>1200</v>
      </c>
    </row>
    <row r="2790">
      <c r="A2790" s="26" t="s">
        <v>2402</v>
      </c>
      <c r="B2790" s="26" t="s">
        <v>444</v>
      </c>
      <c r="C2790" s="27">
        <v>45666.0</v>
      </c>
      <c r="D2790" s="27">
        <v>45666.0</v>
      </c>
      <c r="E2790" s="26" t="s">
        <v>1121</v>
      </c>
      <c r="F2790" s="26" t="s">
        <v>1200</v>
      </c>
    </row>
    <row r="2791">
      <c r="A2791" s="26" t="s">
        <v>2402</v>
      </c>
      <c r="B2791" s="26" t="s">
        <v>444</v>
      </c>
      <c r="C2791" s="27">
        <v>45666.0</v>
      </c>
      <c r="D2791" s="27">
        <v>45666.0</v>
      </c>
      <c r="E2791" s="26" t="s">
        <v>1121</v>
      </c>
      <c r="F2791" s="26" t="s">
        <v>1200</v>
      </c>
    </row>
    <row r="2792">
      <c r="A2792" s="26" t="s">
        <v>2402</v>
      </c>
      <c r="B2792" s="26" t="s">
        <v>444</v>
      </c>
      <c r="C2792" s="27">
        <v>45666.0</v>
      </c>
      <c r="D2792" s="27">
        <v>45666.0</v>
      </c>
      <c r="E2792" s="26" t="s">
        <v>1121</v>
      </c>
      <c r="F2792" s="26" t="s">
        <v>1200</v>
      </c>
    </row>
    <row r="2793">
      <c r="A2793" s="26" t="s">
        <v>2403</v>
      </c>
      <c r="B2793" s="26" t="s">
        <v>2298</v>
      </c>
      <c r="C2793" s="27">
        <v>45665.0</v>
      </c>
      <c r="D2793" s="27">
        <v>45665.0</v>
      </c>
      <c r="E2793" s="26" t="s">
        <v>1121</v>
      </c>
      <c r="F2793" s="26" t="s">
        <v>1200</v>
      </c>
    </row>
    <row r="2794">
      <c r="A2794" s="26" t="s">
        <v>2404</v>
      </c>
      <c r="B2794" s="26" t="s">
        <v>472</v>
      </c>
      <c r="C2794" s="27">
        <v>45665.0</v>
      </c>
      <c r="D2794" s="27">
        <v>45665.0</v>
      </c>
      <c r="E2794" s="26" t="s">
        <v>1121</v>
      </c>
      <c r="F2794" s="26" t="s">
        <v>1200</v>
      </c>
    </row>
    <row r="2795">
      <c r="A2795" s="26" t="s">
        <v>2405</v>
      </c>
      <c r="B2795" s="26" t="s">
        <v>551</v>
      </c>
      <c r="C2795" s="27">
        <v>45665.0</v>
      </c>
      <c r="D2795" s="27">
        <v>45665.0</v>
      </c>
      <c r="E2795" s="26" t="s">
        <v>1121</v>
      </c>
      <c r="F2795" s="26" t="s">
        <v>1200</v>
      </c>
    </row>
    <row r="2796">
      <c r="A2796" s="26" t="s">
        <v>2405</v>
      </c>
      <c r="B2796" s="26" t="s">
        <v>551</v>
      </c>
      <c r="C2796" s="27">
        <v>45665.0</v>
      </c>
      <c r="D2796" s="27">
        <v>45665.0</v>
      </c>
      <c r="E2796" s="26" t="s">
        <v>1121</v>
      </c>
      <c r="F2796" s="26" t="s">
        <v>1200</v>
      </c>
    </row>
    <row r="2797">
      <c r="A2797" s="26" t="s">
        <v>2406</v>
      </c>
      <c r="B2797" s="26" t="s">
        <v>1515</v>
      </c>
      <c r="C2797" s="27">
        <v>45665.0</v>
      </c>
      <c r="D2797" s="27">
        <v>45665.0</v>
      </c>
      <c r="E2797" s="26" t="s">
        <v>1121</v>
      </c>
      <c r="F2797" s="26" t="s">
        <v>1200</v>
      </c>
    </row>
    <row r="2798">
      <c r="A2798" s="26" t="s">
        <v>2406</v>
      </c>
      <c r="B2798" s="26" t="s">
        <v>1515</v>
      </c>
      <c r="C2798" s="27">
        <v>45665.0</v>
      </c>
      <c r="D2798" s="27">
        <v>45665.0</v>
      </c>
      <c r="E2798" s="26" t="s">
        <v>1121</v>
      </c>
      <c r="F2798" s="26" t="s">
        <v>1200</v>
      </c>
    </row>
    <row r="2799">
      <c r="A2799" s="26" t="s">
        <v>2407</v>
      </c>
      <c r="B2799" s="26" t="s">
        <v>435</v>
      </c>
      <c r="C2799" s="27">
        <v>45664.0</v>
      </c>
      <c r="D2799" s="27">
        <v>45664.0</v>
      </c>
      <c r="E2799" s="26" t="s">
        <v>1121</v>
      </c>
      <c r="F2799" s="26" t="s">
        <v>1200</v>
      </c>
    </row>
    <row r="2800">
      <c r="A2800" s="26" t="s">
        <v>2408</v>
      </c>
      <c r="B2800" s="26" t="s">
        <v>542</v>
      </c>
      <c r="C2800" s="27">
        <v>45664.0</v>
      </c>
      <c r="D2800" s="27">
        <v>45664.0</v>
      </c>
      <c r="E2800" s="26" t="s">
        <v>1121</v>
      </c>
      <c r="F2800" s="26" t="s">
        <v>1200</v>
      </c>
    </row>
    <row r="2801">
      <c r="A2801" s="26" t="s">
        <v>2409</v>
      </c>
      <c r="B2801" s="26" t="s">
        <v>439</v>
      </c>
      <c r="C2801" s="27">
        <v>45664.0</v>
      </c>
      <c r="D2801" s="27">
        <v>45664.0</v>
      </c>
      <c r="E2801" s="26" t="s">
        <v>1121</v>
      </c>
      <c r="F2801" s="26" t="s">
        <v>1200</v>
      </c>
    </row>
    <row r="2802">
      <c r="A2802" s="26" t="s">
        <v>2410</v>
      </c>
      <c r="B2802" s="26" t="s">
        <v>546</v>
      </c>
      <c r="C2802" s="27">
        <v>45664.0</v>
      </c>
      <c r="D2802" s="27">
        <v>45664.0</v>
      </c>
      <c r="E2802" s="26" t="s">
        <v>1121</v>
      </c>
      <c r="F2802" s="26" t="s">
        <v>1200</v>
      </c>
    </row>
    <row r="2803">
      <c r="A2803" s="26" t="s">
        <v>2411</v>
      </c>
      <c r="B2803" s="26" t="s">
        <v>472</v>
      </c>
      <c r="C2803" s="27">
        <v>45664.0</v>
      </c>
      <c r="D2803" s="27">
        <v>45664.0</v>
      </c>
      <c r="E2803" s="26" t="s">
        <v>1121</v>
      </c>
      <c r="F2803" s="26" t="s">
        <v>1200</v>
      </c>
    </row>
    <row r="2804">
      <c r="A2804" s="26" t="s">
        <v>2412</v>
      </c>
      <c r="B2804" s="26" t="s">
        <v>467</v>
      </c>
      <c r="C2804" s="27">
        <v>45663.0</v>
      </c>
      <c r="D2804" s="27">
        <v>45663.0</v>
      </c>
      <c r="E2804" s="26" t="s">
        <v>1121</v>
      </c>
      <c r="F2804" s="26" t="s">
        <v>1200</v>
      </c>
    </row>
    <row r="2805">
      <c r="A2805" s="26" t="s">
        <v>2412</v>
      </c>
      <c r="B2805" s="26" t="s">
        <v>467</v>
      </c>
      <c r="C2805" s="27">
        <v>45663.0</v>
      </c>
      <c r="D2805" s="27">
        <v>45663.0</v>
      </c>
      <c r="E2805" s="26" t="s">
        <v>1121</v>
      </c>
      <c r="F2805" s="26" t="s">
        <v>1200</v>
      </c>
    </row>
    <row r="2806">
      <c r="A2806" s="26" t="s">
        <v>2413</v>
      </c>
      <c r="B2806" s="26" t="s">
        <v>483</v>
      </c>
      <c r="C2806" s="27">
        <v>45663.0</v>
      </c>
      <c r="D2806" s="27">
        <v>45663.0</v>
      </c>
      <c r="E2806" s="26" t="s">
        <v>1121</v>
      </c>
      <c r="F2806" s="26" t="s">
        <v>1200</v>
      </c>
    </row>
    <row r="2807">
      <c r="A2807" s="26" t="s">
        <v>2414</v>
      </c>
      <c r="B2807" s="26" t="s">
        <v>542</v>
      </c>
      <c r="C2807" s="27">
        <v>45661.0</v>
      </c>
      <c r="D2807" s="27">
        <v>45661.0</v>
      </c>
      <c r="E2807" s="26" t="s">
        <v>1121</v>
      </c>
      <c r="F2807" s="26" t="s">
        <v>1200</v>
      </c>
    </row>
    <row r="2808">
      <c r="A2808" s="26" t="s">
        <v>2415</v>
      </c>
      <c r="B2808" s="26" t="s">
        <v>546</v>
      </c>
      <c r="C2808" s="27">
        <v>45661.0</v>
      </c>
      <c r="D2808" s="27">
        <v>45661.0</v>
      </c>
      <c r="E2808" s="26" t="s">
        <v>1121</v>
      </c>
      <c r="F2808" s="26" t="s">
        <v>1200</v>
      </c>
    </row>
    <row r="2809">
      <c r="A2809" s="26" t="s">
        <v>2415</v>
      </c>
      <c r="B2809" s="26" t="s">
        <v>546</v>
      </c>
      <c r="C2809" s="27">
        <v>45661.0</v>
      </c>
      <c r="D2809" s="27">
        <v>45661.0</v>
      </c>
      <c r="E2809" s="26" t="s">
        <v>1121</v>
      </c>
      <c r="F2809" s="26" t="s">
        <v>1200</v>
      </c>
    </row>
    <row r="2810">
      <c r="A2810" s="26" t="s">
        <v>2416</v>
      </c>
      <c r="B2810" s="26" t="s">
        <v>483</v>
      </c>
      <c r="C2810" s="27">
        <v>45661.0</v>
      </c>
      <c r="D2810" s="27">
        <v>45661.0</v>
      </c>
      <c r="E2810" s="26" t="s">
        <v>1121</v>
      </c>
      <c r="F2810" s="26" t="s">
        <v>1200</v>
      </c>
    </row>
    <row r="2811">
      <c r="A2811" s="26" t="s">
        <v>2417</v>
      </c>
      <c r="B2811" s="26" t="s">
        <v>428</v>
      </c>
      <c r="C2811" s="27">
        <v>45660.0</v>
      </c>
      <c r="D2811" s="27">
        <v>45660.0</v>
      </c>
      <c r="E2811" s="26" t="s">
        <v>1121</v>
      </c>
      <c r="F2811" s="26" t="s">
        <v>1200</v>
      </c>
    </row>
    <row r="2812">
      <c r="A2812" s="26" t="s">
        <v>2418</v>
      </c>
      <c r="B2812" s="26" t="s">
        <v>432</v>
      </c>
      <c r="C2812" s="27">
        <v>45660.0</v>
      </c>
      <c r="D2812" s="27">
        <v>45660.0</v>
      </c>
      <c r="E2812" s="26" t="s">
        <v>1121</v>
      </c>
      <c r="F2812" s="26" t="s">
        <v>1200</v>
      </c>
    </row>
    <row r="2813">
      <c r="A2813" s="26" t="s">
        <v>2419</v>
      </c>
      <c r="B2813" s="26" t="s">
        <v>461</v>
      </c>
      <c r="C2813" s="27">
        <v>45660.0</v>
      </c>
      <c r="D2813" s="27">
        <v>45660.0</v>
      </c>
      <c r="E2813" s="26" t="s">
        <v>1121</v>
      </c>
      <c r="F2813" s="26" t="s">
        <v>1200</v>
      </c>
    </row>
    <row r="2814">
      <c r="A2814" s="26" t="s">
        <v>2420</v>
      </c>
      <c r="B2814" s="26" t="s">
        <v>599</v>
      </c>
      <c r="C2814" s="27">
        <v>45660.0</v>
      </c>
      <c r="D2814" s="27">
        <v>45660.0</v>
      </c>
      <c r="E2814" s="26" t="s">
        <v>1121</v>
      </c>
      <c r="F2814" s="26" t="s">
        <v>1200</v>
      </c>
    </row>
    <row r="2815">
      <c r="A2815" s="26" t="s">
        <v>2420</v>
      </c>
      <c r="B2815" s="26" t="s">
        <v>599</v>
      </c>
      <c r="C2815" s="27">
        <v>45660.0</v>
      </c>
      <c r="D2815" s="27">
        <v>45660.0</v>
      </c>
      <c r="E2815" s="26" t="s">
        <v>1121</v>
      </c>
      <c r="F2815" s="26" t="s">
        <v>1200</v>
      </c>
    </row>
    <row r="2816">
      <c r="A2816" s="26" t="s">
        <v>2421</v>
      </c>
      <c r="B2816" s="26" t="s">
        <v>1574</v>
      </c>
      <c r="C2816" s="27">
        <v>45660.0</v>
      </c>
      <c r="D2816" s="27">
        <v>45660.0</v>
      </c>
      <c r="E2816" s="26" t="s">
        <v>1121</v>
      </c>
      <c r="F2816" s="26" t="s">
        <v>1200</v>
      </c>
    </row>
    <row r="2817">
      <c r="A2817" s="26" t="s">
        <v>2421</v>
      </c>
      <c r="B2817" s="26" t="s">
        <v>1574</v>
      </c>
      <c r="C2817" s="27">
        <v>45660.0</v>
      </c>
      <c r="D2817" s="27">
        <v>45660.0</v>
      </c>
      <c r="E2817" s="26" t="s">
        <v>1121</v>
      </c>
      <c r="F2817" s="26" t="s">
        <v>1200</v>
      </c>
    </row>
    <row r="2818">
      <c r="A2818" s="26" t="s">
        <v>2421</v>
      </c>
      <c r="B2818" s="26" t="s">
        <v>1574</v>
      </c>
      <c r="C2818" s="27">
        <v>45660.0</v>
      </c>
      <c r="D2818" s="27">
        <v>45660.0</v>
      </c>
      <c r="E2818" s="26" t="s">
        <v>1121</v>
      </c>
      <c r="F2818" s="26" t="s">
        <v>1200</v>
      </c>
    </row>
    <row r="2819">
      <c r="A2819" s="26" t="s">
        <v>2421</v>
      </c>
      <c r="B2819" s="26" t="s">
        <v>1574</v>
      </c>
      <c r="C2819" s="27">
        <v>45660.0</v>
      </c>
      <c r="D2819" s="27">
        <v>45660.0</v>
      </c>
      <c r="E2819" s="26" t="s">
        <v>1121</v>
      </c>
      <c r="F2819" s="26" t="s">
        <v>1200</v>
      </c>
    </row>
  </sheetData>
  <mergeCells count="1">
    <mergeCell ref="A1:G1"/>
  </mergeCells>
  <dataValidations>
    <dataValidation type="list" allowBlank="1" showErrorMessage="1" sqref="B5:B1622">
      <formula1>#REF!</formula1>
    </dataValidation>
    <dataValidation type="list" allowBlank="1" sqref="F5:F2819">
      <formula1>"unpaid,paid,partial,refunded"</formula1>
    </dataValidation>
    <dataValidation type="list" allowBlank="1" sqref="E5:E2819">
      <formula1>"pending,processing,shipped,delivered,cancelled"</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3.13"/>
    <col customWidth="1" min="2" max="2" width="38.38"/>
    <col customWidth="1" min="3" max="3" width="8.88"/>
    <col customWidth="1" min="4" max="4" width="15.38"/>
    <col customWidth="1" min="5" max="5" width="12.0"/>
    <col customWidth="1" min="6" max="6" width="16.38"/>
  </cols>
  <sheetData>
    <row r="1">
      <c r="A1" s="21" t="s">
        <v>2422</v>
      </c>
    </row>
    <row r="2">
      <c r="A2" s="22" t="s">
        <v>1113</v>
      </c>
      <c r="B2" s="22" t="s">
        <v>935</v>
      </c>
      <c r="C2" s="22" t="s">
        <v>91</v>
      </c>
      <c r="D2" s="22" t="s">
        <v>2423</v>
      </c>
      <c r="E2" s="22" t="s">
        <v>2424</v>
      </c>
      <c r="F2" s="22" t="s">
        <v>98</v>
      </c>
    </row>
    <row r="3">
      <c r="A3" s="23" t="s">
        <v>49</v>
      </c>
      <c r="B3" s="23" t="s">
        <v>49</v>
      </c>
      <c r="C3" s="23" t="s">
        <v>49</v>
      </c>
      <c r="D3" s="23" t="s">
        <v>49</v>
      </c>
      <c r="E3" s="24"/>
      <c r="F3" s="24"/>
    </row>
    <row r="4">
      <c r="A4" s="25" t="s">
        <v>50</v>
      </c>
      <c r="B4" s="25" t="s">
        <v>50</v>
      </c>
      <c r="C4" s="25" t="s">
        <v>101</v>
      </c>
      <c r="D4" s="25" t="s">
        <v>51</v>
      </c>
      <c r="E4" s="25" t="s">
        <v>50</v>
      </c>
      <c r="F4" s="25" t="s">
        <v>50</v>
      </c>
    </row>
    <row r="5">
      <c r="A5" s="26" t="s">
        <v>1120</v>
      </c>
      <c r="B5" s="26" t="s">
        <v>2425</v>
      </c>
      <c r="C5" s="102">
        <v>1.0</v>
      </c>
      <c r="D5" s="103">
        <v>1875000.0</v>
      </c>
      <c r="E5" s="26">
        <v>0.0</v>
      </c>
    </row>
    <row r="6">
      <c r="A6" s="26" t="s">
        <v>1123</v>
      </c>
      <c r="B6" s="26" t="s">
        <v>2426</v>
      </c>
      <c r="C6" s="102">
        <v>24.0</v>
      </c>
      <c r="D6" s="103">
        <v>55000.0</v>
      </c>
      <c r="E6" s="29">
        <v>0.0</v>
      </c>
    </row>
    <row r="7">
      <c r="A7" s="26" t="s">
        <v>1124</v>
      </c>
      <c r="B7" s="26" t="s">
        <v>2427</v>
      </c>
      <c r="C7" s="102">
        <v>1.0</v>
      </c>
      <c r="D7" s="103">
        <v>0.0</v>
      </c>
      <c r="E7" s="29">
        <v>0.0</v>
      </c>
      <c r="F7" s="26" t="s">
        <v>1522</v>
      </c>
    </row>
    <row r="8">
      <c r="A8" s="26" t="s">
        <v>1124</v>
      </c>
      <c r="B8" s="26" t="s">
        <v>2426</v>
      </c>
      <c r="C8" s="102">
        <v>1.0</v>
      </c>
      <c r="D8" s="103">
        <v>0.0</v>
      </c>
      <c r="E8" s="26">
        <v>0.0</v>
      </c>
      <c r="F8" s="26" t="s">
        <v>1522</v>
      </c>
    </row>
    <row r="9">
      <c r="A9" s="26" t="s">
        <v>1124</v>
      </c>
      <c r="B9" s="26" t="s">
        <v>2428</v>
      </c>
      <c r="C9" s="102">
        <v>1.0</v>
      </c>
      <c r="D9" s="103">
        <v>0.0</v>
      </c>
      <c r="E9" s="26">
        <v>0.0</v>
      </c>
      <c r="F9" s="26" t="s">
        <v>1522</v>
      </c>
    </row>
    <row r="10">
      <c r="A10" s="26" t="s">
        <v>1124</v>
      </c>
      <c r="B10" s="26" t="s">
        <v>2429</v>
      </c>
      <c r="C10" s="102">
        <v>1.0</v>
      </c>
      <c r="D10" s="103">
        <v>0.0</v>
      </c>
      <c r="E10" s="26">
        <v>0.0</v>
      </c>
      <c r="F10" s="26" t="s">
        <v>1522</v>
      </c>
    </row>
    <row r="11">
      <c r="A11" s="26" t="s">
        <v>1124</v>
      </c>
      <c r="B11" s="26" t="s">
        <v>2430</v>
      </c>
      <c r="C11" s="102">
        <v>1.0</v>
      </c>
      <c r="D11" s="103">
        <v>0.0</v>
      </c>
      <c r="E11" s="26">
        <v>0.0</v>
      </c>
      <c r="F11" s="26" t="s">
        <v>1522</v>
      </c>
    </row>
    <row r="12">
      <c r="A12" s="26" t="s">
        <v>1126</v>
      </c>
      <c r="B12" s="26" t="s">
        <v>2431</v>
      </c>
      <c r="C12" s="102">
        <v>1.0</v>
      </c>
      <c r="D12" s="103">
        <v>2380000.0</v>
      </c>
      <c r="E12" s="29">
        <v>0.0</v>
      </c>
    </row>
    <row r="13">
      <c r="A13" s="26" t="s">
        <v>1126</v>
      </c>
      <c r="B13" s="26" t="s">
        <v>2432</v>
      </c>
      <c r="C13" s="102">
        <v>1.0</v>
      </c>
      <c r="D13" s="103">
        <v>1480000.0</v>
      </c>
      <c r="E13" s="26">
        <v>0.0</v>
      </c>
    </row>
    <row r="14">
      <c r="A14" s="26" t="s">
        <v>1126</v>
      </c>
      <c r="B14" s="26" t="s">
        <v>2433</v>
      </c>
      <c r="C14" s="102">
        <v>1.0</v>
      </c>
      <c r="D14" s="103">
        <v>1450000.0</v>
      </c>
      <c r="E14" s="26">
        <v>0.0</v>
      </c>
    </row>
    <row r="15">
      <c r="A15" s="26" t="s">
        <v>1126</v>
      </c>
      <c r="B15" s="26" t="s">
        <v>2425</v>
      </c>
      <c r="C15" s="102">
        <v>1.0</v>
      </c>
      <c r="D15" s="103">
        <v>1875000.0</v>
      </c>
      <c r="E15" s="29">
        <v>0.0</v>
      </c>
    </row>
    <row r="16">
      <c r="A16" s="26" t="s">
        <v>1127</v>
      </c>
      <c r="B16" s="26" t="s">
        <v>2434</v>
      </c>
      <c r="C16" s="102">
        <v>1.0</v>
      </c>
      <c r="D16" s="103">
        <v>1350000.0</v>
      </c>
      <c r="E16" s="26">
        <v>0.0</v>
      </c>
    </row>
    <row r="17">
      <c r="A17" s="26" t="s">
        <v>1127</v>
      </c>
      <c r="B17" s="26" t="s">
        <v>2433</v>
      </c>
      <c r="C17" s="102">
        <v>1.0</v>
      </c>
      <c r="D17" s="103">
        <v>1450000.0</v>
      </c>
      <c r="E17" s="29">
        <v>0.0</v>
      </c>
    </row>
    <row r="18">
      <c r="A18" s="26" t="s">
        <v>1128</v>
      </c>
      <c r="B18" s="26" t="s">
        <v>2433</v>
      </c>
      <c r="C18" s="102">
        <v>1.0</v>
      </c>
      <c r="D18" s="103">
        <v>1450000.0</v>
      </c>
      <c r="E18" s="29">
        <v>0.0</v>
      </c>
    </row>
    <row r="19">
      <c r="A19" s="26" t="s">
        <v>1129</v>
      </c>
      <c r="B19" s="26" t="s">
        <v>2432</v>
      </c>
      <c r="C19" s="102">
        <v>1.0</v>
      </c>
      <c r="D19" s="103">
        <v>1480000.0</v>
      </c>
      <c r="E19" s="26">
        <v>0.0</v>
      </c>
    </row>
    <row r="20">
      <c r="A20" s="26" t="s">
        <v>1130</v>
      </c>
      <c r="B20" s="26" t="s">
        <v>2432</v>
      </c>
      <c r="C20" s="102">
        <v>1.0</v>
      </c>
      <c r="D20" s="104">
        <v>1480000.0</v>
      </c>
      <c r="E20" s="26">
        <v>0.0</v>
      </c>
    </row>
    <row r="21">
      <c r="A21" s="26" t="s">
        <v>1130</v>
      </c>
      <c r="B21" s="26" t="s">
        <v>2433</v>
      </c>
      <c r="C21" s="102">
        <v>1.0</v>
      </c>
      <c r="D21" s="103">
        <v>1450000.0</v>
      </c>
      <c r="E21" s="26">
        <v>0.0</v>
      </c>
    </row>
    <row r="22">
      <c r="A22" s="26" t="s">
        <v>1131</v>
      </c>
      <c r="B22" s="26" t="s">
        <v>2429</v>
      </c>
      <c r="C22" s="102">
        <v>48.0</v>
      </c>
      <c r="D22" s="104">
        <v>45000.0</v>
      </c>
      <c r="E22" s="26">
        <v>0.0</v>
      </c>
    </row>
    <row r="23">
      <c r="A23" s="26" t="s">
        <v>1131</v>
      </c>
      <c r="B23" s="26" t="s">
        <v>2430</v>
      </c>
      <c r="C23" s="102">
        <v>14.0</v>
      </c>
      <c r="D23" s="103">
        <v>45000.0</v>
      </c>
      <c r="E23" s="26">
        <v>0.0</v>
      </c>
    </row>
    <row r="24">
      <c r="A24" s="26" t="s">
        <v>1131</v>
      </c>
      <c r="B24" s="26" t="s">
        <v>2426</v>
      </c>
      <c r="C24" s="102">
        <v>10.0</v>
      </c>
      <c r="D24" s="103">
        <v>55000.0</v>
      </c>
      <c r="E24" s="26">
        <v>0.0</v>
      </c>
    </row>
    <row r="25">
      <c r="A25" s="26" t="s">
        <v>1132</v>
      </c>
      <c r="B25" s="26" t="s">
        <v>2429</v>
      </c>
      <c r="C25" s="102">
        <v>24.0</v>
      </c>
      <c r="D25" s="103">
        <v>45000.0</v>
      </c>
      <c r="E25" s="26">
        <v>0.0</v>
      </c>
    </row>
    <row r="26">
      <c r="A26" s="26" t="s">
        <v>1133</v>
      </c>
      <c r="B26" s="26" t="s">
        <v>2432</v>
      </c>
      <c r="C26" s="102">
        <v>1.0</v>
      </c>
      <c r="D26" s="103">
        <v>1480000.0</v>
      </c>
      <c r="E26" s="29">
        <v>0.0</v>
      </c>
    </row>
    <row r="27">
      <c r="A27" s="26" t="s">
        <v>1133</v>
      </c>
      <c r="B27" s="26" t="s">
        <v>2433</v>
      </c>
      <c r="C27" s="102">
        <v>1.0</v>
      </c>
      <c r="D27" s="103">
        <v>1450000.0</v>
      </c>
      <c r="E27" s="29">
        <v>0.0</v>
      </c>
    </row>
    <row r="28">
      <c r="A28" s="26" t="s">
        <v>1134</v>
      </c>
      <c r="B28" s="26" t="s">
        <v>2433</v>
      </c>
      <c r="C28" s="102">
        <v>1.0</v>
      </c>
      <c r="D28" s="103">
        <v>1450000.0</v>
      </c>
      <c r="E28" s="26">
        <v>0.0</v>
      </c>
    </row>
    <row r="29">
      <c r="A29" s="26" t="s">
        <v>1135</v>
      </c>
      <c r="B29" s="26" t="s">
        <v>2433</v>
      </c>
      <c r="C29" s="102">
        <v>1.0</v>
      </c>
      <c r="D29" s="104">
        <v>1450000.0</v>
      </c>
      <c r="E29" s="26">
        <v>0.0</v>
      </c>
    </row>
    <row r="30">
      <c r="A30" s="26" t="s">
        <v>1136</v>
      </c>
      <c r="B30" s="26" t="s">
        <v>2433</v>
      </c>
      <c r="C30" s="102">
        <v>1.0</v>
      </c>
      <c r="D30" s="104">
        <v>1450000.0</v>
      </c>
      <c r="E30" s="26">
        <v>0.0</v>
      </c>
    </row>
    <row r="31">
      <c r="A31" s="26" t="s">
        <v>1137</v>
      </c>
      <c r="B31" s="26" t="s">
        <v>2433</v>
      </c>
      <c r="C31" s="102">
        <v>1.0</v>
      </c>
      <c r="D31" s="104">
        <v>1450000.0</v>
      </c>
      <c r="E31" s="26">
        <v>0.0</v>
      </c>
    </row>
    <row r="32">
      <c r="A32" s="26" t="s">
        <v>1138</v>
      </c>
      <c r="B32" s="26" t="s">
        <v>2433</v>
      </c>
      <c r="C32" s="102">
        <v>1.0</v>
      </c>
      <c r="D32" s="104">
        <v>1450000.0</v>
      </c>
      <c r="E32" s="26">
        <v>0.0</v>
      </c>
    </row>
    <row r="33">
      <c r="A33" s="26" t="s">
        <v>1139</v>
      </c>
      <c r="B33" s="26" t="s">
        <v>2425</v>
      </c>
      <c r="C33" s="102">
        <v>1.0</v>
      </c>
      <c r="D33" s="104">
        <v>1875000.0</v>
      </c>
      <c r="E33" s="26">
        <v>0.0</v>
      </c>
    </row>
    <row r="34">
      <c r="A34" s="26" t="s">
        <v>1140</v>
      </c>
      <c r="B34" s="26" t="s">
        <v>2431</v>
      </c>
      <c r="C34" s="102">
        <v>15.0</v>
      </c>
      <c r="D34" s="104">
        <v>2380000.0</v>
      </c>
      <c r="E34" s="26">
        <v>0.0</v>
      </c>
    </row>
    <row r="35">
      <c r="A35" s="26" t="s">
        <v>1140</v>
      </c>
      <c r="B35" s="26" t="s">
        <v>2433</v>
      </c>
      <c r="C35" s="102">
        <v>15.0</v>
      </c>
      <c r="D35" s="103">
        <v>1450000.0</v>
      </c>
      <c r="E35" s="29">
        <v>0.0</v>
      </c>
    </row>
    <row r="36">
      <c r="A36" s="26" t="s">
        <v>1140</v>
      </c>
      <c r="B36" s="26" t="s">
        <v>2427</v>
      </c>
      <c r="C36" s="102">
        <v>120.0</v>
      </c>
      <c r="D36" s="103">
        <v>60000.0</v>
      </c>
      <c r="E36" s="29">
        <v>0.0</v>
      </c>
    </row>
    <row r="37">
      <c r="A37" s="26" t="s">
        <v>1140</v>
      </c>
      <c r="B37" s="26" t="s">
        <v>2429</v>
      </c>
      <c r="C37" s="102">
        <v>480.0</v>
      </c>
      <c r="D37" s="103">
        <v>45000.0</v>
      </c>
      <c r="E37" s="26">
        <v>0.0</v>
      </c>
    </row>
    <row r="38">
      <c r="A38" s="26" t="s">
        <v>1141</v>
      </c>
      <c r="B38" s="26" t="s">
        <v>2433</v>
      </c>
      <c r="C38" s="102">
        <v>1.0</v>
      </c>
      <c r="D38" s="104">
        <v>1450000.0</v>
      </c>
      <c r="E38" s="26">
        <v>0.0</v>
      </c>
    </row>
    <row r="39">
      <c r="A39" s="26" t="s">
        <v>1142</v>
      </c>
      <c r="B39" s="26" t="s">
        <v>2433</v>
      </c>
      <c r="C39" s="102">
        <v>1.0</v>
      </c>
      <c r="D39" s="103">
        <v>1450000.0</v>
      </c>
      <c r="E39" s="26">
        <v>0.0</v>
      </c>
    </row>
    <row r="40">
      <c r="A40" s="26" t="s">
        <v>1143</v>
      </c>
      <c r="B40" s="26" t="s">
        <v>2433</v>
      </c>
      <c r="C40" s="102">
        <v>1.0</v>
      </c>
      <c r="D40" s="103">
        <v>1450000.0</v>
      </c>
      <c r="E40" s="26">
        <v>0.0</v>
      </c>
    </row>
    <row r="41">
      <c r="A41" s="26" t="s">
        <v>1144</v>
      </c>
      <c r="B41" s="26" t="s">
        <v>2433</v>
      </c>
      <c r="C41" s="102">
        <v>1.0</v>
      </c>
      <c r="D41" s="103">
        <v>1450000.0</v>
      </c>
      <c r="E41" s="26">
        <v>0.0</v>
      </c>
    </row>
    <row r="42">
      <c r="A42" s="26" t="s">
        <v>1145</v>
      </c>
      <c r="B42" s="26" t="s">
        <v>2431</v>
      </c>
      <c r="C42" s="102">
        <v>1.0</v>
      </c>
      <c r="D42" s="103">
        <v>2380000.0</v>
      </c>
      <c r="E42" s="26">
        <v>0.0</v>
      </c>
    </row>
    <row r="43">
      <c r="A43" s="26" t="s">
        <v>1146</v>
      </c>
      <c r="B43" s="26" t="s">
        <v>2425</v>
      </c>
      <c r="C43" s="102">
        <v>1.0</v>
      </c>
      <c r="D43" s="103">
        <v>1875000.0</v>
      </c>
      <c r="E43" s="26">
        <v>0.0</v>
      </c>
    </row>
    <row r="44">
      <c r="A44" s="26" t="s">
        <v>1146</v>
      </c>
      <c r="B44" s="26" t="s">
        <v>2431</v>
      </c>
      <c r="C44" s="102">
        <v>1.0</v>
      </c>
      <c r="D44" s="103">
        <v>2380000.0</v>
      </c>
      <c r="E44" s="29">
        <v>0.0</v>
      </c>
    </row>
    <row r="45">
      <c r="A45" s="26" t="s">
        <v>1147</v>
      </c>
      <c r="B45" s="26" t="s">
        <v>2435</v>
      </c>
      <c r="C45" s="102">
        <v>1.0</v>
      </c>
      <c r="D45" s="103">
        <v>0.0</v>
      </c>
      <c r="E45" s="29">
        <v>0.0</v>
      </c>
      <c r="F45" s="26" t="s">
        <v>1522</v>
      </c>
    </row>
    <row r="46">
      <c r="A46" s="26" t="s">
        <v>1147</v>
      </c>
      <c r="B46" s="26" t="s">
        <v>2427</v>
      </c>
      <c r="C46" s="102">
        <v>1.0</v>
      </c>
      <c r="D46" s="104">
        <v>0.0</v>
      </c>
      <c r="E46" s="26">
        <v>0.0</v>
      </c>
      <c r="F46" s="26" t="s">
        <v>1522</v>
      </c>
    </row>
    <row r="47">
      <c r="A47" s="26" t="s">
        <v>1147</v>
      </c>
      <c r="B47" s="26" t="s">
        <v>2430</v>
      </c>
      <c r="C47" s="102">
        <v>1.0</v>
      </c>
      <c r="D47" s="103">
        <v>0.0</v>
      </c>
      <c r="E47" s="26">
        <v>0.0</v>
      </c>
      <c r="F47" s="26" t="s">
        <v>1522</v>
      </c>
    </row>
    <row r="48">
      <c r="A48" s="26" t="s">
        <v>1147</v>
      </c>
      <c r="B48" s="26" t="s">
        <v>2426</v>
      </c>
      <c r="C48" s="102">
        <v>1.0</v>
      </c>
      <c r="D48" s="104">
        <v>0.0</v>
      </c>
      <c r="E48" s="26">
        <v>0.0</v>
      </c>
      <c r="F48" s="26" t="s">
        <v>1522</v>
      </c>
    </row>
    <row r="49">
      <c r="A49" s="26" t="s">
        <v>1147</v>
      </c>
      <c r="B49" s="26" t="s">
        <v>2428</v>
      </c>
      <c r="C49" s="102">
        <v>1.0</v>
      </c>
      <c r="D49" s="104">
        <v>0.0</v>
      </c>
      <c r="E49" s="26">
        <v>0.0</v>
      </c>
      <c r="F49" s="26" t="s">
        <v>1522</v>
      </c>
    </row>
    <row r="50">
      <c r="A50" s="26" t="s">
        <v>1147</v>
      </c>
      <c r="B50" s="26" t="s">
        <v>2429</v>
      </c>
      <c r="C50" s="102">
        <v>1.0</v>
      </c>
      <c r="D50" s="104">
        <v>0.0</v>
      </c>
      <c r="E50" s="26">
        <v>0.0</v>
      </c>
      <c r="F50" s="26" t="s">
        <v>1522</v>
      </c>
    </row>
    <row r="51">
      <c r="A51" s="29" t="s">
        <v>1149</v>
      </c>
      <c r="B51" s="26" t="s">
        <v>2427</v>
      </c>
      <c r="C51" s="102">
        <v>120.0</v>
      </c>
      <c r="D51" s="104">
        <v>60000.0</v>
      </c>
      <c r="E51" s="29">
        <v>21000.0</v>
      </c>
    </row>
    <row r="52">
      <c r="A52" s="29" t="s">
        <v>1149</v>
      </c>
      <c r="B52" s="26" t="s">
        <v>2426</v>
      </c>
      <c r="C52" s="102">
        <v>240.0</v>
      </c>
      <c r="D52" s="104">
        <v>55000.0</v>
      </c>
      <c r="E52" s="29">
        <v>19250.0</v>
      </c>
    </row>
    <row r="53">
      <c r="A53" s="26" t="s">
        <v>1150</v>
      </c>
      <c r="B53" s="26" t="s">
        <v>2433</v>
      </c>
      <c r="C53" s="102">
        <v>1.0</v>
      </c>
      <c r="D53" s="104">
        <v>1450000.0</v>
      </c>
      <c r="E53" s="26">
        <v>0.0</v>
      </c>
    </row>
    <row r="54">
      <c r="A54" s="26" t="s">
        <v>1151</v>
      </c>
      <c r="B54" s="26" t="s">
        <v>2427</v>
      </c>
      <c r="C54" s="102">
        <v>24.0</v>
      </c>
      <c r="D54" s="104">
        <v>60000.0</v>
      </c>
      <c r="E54" s="26">
        <v>0.0</v>
      </c>
    </row>
    <row r="55">
      <c r="A55" s="26" t="s">
        <v>1151</v>
      </c>
      <c r="B55" s="26" t="s">
        <v>2426</v>
      </c>
      <c r="C55" s="102">
        <v>48.0</v>
      </c>
      <c r="D55" s="104">
        <v>55000.0</v>
      </c>
      <c r="E55" s="26">
        <v>0.0</v>
      </c>
    </row>
    <row r="56">
      <c r="A56" s="26" t="s">
        <v>1152</v>
      </c>
      <c r="B56" s="26" t="s">
        <v>2429</v>
      </c>
      <c r="C56" s="102">
        <v>6.0</v>
      </c>
      <c r="D56" s="104">
        <v>45000.0</v>
      </c>
      <c r="E56" s="26">
        <v>0.0</v>
      </c>
    </row>
    <row r="57">
      <c r="A57" s="26" t="s">
        <v>1152</v>
      </c>
      <c r="B57" s="26" t="s">
        <v>2426</v>
      </c>
      <c r="C57" s="102">
        <v>18.0</v>
      </c>
      <c r="D57" s="103">
        <v>55000.0</v>
      </c>
      <c r="E57" s="26">
        <v>0.0</v>
      </c>
    </row>
    <row r="58">
      <c r="A58" s="26" t="s">
        <v>1153</v>
      </c>
      <c r="B58" s="26" t="s">
        <v>2429</v>
      </c>
      <c r="C58" s="102">
        <v>24.0</v>
      </c>
      <c r="D58" s="103">
        <v>45000.0</v>
      </c>
      <c r="E58" s="26">
        <v>0.0</v>
      </c>
    </row>
    <row r="59">
      <c r="A59" s="26" t="s">
        <v>1154</v>
      </c>
      <c r="B59" s="26" t="s">
        <v>2425</v>
      </c>
      <c r="C59" s="102">
        <v>1.0</v>
      </c>
      <c r="D59" s="103">
        <v>1875000.0</v>
      </c>
      <c r="E59" s="26">
        <v>0.0</v>
      </c>
    </row>
    <row r="60">
      <c r="A60" s="26" t="s">
        <v>1155</v>
      </c>
      <c r="B60" s="26" t="s">
        <v>2431</v>
      </c>
      <c r="C60" s="102">
        <v>1.0</v>
      </c>
      <c r="D60" s="103">
        <v>2380000.0</v>
      </c>
      <c r="E60" s="26">
        <v>0.0</v>
      </c>
    </row>
    <row r="61">
      <c r="A61" s="26" t="s">
        <v>1155</v>
      </c>
      <c r="B61" s="26" t="s">
        <v>2433</v>
      </c>
      <c r="C61" s="102">
        <v>1.0</v>
      </c>
      <c r="D61" s="104">
        <v>1450000.0</v>
      </c>
      <c r="E61" s="26">
        <v>0.0</v>
      </c>
    </row>
    <row r="62">
      <c r="A62" s="26" t="s">
        <v>1156</v>
      </c>
      <c r="B62" s="26" t="s">
        <v>2429</v>
      </c>
      <c r="C62" s="102">
        <v>24.0</v>
      </c>
      <c r="D62" s="103">
        <v>45000.0</v>
      </c>
      <c r="E62" s="26">
        <v>0.0</v>
      </c>
    </row>
    <row r="63">
      <c r="A63" s="26" t="s">
        <v>1157</v>
      </c>
      <c r="B63" s="26" t="s">
        <v>2433</v>
      </c>
      <c r="C63" s="102">
        <v>1.0</v>
      </c>
      <c r="D63" s="103">
        <v>1450000.0</v>
      </c>
      <c r="E63" s="26">
        <v>0.0</v>
      </c>
    </row>
    <row r="64">
      <c r="A64" s="26" t="s">
        <v>1158</v>
      </c>
      <c r="B64" s="26" t="s">
        <v>2432</v>
      </c>
      <c r="C64" s="102">
        <v>1.0</v>
      </c>
      <c r="D64" s="103">
        <v>1480000.0</v>
      </c>
      <c r="E64" s="26">
        <v>0.0</v>
      </c>
    </row>
    <row r="65">
      <c r="A65" s="26" t="s">
        <v>1159</v>
      </c>
      <c r="B65" s="26" t="s">
        <v>2429</v>
      </c>
      <c r="C65" s="102">
        <v>24.0</v>
      </c>
      <c r="D65" s="104">
        <v>45000.0</v>
      </c>
      <c r="E65" s="26">
        <v>0.0</v>
      </c>
    </row>
    <row r="66">
      <c r="A66" s="26" t="s">
        <v>1160</v>
      </c>
      <c r="B66" s="26" t="s">
        <v>2426</v>
      </c>
      <c r="C66" s="102">
        <v>48.0</v>
      </c>
      <c r="D66" s="103">
        <v>55000.0</v>
      </c>
      <c r="E66" s="26">
        <v>0.0</v>
      </c>
    </row>
    <row r="67">
      <c r="A67" s="29" t="s">
        <v>1161</v>
      </c>
      <c r="B67" s="26" t="s">
        <v>2432</v>
      </c>
      <c r="C67" s="102">
        <v>1.0</v>
      </c>
      <c r="D67" s="104">
        <v>1480000.0</v>
      </c>
      <c r="E67" s="29">
        <v>74000.0</v>
      </c>
    </row>
    <row r="68">
      <c r="A68" s="29" t="s">
        <v>1162</v>
      </c>
      <c r="B68" s="26" t="s">
        <v>2430</v>
      </c>
      <c r="C68" s="102">
        <v>288.0</v>
      </c>
      <c r="D68" s="103">
        <v>45000.0</v>
      </c>
      <c r="E68" s="29">
        <v>15750.0</v>
      </c>
    </row>
    <row r="69">
      <c r="A69" s="29" t="s">
        <v>1162</v>
      </c>
      <c r="B69" s="26" t="s">
        <v>2428</v>
      </c>
      <c r="C69" s="102">
        <v>288.0</v>
      </c>
      <c r="D69" s="103">
        <v>45000.0</v>
      </c>
      <c r="E69" s="29">
        <v>15750.0</v>
      </c>
    </row>
    <row r="70">
      <c r="A70" s="29" t="s">
        <v>1162</v>
      </c>
      <c r="B70" s="26" t="s">
        <v>2429</v>
      </c>
      <c r="C70" s="102">
        <v>480.0</v>
      </c>
      <c r="D70" s="103">
        <v>45000.0</v>
      </c>
      <c r="E70" s="29">
        <v>15750.0</v>
      </c>
    </row>
    <row r="71">
      <c r="A71" s="29" t="s">
        <v>1162</v>
      </c>
      <c r="B71" s="26" t="s">
        <v>2434</v>
      </c>
      <c r="C71" s="102">
        <v>12.0</v>
      </c>
      <c r="D71" s="103">
        <v>1350000.0</v>
      </c>
      <c r="E71" s="29">
        <v>472500.0</v>
      </c>
    </row>
    <row r="72">
      <c r="A72" s="29" t="s">
        <v>1162</v>
      </c>
      <c r="B72" s="26" t="s">
        <v>2425</v>
      </c>
      <c r="C72" s="102">
        <v>8.0</v>
      </c>
      <c r="D72" s="103">
        <v>1875000.0</v>
      </c>
      <c r="E72" s="29">
        <v>656250.0</v>
      </c>
    </row>
    <row r="73">
      <c r="A73" s="26" t="s">
        <v>1163</v>
      </c>
      <c r="B73" s="26" t="s">
        <v>2434</v>
      </c>
      <c r="C73" s="102">
        <v>2.0</v>
      </c>
      <c r="D73" s="103">
        <v>1350000.0</v>
      </c>
      <c r="E73" s="29">
        <v>0.0</v>
      </c>
    </row>
    <row r="74">
      <c r="A74" s="26" t="s">
        <v>1164</v>
      </c>
      <c r="B74" s="26" t="s">
        <v>2434</v>
      </c>
      <c r="C74" s="102">
        <v>1.0</v>
      </c>
      <c r="D74" s="104">
        <v>1350000.0</v>
      </c>
      <c r="E74" s="29">
        <v>0.0</v>
      </c>
    </row>
    <row r="75">
      <c r="A75" s="26" t="s">
        <v>1165</v>
      </c>
      <c r="B75" s="26" t="s">
        <v>2431</v>
      </c>
      <c r="C75" s="102">
        <v>1.0</v>
      </c>
      <c r="D75" s="104">
        <v>2380000.0</v>
      </c>
      <c r="E75" s="29">
        <v>0.0</v>
      </c>
    </row>
    <row r="76">
      <c r="A76" s="26" t="s">
        <v>1165</v>
      </c>
      <c r="B76" s="26" t="s">
        <v>2433</v>
      </c>
      <c r="C76" s="102">
        <v>1.0</v>
      </c>
      <c r="D76" s="104">
        <v>1450000.0</v>
      </c>
      <c r="E76" s="29">
        <v>0.0</v>
      </c>
    </row>
    <row r="77">
      <c r="A77" s="26" t="s">
        <v>1166</v>
      </c>
      <c r="B77" s="26" t="s">
        <v>2425</v>
      </c>
      <c r="C77" s="102">
        <v>1.0</v>
      </c>
      <c r="D77" s="104">
        <v>1875000.0</v>
      </c>
      <c r="E77" s="29">
        <v>0.0</v>
      </c>
    </row>
    <row r="78">
      <c r="A78" s="26" t="s">
        <v>1166</v>
      </c>
      <c r="B78" s="26" t="s">
        <v>2433</v>
      </c>
      <c r="C78" s="102">
        <v>1.0</v>
      </c>
      <c r="D78" s="104">
        <v>1450000.0</v>
      </c>
      <c r="E78" s="29">
        <v>0.0</v>
      </c>
    </row>
    <row r="79">
      <c r="A79" s="26" t="s">
        <v>1167</v>
      </c>
      <c r="B79" s="26" t="s">
        <v>2429</v>
      </c>
      <c r="C79" s="102">
        <v>24.0</v>
      </c>
      <c r="D79" s="104">
        <v>45000.0</v>
      </c>
      <c r="E79" s="29">
        <v>0.0</v>
      </c>
    </row>
    <row r="80">
      <c r="A80" s="29" t="s">
        <v>1168</v>
      </c>
      <c r="B80" s="26" t="s">
        <v>2432</v>
      </c>
      <c r="C80" s="102">
        <v>1.0</v>
      </c>
      <c r="D80" s="103">
        <v>1480000.0</v>
      </c>
      <c r="E80" s="29">
        <v>74000.0</v>
      </c>
    </row>
    <row r="81">
      <c r="A81" s="26" t="s">
        <v>1169</v>
      </c>
      <c r="B81" s="26" t="s">
        <v>2426</v>
      </c>
      <c r="C81" s="102">
        <v>24.0</v>
      </c>
      <c r="D81" s="104">
        <v>55000.0</v>
      </c>
      <c r="E81" s="26">
        <v>0.0</v>
      </c>
    </row>
    <row r="82">
      <c r="A82" s="26" t="s">
        <v>1169</v>
      </c>
      <c r="B82" s="26" t="s">
        <v>2427</v>
      </c>
      <c r="C82" s="102">
        <v>2.0</v>
      </c>
      <c r="D82" s="103">
        <v>0.0</v>
      </c>
      <c r="E82" s="26">
        <v>0.0</v>
      </c>
      <c r="F82" s="26" t="s">
        <v>1522</v>
      </c>
    </row>
    <row r="83">
      <c r="A83" s="26" t="s">
        <v>1170</v>
      </c>
      <c r="B83" s="26" t="s">
        <v>2433</v>
      </c>
      <c r="C83" s="102">
        <v>1.0</v>
      </c>
      <c r="D83" s="103">
        <v>1450000.0</v>
      </c>
      <c r="E83" s="26">
        <v>0.0</v>
      </c>
    </row>
    <row r="84">
      <c r="A84" s="26" t="s">
        <v>1171</v>
      </c>
      <c r="B84" s="26" t="s">
        <v>2430</v>
      </c>
      <c r="C84" s="102">
        <v>120.0</v>
      </c>
      <c r="D84" s="104">
        <v>70000.0</v>
      </c>
      <c r="E84" s="26">
        <v>0.0</v>
      </c>
    </row>
    <row r="85">
      <c r="A85" s="26" t="s">
        <v>1171</v>
      </c>
      <c r="B85" s="26" t="s">
        <v>2430</v>
      </c>
      <c r="C85" s="102">
        <v>24.0</v>
      </c>
      <c r="D85" s="104">
        <v>0.0</v>
      </c>
      <c r="E85" s="26">
        <v>0.0</v>
      </c>
      <c r="F85" s="26" t="s">
        <v>2436</v>
      </c>
    </row>
    <row r="86">
      <c r="A86" s="26" t="s">
        <v>1173</v>
      </c>
      <c r="B86" s="26" t="s">
        <v>2430</v>
      </c>
      <c r="C86" s="102">
        <v>24.0</v>
      </c>
      <c r="D86" s="103">
        <v>45000.0</v>
      </c>
      <c r="E86" s="26">
        <v>0.0</v>
      </c>
    </row>
    <row r="87">
      <c r="A87" s="26" t="s">
        <v>1173</v>
      </c>
      <c r="B87" s="26" t="s">
        <v>2426</v>
      </c>
      <c r="C87" s="102">
        <v>24.0</v>
      </c>
      <c r="D87" s="103">
        <v>55000.0</v>
      </c>
      <c r="E87" s="26">
        <v>0.0</v>
      </c>
    </row>
    <row r="88">
      <c r="A88" s="29" t="s">
        <v>1174</v>
      </c>
      <c r="B88" s="26" t="s">
        <v>2432</v>
      </c>
      <c r="C88" s="102">
        <v>1.0</v>
      </c>
      <c r="D88" s="103">
        <v>1480000.0</v>
      </c>
      <c r="E88" s="29">
        <v>74000.0</v>
      </c>
    </row>
    <row r="89">
      <c r="A89" s="29" t="s">
        <v>1174</v>
      </c>
      <c r="B89" s="26" t="s">
        <v>2425</v>
      </c>
      <c r="C89" s="102">
        <v>1.0</v>
      </c>
      <c r="D89" s="103">
        <v>1875000.0</v>
      </c>
      <c r="E89" s="29">
        <v>93750.0</v>
      </c>
    </row>
    <row r="90">
      <c r="A90" s="29" t="s">
        <v>1174</v>
      </c>
      <c r="B90" s="26" t="s">
        <v>2431</v>
      </c>
      <c r="C90" s="102">
        <v>1.0</v>
      </c>
      <c r="D90" s="104">
        <v>2380000.0</v>
      </c>
      <c r="E90" s="29">
        <v>119000.0</v>
      </c>
    </row>
    <row r="91">
      <c r="A91" s="29" t="s">
        <v>1174</v>
      </c>
      <c r="B91" s="26" t="s">
        <v>2433</v>
      </c>
      <c r="C91" s="102">
        <v>1.0</v>
      </c>
      <c r="D91" s="103">
        <v>1450000.0</v>
      </c>
      <c r="E91" s="29">
        <v>72500.0</v>
      </c>
    </row>
    <row r="92">
      <c r="A92" s="26" t="s">
        <v>1174</v>
      </c>
      <c r="B92" s="26" t="s">
        <v>2437</v>
      </c>
      <c r="C92" s="102">
        <v>12.0</v>
      </c>
      <c r="D92" s="103">
        <v>0.0</v>
      </c>
      <c r="E92" s="26">
        <v>0.0</v>
      </c>
      <c r="F92" s="26" t="s">
        <v>2438</v>
      </c>
    </row>
    <row r="93">
      <c r="A93" s="29" t="s">
        <v>1175</v>
      </c>
      <c r="B93" s="26" t="s">
        <v>2433</v>
      </c>
      <c r="C93" s="102">
        <v>1.0</v>
      </c>
      <c r="D93" s="103">
        <v>1450000.0</v>
      </c>
      <c r="E93" s="29">
        <v>72500.0</v>
      </c>
    </row>
    <row r="94">
      <c r="A94" s="26" t="s">
        <v>1176</v>
      </c>
      <c r="B94" s="26" t="s">
        <v>2426</v>
      </c>
      <c r="C94" s="102">
        <v>12.0</v>
      </c>
      <c r="D94" s="103">
        <v>55000.0</v>
      </c>
      <c r="E94" s="26">
        <v>0.0</v>
      </c>
    </row>
    <row r="95">
      <c r="A95" s="26" t="s">
        <v>1176</v>
      </c>
      <c r="B95" s="26" t="s">
        <v>2429</v>
      </c>
      <c r="C95" s="102">
        <v>12.0</v>
      </c>
      <c r="D95" s="103">
        <v>45000.0</v>
      </c>
      <c r="E95" s="29">
        <v>0.0</v>
      </c>
    </row>
    <row r="96">
      <c r="A96" s="26" t="s">
        <v>1176</v>
      </c>
      <c r="B96" s="26" t="s">
        <v>2435</v>
      </c>
      <c r="C96" s="102">
        <v>1.0</v>
      </c>
      <c r="D96" s="103">
        <v>0.0</v>
      </c>
      <c r="E96" s="26">
        <v>0.0</v>
      </c>
      <c r="F96" s="26" t="s">
        <v>1522</v>
      </c>
    </row>
    <row r="97">
      <c r="A97" s="26" t="s">
        <v>1176</v>
      </c>
      <c r="B97" s="26" t="s">
        <v>2427</v>
      </c>
      <c r="C97" s="102">
        <v>1.0</v>
      </c>
      <c r="D97" s="103">
        <v>0.0</v>
      </c>
      <c r="E97" s="29">
        <v>0.0</v>
      </c>
      <c r="F97" s="26" t="s">
        <v>1522</v>
      </c>
    </row>
    <row r="98">
      <c r="A98" s="26" t="s">
        <v>1177</v>
      </c>
      <c r="B98" s="26" t="s">
        <v>2426</v>
      </c>
      <c r="C98" s="102">
        <v>48.0</v>
      </c>
      <c r="D98" s="103">
        <v>55000.0</v>
      </c>
      <c r="E98" s="26">
        <v>0.0</v>
      </c>
    </row>
    <row r="99">
      <c r="A99" s="26" t="s">
        <v>1178</v>
      </c>
      <c r="B99" s="26" t="s">
        <v>2426</v>
      </c>
      <c r="C99" s="102">
        <v>24.0</v>
      </c>
      <c r="D99" s="103">
        <v>55000.0</v>
      </c>
      <c r="E99" s="29">
        <v>0.0</v>
      </c>
    </row>
    <row r="100">
      <c r="A100" s="26" t="s">
        <v>1180</v>
      </c>
      <c r="B100" s="26" t="s">
        <v>2429</v>
      </c>
      <c r="C100" s="102">
        <v>24.0</v>
      </c>
      <c r="D100" s="103">
        <v>45000.0</v>
      </c>
      <c r="E100" s="26">
        <v>0.0</v>
      </c>
    </row>
    <row r="101">
      <c r="A101" s="26" t="s">
        <v>1181</v>
      </c>
      <c r="B101" s="26" t="s">
        <v>2427</v>
      </c>
      <c r="C101" s="102">
        <v>18.0</v>
      </c>
      <c r="D101" s="103">
        <v>60000.0</v>
      </c>
      <c r="E101" s="29">
        <v>0.0</v>
      </c>
    </row>
    <row r="102">
      <c r="A102" s="26" t="s">
        <v>1181</v>
      </c>
      <c r="B102" s="26" t="s">
        <v>2429</v>
      </c>
      <c r="C102" s="102">
        <v>24.0</v>
      </c>
      <c r="D102" s="103">
        <v>45000.0</v>
      </c>
      <c r="E102" s="26">
        <v>0.0</v>
      </c>
    </row>
    <row r="103">
      <c r="A103" s="29" t="s">
        <v>1182</v>
      </c>
      <c r="B103" s="26" t="s">
        <v>2429</v>
      </c>
      <c r="C103" s="102">
        <v>480.0</v>
      </c>
      <c r="D103" s="103">
        <v>45000.0</v>
      </c>
      <c r="E103" s="29">
        <v>13500.0</v>
      </c>
    </row>
    <row r="104">
      <c r="A104" s="29" t="s">
        <v>1182</v>
      </c>
      <c r="B104" s="26" t="s">
        <v>2426</v>
      </c>
      <c r="C104" s="102">
        <v>120.0</v>
      </c>
      <c r="D104" s="103">
        <v>55000.0</v>
      </c>
      <c r="E104" s="29">
        <v>16500.0</v>
      </c>
    </row>
    <row r="105">
      <c r="A105" s="29" t="s">
        <v>1182</v>
      </c>
      <c r="B105" s="26" t="s">
        <v>2427</v>
      </c>
      <c r="C105" s="102">
        <v>120.0</v>
      </c>
      <c r="D105" s="103">
        <v>60000.0</v>
      </c>
      <c r="E105" s="29">
        <v>18000.0</v>
      </c>
    </row>
    <row r="106">
      <c r="A106" s="29" t="s">
        <v>1182</v>
      </c>
      <c r="B106" s="26" t="s">
        <v>2433</v>
      </c>
      <c r="C106" s="102">
        <v>10.0</v>
      </c>
      <c r="D106" s="103">
        <v>1450000.0</v>
      </c>
      <c r="E106" s="29">
        <v>435000.0</v>
      </c>
    </row>
    <row r="107">
      <c r="A107" s="29" t="s">
        <v>1182</v>
      </c>
      <c r="B107" s="26" t="s">
        <v>2432</v>
      </c>
      <c r="C107" s="102">
        <v>10.0</v>
      </c>
      <c r="D107" s="103">
        <v>1480000.0</v>
      </c>
      <c r="E107" s="29">
        <v>444000.0</v>
      </c>
    </row>
    <row r="108">
      <c r="A108" s="29" t="s">
        <v>1182</v>
      </c>
      <c r="B108" s="26" t="s">
        <v>2431</v>
      </c>
      <c r="C108" s="102">
        <v>15.0</v>
      </c>
      <c r="D108" s="103">
        <v>2380000.0</v>
      </c>
      <c r="E108" s="29">
        <v>714000.0</v>
      </c>
    </row>
    <row r="109">
      <c r="A109" s="26" t="s">
        <v>1183</v>
      </c>
      <c r="B109" s="26" t="s">
        <v>2431</v>
      </c>
      <c r="C109" s="102">
        <v>1.0</v>
      </c>
      <c r="D109" s="103">
        <v>2380000.0</v>
      </c>
      <c r="E109" s="26">
        <v>0.0</v>
      </c>
    </row>
    <row r="110">
      <c r="A110" s="26" t="s">
        <v>1184</v>
      </c>
      <c r="B110" s="26" t="s">
        <v>2431</v>
      </c>
      <c r="C110" s="102">
        <v>1.0</v>
      </c>
      <c r="D110" s="104">
        <v>2380000.0</v>
      </c>
      <c r="E110" s="26">
        <v>0.0</v>
      </c>
    </row>
    <row r="111">
      <c r="A111" s="26" t="s">
        <v>1184</v>
      </c>
      <c r="B111" s="26" t="s">
        <v>2425</v>
      </c>
      <c r="C111" s="102">
        <v>1.0</v>
      </c>
      <c r="D111" s="103">
        <v>1875000.0</v>
      </c>
      <c r="E111" s="26">
        <v>0.0</v>
      </c>
    </row>
    <row r="112">
      <c r="A112" s="26" t="s">
        <v>1185</v>
      </c>
      <c r="B112" s="26" t="s">
        <v>2425</v>
      </c>
      <c r="C112" s="102">
        <v>1.0</v>
      </c>
      <c r="D112" s="103">
        <v>1875000.0</v>
      </c>
      <c r="E112" s="26">
        <v>0.0</v>
      </c>
    </row>
    <row r="113">
      <c r="A113" s="26" t="s">
        <v>1186</v>
      </c>
      <c r="B113" s="26" t="s">
        <v>2428</v>
      </c>
      <c r="C113" s="102">
        <v>72.0</v>
      </c>
      <c r="D113" s="103">
        <v>70000.0</v>
      </c>
      <c r="E113" s="26">
        <v>0.0</v>
      </c>
    </row>
    <row r="114">
      <c r="A114" s="29" t="s">
        <v>1187</v>
      </c>
      <c r="B114" s="26" t="s">
        <v>2432</v>
      </c>
      <c r="C114" s="102">
        <v>1.0</v>
      </c>
      <c r="D114" s="103">
        <v>1480000.0</v>
      </c>
      <c r="E114" s="29">
        <v>74000.0</v>
      </c>
    </row>
    <row r="115">
      <c r="A115" s="26" t="s">
        <v>1188</v>
      </c>
      <c r="B115" s="26" t="s">
        <v>2429</v>
      </c>
      <c r="C115" s="102">
        <v>24.0</v>
      </c>
      <c r="D115" s="104">
        <v>45000.0</v>
      </c>
      <c r="E115" s="26">
        <v>0.0</v>
      </c>
    </row>
    <row r="116">
      <c r="A116" s="26" t="s">
        <v>1189</v>
      </c>
      <c r="B116" s="26" t="s">
        <v>2430</v>
      </c>
      <c r="C116" s="102">
        <v>1.0</v>
      </c>
      <c r="D116" s="103">
        <v>0.0</v>
      </c>
      <c r="E116" s="29">
        <v>0.0</v>
      </c>
      <c r="F116" s="26" t="s">
        <v>1522</v>
      </c>
    </row>
    <row r="117">
      <c r="A117" s="26" t="s">
        <v>1189</v>
      </c>
      <c r="B117" s="26" t="s">
        <v>2435</v>
      </c>
      <c r="C117" s="102">
        <v>1.0</v>
      </c>
      <c r="D117" s="103">
        <v>0.0</v>
      </c>
      <c r="E117" s="26">
        <v>0.0</v>
      </c>
      <c r="F117" s="26" t="s">
        <v>1522</v>
      </c>
    </row>
    <row r="118">
      <c r="A118" s="26" t="s">
        <v>1189</v>
      </c>
      <c r="B118" s="26" t="s">
        <v>2427</v>
      </c>
      <c r="C118" s="102">
        <v>1.0</v>
      </c>
      <c r="D118" s="103">
        <v>0.0</v>
      </c>
      <c r="E118" s="29">
        <v>0.0</v>
      </c>
      <c r="F118" s="26" t="s">
        <v>1522</v>
      </c>
    </row>
    <row r="119">
      <c r="A119" s="26" t="s">
        <v>1189</v>
      </c>
      <c r="B119" s="26" t="s">
        <v>2426</v>
      </c>
      <c r="C119" s="102">
        <v>1.0</v>
      </c>
      <c r="D119" s="103">
        <v>0.0</v>
      </c>
      <c r="E119" s="26">
        <v>0.0</v>
      </c>
      <c r="F119" s="26" t="s">
        <v>1522</v>
      </c>
    </row>
    <row r="120">
      <c r="A120" s="26" t="s">
        <v>1189</v>
      </c>
      <c r="B120" s="26" t="s">
        <v>2428</v>
      </c>
      <c r="C120" s="102">
        <v>1.0</v>
      </c>
      <c r="D120" s="103">
        <v>0.0</v>
      </c>
      <c r="E120" s="29">
        <v>0.0</v>
      </c>
      <c r="F120" s="26" t="s">
        <v>1522</v>
      </c>
    </row>
    <row r="121">
      <c r="A121" s="26" t="s">
        <v>1189</v>
      </c>
      <c r="B121" s="26" t="s">
        <v>2429</v>
      </c>
      <c r="C121" s="102">
        <v>1.0</v>
      </c>
      <c r="D121" s="103">
        <v>0.0</v>
      </c>
      <c r="E121" s="26">
        <v>0.0</v>
      </c>
      <c r="F121" s="26" t="s">
        <v>1522</v>
      </c>
    </row>
    <row r="122">
      <c r="A122" s="29" t="s">
        <v>1191</v>
      </c>
      <c r="B122" s="26" t="s">
        <v>2432</v>
      </c>
      <c r="C122" s="102">
        <v>1.0</v>
      </c>
      <c r="D122" s="103">
        <v>1480000.0</v>
      </c>
      <c r="E122" s="29">
        <v>74000.0</v>
      </c>
    </row>
    <row r="123">
      <c r="A123" s="26" t="s">
        <v>1192</v>
      </c>
      <c r="B123" s="26" t="s">
        <v>2433</v>
      </c>
      <c r="C123" s="102">
        <v>1.0</v>
      </c>
      <c r="D123" s="103">
        <v>1450000.0</v>
      </c>
      <c r="E123" s="26">
        <v>0.0</v>
      </c>
    </row>
    <row r="124">
      <c r="A124" s="26" t="s">
        <v>1193</v>
      </c>
      <c r="B124" s="26" t="s">
        <v>2433</v>
      </c>
      <c r="C124" s="102">
        <v>1.0</v>
      </c>
      <c r="D124" s="103">
        <v>1450000.0</v>
      </c>
      <c r="E124" s="26">
        <v>0.0</v>
      </c>
    </row>
    <row r="125">
      <c r="A125" s="26" t="s">
        <v>1194</v>
      </c>
      <c r="B125" s="26" t="s">
        <v>2429</v>
      </c>
      <c r="C125" s="102">
        <v>24.0</v>
      </c>
      <c r="D125" s="103">
        <v>45000.0</v>
      </c>
      <c r="E125" s="26">
        <v>0.0</v>
      </c>
    </row>
    <row r="126">
      <c r="A126" s="26" t="s">
        <v>1195</v>
      </c>
      <c r="B126" s="26" t="s">
        <v>2433</v>
      </c>
      <c r="C126" s="102">
        <v>2.0</v>
      </c>
      <c r="D126" s="103">
        <v>1450000.0</v>
      </c>
      <c r="E126" s="26">
        <v>0.0</v>
      </c>
    </row>
    <row r="127">
      <c r="A127" s="26" t="s">
        <v>1196</v>
      </c>
      <c r="B127" s="26" t="s">
        <v>2433</v>
      </c>
      <c r="C127" s="102">
        <v>1.0</v>
      </c>
      <c r="D127" s="103">
        <v>1450000.0</v>
      </c>
      <c r="E127" s="26">
        <v>0.0</v>
      </c>
    </row>
    <row r="128">
      <c r="A128" s="26" t="s">
        <v>1197</v>
      </c>
      <c r="B128" s="26" t="s">
        <v>2429</v>
      </c>
      <c r="C128" s="102">
        <v>48.0</v>
      </c>
      <c r="D128" s="103">
        <v>45000.0</v>
      </c>
      <c r="E128" s="26">
        <v>0.0</v>
      </c>
    </row>
    <row r="129">
      <c r="A129" s="29" t="s">
        <v>1198</v>
      </c>
      <c r="B129" s="26" t="s">
        <v>2433</v>
      </c>
      <c r="C129" s="102">
        <v>1.0</v>
      </c>
      <c r="D129" s="103">
        <v>1450000.0</v>
      </c>
      <c r="E129" s="29">
        <v>72500.0</v>
      </c>
    </row>
    <row r="130">
      <c r="A130" s="29" t="s">
        <v>1198</v>
      </c>
      <c r="B130" s="26" t="s">
        <v>2432</v>
      </c>
      <c r="C130" s="102">
        <v>1.0</v>
      </c>
      <c r="D130" s="104">
        <v>1480000.0</v>
      </c>
      <c r="E130" s="29">
        <v>74000.0</v>
      </c>
    </row>
    <row r="131">
      <c r="A131" s="26" t="s">
        <v>1199</v>
      </c>
      <c r="B131" s="26" t="s">
        <v>2439</v>
      </c>
      <c r="C131" s="102">
        <v>1.0</v>
      </c>
      <c r="D131" s="104">
        <v>0.0</v>
      </c>
      <c r="E131" s="26">
        <v>0.0</v>
      </c>
      <c r="F131" s="26" t="s">
        <v>2438</v>
      </c>
    </row>
    <row r="132">
      <c r="A132" s="29" t="s">
        <v>1201</v>
      </c>
      <c r="B132" s="26" t="s">
        <v>2432</v>
      </c>
      <c r="C132" s="102">
        <v>1.0</v>
      </c>
      <c r="D132" s="103">
        <v>1480000.0</v>
      </c>
      <c r="E132" s="29">
        <v>74000.0</v>
      </c>
    </row>
    <row r="133">
      <c r="A133" s="29" t="s">
        <v>1202</v>
      </c>
      <c r="B133" s="26" t="s">
        <v>2433</v>
      </c>
      <c r="C133" s="102">
        <v>1.0</v>
      </c>
      <c r="D133" s="103">
        <v>1450000.0</v>
      </c>
      <c r="E133" s="29">
        <v>72500.0</v>
      </c>
    </row>
    <row r="134">
      <c r="A134" s="26" t="s">
        <v>1203</v>
      </c>
      <c r="B134" s="26" t="s">
        <v>2440</v>
      </c>
      <c r="C134" s="102">
        <v>1.0</v>
      </c>
      <c r="D134" s="104">
        <v>2500000.0</v>
      </c>
      <c r="E134" s="26">
        <v>0.0</v>
      </c>
    </row>
    <row r="135">
      <c r="A135" s="29" t="s">
        <v>1204</v>
      </c>
      <c r="B135" s="26" t="s">
        <v>2431</v>
      </c>
      <c r="C135" s="102">
        <v>1.0</v>
      </c>
      <c r="D135" s="103">
        <v>2380000.0</v>
      </c>
      <c r="E135" s="29">
        <v>119000.0</v>
      </c>
    </row>
    <row r="136">
      <c r="A136" s="29" t="s">
        <v>1204</v>
      </c>
      <c r="B136" s="26" t="s">
        <v>2432</v>
      </c>
      <c r="C136" s="102">
        <v>1.0</v>
      </c>
      <c r="D136" s="103">
        <v>1480000.0</v>
      </c>
      <c r="E136" s="29">
        <v>74000.0</v>
      </c>
    </row>
    <row r="137">
      <c r="A137" s="29" t="s">
        <v>1205</v>
      </c>
      <c r="B137" s="26" t="s">
        <v>2427</v>
      </c>
      <c r="C137" s="102">
        <v>48.0</v>
      </c>
      <c r="D137" s="104">
        <v>60000.0</v>
      </c>
      <c r="E137" s="29">
        <v>21000.0</v>
      </c>
    </row>
    <row r="138">
      <c r="A138" s="29" t="s">
        <v>1205</v>
      </c>
      <c r="B138" s="26" t="s">
        <v>2435</v>
      </c>
      <c r="C138" s="102">
        <v>168.0</v>
      </c>
      <c r="D138" s="104">
        <v>40000.0</v>
      </c>
      <c r="E138" s="29">
        <v>14000.0</v>
      </c>
    </row>
    <row r="139">
      <c r="A139" s="29" t="s">
        <v>1205</v>
      </c>
      <c r="B139" s="26" t="s">
        <v>2440</v>
      </c>
      <c r="C139" s="102">
        <v>7.0</v>
      </c>
      <c r="D139" s="104">
        <v>2500000.0</v>
      </c>
      <c r="E139" s="29">
        <v>875000.0</v>
      </c>
    </row>
    <row r="140">
      <c r="A140" s="29" t="s">
        <v>1205</v>
      </c>
      <c r="B140" s="26" t="s">
        <v>2433</v>
      </c>
      <c r="C140" s="102">
        <v>10.0</v>
      </c>
      <c r="D140" s="103">
        <v>1450000.0</v>
      </c>
      <c r="E140" s="29">
        <v>507500.0</v>
      </c>
    </row>
    <row r="141">
      <c r="A141" s="29" t="s">
        <v>1205</v>
      </c>
      <c r="B141" s="26" t="s">
        <v>2432</v>
      </c>
      <c r="C141" s="102">
        <v>15.0</v>
      </c>
      <c r="D141" s="103">
        <v>1480000.0</v>
      </c>
      <c r="E141" s="29">
        <v>518000.0</v>
      </c>
    </row>
    <row r="142">
      <c r="A142" s="26" t="s">
        <v>1205</v>
      </c>
      <c r="B142" s="26" t="s">
        <v>2440</v>
      </c>
      <c r="C142" s="102">
        <v>3.0</v>
      </c>
      <c r="D142" s="103">
        <v>0.0</v>
      </c>
      <c r="E142" s="26">
        <v>0.0</v>
      </c>
      <c r="F142" s="26" t="s">
        <v>2436</v>
      </c>
    </row>
    <row r="143">
      <c r="A143" s="26" t="s">
        <v>1206</v>
      </c>
      <c r="B143" s="26" t="s">
        <v>2433</v>
      </c>
      <c r="C143" s="102">
        <v>1.0</v>
      </c>
      <c r="D143" s="103">
        <v>1450000.0</v>
      </c>
      <c r="E143" s="26">
        <v>0.0</v>
      </c>
    </row>
    <row r="144">
      <c r="A144" s="29" t="s">
        <v>1207</v>
      </c>
      <c r="B144" s="26" t="s">
        <v>2433</v>
      </c>
      <c r="C144" s="102">
        <v>1.0</v>
      </c>
      <c r="D144" s="103">
        <v>1450000.0</v>
      </c>
      <c r="E144" s="29">
        <v>72500.0</v>
      </c>
    </row>
    <row r="145">
      <c r="A145" s="26" t="s">
        <v>1208</v>
      </c>
      <c r="B145" s="26" t="s">
        <v>2429</v>
      </c>
      <c r="C145" s="102">
        <v>12.0</v>
      </c>
      <c r="D145" s="103">
        <v>70000.0</v>
      </c>
      <c r="E145" s="26">
        <v>0.0</v>
      </c>
    </row>
    <row r="146">
      <c r="A146" s="26" t="s">
        <v>1209</v>
      </c>
      <c r="B146" s="26" t="s">
        <v>2425</v>
      </c>
      <c r="C146" s="102">
        <v>1.0</v>
      </c>
      <c r="D146" s="103">
        <v>1875000.0</v>
      </c>
      <c r="E146" s="26">
        <v>0.0</v>
      </c>
    </row>
    <row r="147">
      <c r="A147" s="26" t="s">
        <v>1209</v>
      </c>
      <c r="B147" s="26" t="s">
        <v>2441</v>
      </c>
      <c r="C147" s="102">
        <v>15.0</v>
      </c>
      <c r="D147" s="103">
        <v>32000.0</v>
      </c>
      <c r="E147" s="26">
        <v>0.0</v>
      </c>
    </row>
    <row r="148">
      <c r="A148" s="26" t="s">
        <v>1209</v>
      </c>
      <c r="B148" s="26" t="s">
        <v>2442</v>
      </c>
      <c r="C148" s="102">
        <v>50.0</v>
      </c>
      <c r="D148" s="103">
        <v>0.0</v>
      </c>
      <c r="E148" s="26">
        <v>0.0</v>
      </c>
      <c r="F148" s="26" t="s">
        <v>2438</v>
      </c>
    </row>
    <row r="149">
      <c r="A149" s="26" t="s">
        <v>1210</v>
      </c>
      <c r="B149" s="26" t="s">
        <v>2429</v>
      </c>
      <c r="C149" s="102">
        <v>24.0</v>
      </c>
      <c r="D149" s="103">
        <v>45000.0</v>
      </c>
      <c r="E149" s="26">
        <v>0.0</v>
      </c>
    </row>
    <row r="150">
      <c r="A150" s="29" t="s">
        <v>1211</v>
      </c>
      <c r="B150" s="26" t="s">
        <v>2433</v>
      </c>
      <c r="C150" s="102">
        <v>1.0</v>
      </c>
      <c r="D150" s="103">
        <v>1450000.0</v>
      </c>
      <c r="E150" s="29">
        <v>72500.0</v>
      </c>
    </row>
    <row r="151">
      <c r="A151" s="29" t="s">
        <v>1211</v>
      </c>
      <c r="B151" s="26" t="s">
        <v>2431</v>
      </c>
      <c r="C151" s="102">
        <v>1.0</v>
      </c>
      <c r="D151" s="103">
        <v>2380000.0</v>
      </c>
      <c r="E151" s="29">
        <v>119000.0</v>
      </c>
    </row>
    <row r="152">
      <c r="A152" s="29" t="s">
        <v>1212</v>
      </c>
      <c r="B152" s="26" t="s">
        <v>2433</v>
      </c>
      <c r="C152" s="102">
        <v>1.0</v>
      </c>
      <c r="D152" s="103">
        <v>1450000.0</v>
      </c>
      <c r="E152" s="29">
        <v>72500.0</v>
      </c>
    </row>
    <row r="153">
      <c r="A153" s="26" t="s">
        <v>1213</v>
      </c>
      <c r="B153" s="26" t="s">
        <v>2430</v>
      </c>
      <c r="C153" s="102">
        <v>16.0</v>
      </c>
      <c r="D153" s="103">
        <v>45000.0</v>
      </c>
      <c r="E153" s="26">
        <v>0.0</v>
      </c>
    </row>
    <row r="154">
      <c r="A154" s="26" t="s">
        <v>1213</v>
      </c>
      <c r="B154" s="26" t="s">
        <v>2429</v>
      </c>
      <c r="C154" s="102">
        <v>48.0</v>
      </c>
      <c r="D154" s="103">
        <v>45000.0</v>
      </c>
      <c r="E154" s="26">
        <v>0.0</v>
      </c>
    </row>
    <row r="155">
      <c r="A155" s="26" t="s">
        <v>1214</v>
      </c>
      <c r="B155" s="26" t="s">
        <v>2425</v>
      </c>
      <c r="C155" s="102">
        <v>1.0</v>
      </c>
      <c r="D155" s="103">
        <v>0.0</v>
      </c>
      <c r="E155" s="26">
        <v>0.0</v>
      </c>
      <c r="F155" s="26" t="s">
        <v>2443</v>
      </c>
    </row>
    <row r="156">
      <c r="A156" s="26" t="s">
        <v>1215</v>
      </c>
      <c r="B156" s="26" t="s">
        <v>2430</v>
      </c>
      <c r="C156" s="102">
        <v>24.0</v>
      </c>
      <c r="D156" s="103">
        <v>45000.0</v>
      </c>
      <c r="E156" s="26">
        <v>0.0</v>
      </c>
    </row>
    <row r="157">
      <c r="A157" s="26" t="s">
        <v>1216</v>
      </c>
      <c r="B157" s="26" t="s">
        <v>2429</v>
      </c>
      <c r="C157" s="102">
        <v>24.0</v>
      </c>
      <c r="D157" s="103">
        <v>45000.0</v>
      </c>
      <c r="E157" s="26">
        <v>0.0</v>
      </c>
    </row>
    <row r="158">
      <c r="A158" s="26" t="s">
        <v>1217</v>
      </c>
      <c r="B158" s="26" t="s">
        <v>2425</v>
      </c>
      <c r="C158" s="102">
        <v>1.0</v>
      </c>
      <c r="D158" s="103">
        <v>1875000.0</v>
      </c>
      <c r="E158" s="26">
        <v>0.0</v>
      </c>
    </row>
    <row r="159">
      <c r="A159" s="29" t="s">
        <v>1218</v>
      </c>
      <c r="B159" s="26" t="s">
        <v>2425</v>
      </c>
      <c r="C159" s="102">
        <v>1.0</v>
      </c>
      <c r="D159" s="103">
        <v>1875000.0</v>
      </c>
      <c r="E159" s="29">
        <v>93750.0</v>
      </c>
    </row>
    <row r="160">
      <c r="A160" s="29" t="s">
        <v>1218</v>
      </c>
      <c r="B160" s="26" t="s">
        <v>2432</v>
      </c>
      <c r="C160" s="102">
        <v>1.0</v>
      </c>
      <c r="D160" s="103">
        <v>1480000.0</v>
      </c>
      <c r="E160" s="29">
        <v>74000.0</v>
      </c>
    </row>
    <row r="161">
      <c r="A161" s="26" t="s">
        <v>1219</v>
      </c>
      <c r="B161" s="26" t="s">
        <v>2432</v>
      </c>
      <c r="C161" s="102">
        <v>1.0</v>
      </c>
      <c r="D161" s="104">
        <v>1480000.0</v>
      </c>
      <c r="E161" s="26">
        <v>0.0</v>
      </c>
    </row>
    <row r="162">
      <c r="A162" s="26" t="s">
        <v>1220</v>
      </c>
      <c r="B162" s="26" t="s">
        <v>2432</v>
      </c>
      <c r="C162" s="102">
        <v>1.0</v>
      </c>
      <c r="D162" s="103">
        <v>1480000.0</v>
      </c>
      <c r="E162" s="29">
        <v>0.0</v>
      </c>
    </row>
    <row r="163">
      <c r="A163" s="26" t="s">
        <v>1221</v>
      </c>
      <c r="B163" s="26" t="s">
        <v>2429</v>
      </c>
      <c r="C163" s="102">
        <v>18.0</v>
      </c>
      <c r="D163" s="103">
        <v>45000.0</v>
      </c>
      <c r="E163" s="26">
        <v>0.0</v>
      </c>
    </row>
    <row r="164">
      <c r="A164" s="26" t="s">
        <v>1221</v>
      </c>
      <c r="B164" s="26" t="s">
        <v>2435</v>
      </c>
      <c r="C164" s="102">
        <v>6.0</v>
      </c>
      <c r="D164" s="103">
        <v>40000.0</v>
      </c>
      <c r="E164" s="29">
        <v>0.0</v>
      </c>
    </row>
    <row r="165">
      <c r="A165" s="26" t="s">
        <v>1222</v>
      </c>
      <c r="B165" s="26" t="s">
        <v>2433</v>
      </c>
      <c r="C165" s="102">
        <v>1.0</v>
      </c>
      <c r="D165" s="103">
        <v>1450000.0</v>
      </c>
      <c r="E165" s="26">
        <v>0.0</v>
      </c>
    </row>
    <row r="166">
      <c r="A166" s="26" t="s">
        <v>1223</v>
      </c>
      <c r="B166" s="26" t="s">
        <v>2433</v>
      </c>
      <c r="C166" s="102">
        <v>1.0</v>
      </c>
      <c r="D166" s="103">
        <v>1450000.0</v>
      </c>
      <c r="E166" s="29">
        <v>0.0</v>
      </c>
    </row>
    <row r="167">
      <c r="A167" s="26" t="s">
        <v>1224</v>
      </c>
      <c r="B167" s="26" t="s">
        <v>2429</v>
      </c>
      <c r="C167" s="102">
        <v>480.0</v>
      </c>
      <c r="D167" s="103">
        <v>45000.0</v>
      </c>
      <c r="E167" s="26">
        <v>0.0</v>
      </c>
    </row>
    <row r="168">
      <c r="A168" s="26" t="s">
        <v>1224</v>
      </c>
      <c r="B168" s="26" t="s">
        <v>2425</v>
      </c>
      <c r="C168" s="102">
        <v>2.0</v>
      </c>
      <c r="D168" s="103">
        <v>1875000.0</v>
      </c>
      <c r="E168" s="29">
        <v>0.0</v>
      </c>
    </row>
    <row r="169">
      <c r="A169" s="26" t="s">
        <v>1224</v>
      </c>
      <c r="B169" s="26" t="s">
        <v>2433</v>
      </c>
      <c r="C169" s="102">
        <v>10.0</v>
      </c>
      <c r="D169" s="103">
        <v>1450000.0</v>
      </c>
      <c r="E169" s="26">
        <v>0.0</v>
      </c>
    </row>
    <row r="170">
      <c r="A170" s="26" t="s">
        <v>1224</v>
      </c>
      <c r="B170" s="26" t="s">
        <v>2432</v>
      </c>
      <c r="C170" s="102">
        <v>15.0</v>
      </c>
      <c r="D170" s="103">
        <v>1480000.0</v>
      </c>
      <c r="E170" s="29">
        <v>0.0</v>
      </c>
    </row>
    <row r="171">
      <c r="A171" s="26" t="s">
        <v>1225</v>
      </c>
      <c r="B171" s="26" t="s">
        <v>2433</v>
      </c>
      <c r="C171" s="102">
        <v>5.0</v>
      </c>
      <c r="D171" s="103">
        <v>1450000.0</v>
      </c>
      <c r="E171" s="26">
        <v>0.0</v>
      </c>
    </row>
    <row r="172">
      <c r="A172" s="26" t="s">
        <v>1225</v>
      </c>
      <c r="B172" s="26" t="s">
        <v>2432</v>
      </c>
      <c r="C172" s="102">
        <v>5.0</v>
      </c>
      <c r="D172" s="103">
        <v>1480000.0</v>
      </c>
      <c r="E172" s="29">
        <v>0.0</v>
      </c>
    </row>
    <row r="173">
      <c r="A173" s="26" t="s">
        <v>1225</v>
      </c>
      <c r="B173" s="26" t="s">
        <v>2429</v>
      </c>
      <c r="C173" s="102">
        <v>240.0</v>
      </c>
      <c r="D173" s="103">
        <v>45000.0</v>
      </c>
      <c r="E173" s="26">
        <v>0.0</v>
      </c>
    </row>
    <row r="174">
      <c r="A174" s="26" t="s">
        <v>1225</v>
      </c>
      <c r="B174" s="26" t="s">
        <v>2427</v>
      </c>
      <c r="C174" s="102">
        <v>120.0</v>
      </c>
      <c r="D174" s="103">
        <v>60000.0</v>
      </c>
      <c r="E174" s="29">
        <v>0.0</v>
      </c>
    </row>
    <row r="175">
      <c r="A175" s="26" t="s">
        <v>1227</v>
      </c>
      <c r="B175" s="26" t="s">
        <v>2428</v>
      </c>
      <c r="C175" s="102">
        <v>1080.0</v>
      </c>
      <c r="D175" s="103">
        <v>56000.0</v>
      </c>
      <c r="E175" s="26">
        <v>0.0</v>
      </c>
    </row>
    <row r="176">
      <c r="A176" s="26" t="s">
        <v>1227</v>
      </c>
      <c r="B176" s="26" t="s">
        <v>2432</v>
      </c>
      <c r="C176" s="102">
        <v>4.0</v>
      </c>
      <c r="D176" s="103">
        <v>1650000.0</v>
      </c>
      <c r="E176" s="29">
        <v>0.0</v>
      </c>
    </row>
    <row r="177">
      <c r="A177" s="26" t="s">
        <v>1227</v>
      </c>
      <c r="B177" s="26" t="s">
        <v>2444</v>
      </c>
      <c r="C177" s="102">
        <v>3.0</v>
      </c>
      <c r="D177" s="103">
        <v>0.0</v>
      </c>
      <c r="E177" s="26">
        <v>0.0</v>
      </c>
      <c r="F177" s="26" t="s">
        <v>2438</v>
      </c>
    </row>
    <row r="178">
      <c r="A178" s="26" t="s">
        <v>1227</v>
      </c>
      <c r="B178" s="26" t="s">
        <v>2445</v>
      </c>
      <c r="C178" s="102">
        <v>1.0</v>
      </c>
      <c r="D178" s="103">
        <v>0.0</v>
      </c>
      <c r="E178" s="29">
        <v>0.0</v>
      </c>
      <c r="F178" s="26" t="s">
        <v>2438</v>
      </c>
    </row>
    <row r="179">
      <c r="A179" s="26" t="s">
        <v>1227</v>
      </c>
      <c r="B179" s="26" t="s">
        <v>2446</v>
      </c>
      <c r="C179" s="102">
        <v>1.0</v>
      </c>
      <c r="D179" s="104">
        <v>0.0</v>
      </c>
      <c r="E179" s="26">
        <v>0.0</v>
      </c>
      <c r="F179" s="26" t="s">
        <v>2438</v>
      </c>
    </row>
    <row r="180">
      <c r="A180" s="26" t="s">
        <v>1227</v>
      </c>
      <c r="B180" s="26" t="s">
        <v>2439</v>
      </c>
      <c r="C180" s="102">
        <v>1.0</v>
      </c>
      <c r="D180" s="103">
        <v>0.0</v>
      </c>
      <c r="E180" s="29">
        <v>0.0</v>
      </c>
      <c r="F180" s="26" t="s">
        <v>2438</v>
      </c>
    </row>
    <row r="181">
      <c r="A181" s="26" t="s">
        <v>1228</v>
      </c>
      <c r="B181" s="26" t="s">
        <v>2426</v>
      </c>
      <c r="C181" s="102">
        <v>18.0</v>
      </c>
      <c r="D181" s="103">
        <v>55000.0</v>
      </c>
      <c r="E181" s="26">
        <v>0.0</v>
      </c>
    </row>
    <row r="182">
      <c r="A182" s="29" t="s">
        <v>1229</v>
      </c>
      <c r="B182" s="26" t="s">
        <v>2433</v>
      </c>
      <c r="C182" s="102">
        <v>1.0</v>
      </c>
      <c r="D182" s="104">
        <v>1450000.0</v>
      </c>
      <c r="E182" s="29">
        <v>72500.0</v>
      </c>
    </row>
    <row r="183">
      <c r="A183" s="29" t="s">
        <v>1229</v>
      </c>
      <c r="B183" s="26" t="s">
        <v>2425</v>
      </c>
      <c r="C183" s="102">
        <v>1.0</v>
      </c>
      <c r="D183" s="103">
        <v>1875000.0</v>
      </c>
      <c r="E183" s="29">
        <v>93750.0</v>
      </c>
    </row>
    <row r="184">
      <c r="A184" s="26" t="s">
        <v>1230</v>
      </c>
      <c r="B184" s="26" t="s">
        <v>2428</v>
      </c>
      <c r="C184" s="102">
        <v>4.0</v>
      </c>
      <c r="D184" s="104">
        <v>0.0</v>
      </c>
      <c r="E184" s="26">
        <v>0.0</v>
      </c>
      <c r="F184" s="26" t="s">
        <v>1522</v>
      </c>
    </row>
    <row r="185">
      <c r="A185" s="26" t="s">
        <v>1230</v>
      </c>
      <c r="B185" s="26" t="s">
        <v>2429</v>
      </c>
      <c r="C185" s="102">
        <v>4.0</v>
      </c>
      <c r="D185" s="104">
        <v>0.0</v>
      </c>
      <c r="E185" s="26">
        <v>0.0</v>
      </c>
      <c r="F185" s="26" t="s">
        <v>1522</v>
      </c>
    </row>
    <row r="186">
      <c r="A186" s="26" t="s">
        <v>1230</v>
      </c>
      <c r="B186" s="26" t="s">
        <v>2427</v>
      </c>
      <c r="C186" s="102">
        <v>4.0</v>
      </c>
      <c r="D186" s="104">
        <v>0.0</v>
      </c>
      <c r="E186" s="26">
        <v>0.0</v>
      </c>
      <c r="F186" s="26" t="s">
        <v>1522</v>
      </c>
    </row>
    <row r="187">
      <c r="A187" s="26" t="s">
        <v>1231</v>
      </c>
      <c r="B187" s="26" t="s">
        <v>2433</v>
      </c>
      <c r="C187" s="102">
        <v>1.0</v>
      </c>
      <c r="D187" s="104">
        <v>1450000.0</v>
      </c>
      <c r="E187" s="26">
        <v>0.0</v>
      </c>
    </row>
    <row r="188">
      <c r="A188" s="29" t="s">
        <v>1232</v>
      </c>
      <c r="B188" s="26" t="s">
        <v>2425</v>
      </c>
      <c r="C188" s="102">
        <v>1.0</v>
      </c>
      <c r="D188" s="103">
        <v>1875000.0</v>
      </c>
      <c r="E188" s="29">
        <v>93750.0</v>
      </c>
    </row>
    <row r="189">
      <c r="A189" s="29" t="s">
        <v>1233</v>
      </c>
      <c r="B189" s="26" t="s">
        <v>2433</v>
      </c>
      <c r="C189" s="102">
        <v>1.0</v>
      </c>
      <c r="D189" s="103">
        <v>1450000.0</v>
      </c>
      <c r="E189" s="29">
        <v>72500.0</v>
      </c>
    </row>
    <row r="190">
      <c r="A190" s="29" t="s">
        <v>1234</v>
      </c>
      <c r="B190" s="26" t="s">
        <v>2433</v>
      </c>
      <c r="C190" s="102">
        <v>1.0</v>
      </c>
      <c r="D190" s="103">
        <v>1450000.0</v>
      </c>
      <c r="E190" s="29">
        <v>72500.0</v>
      </c>
    </row>
    <row r="191">
      <c r="A191" s="26" t="s">
        <v>1235</v>
      </c>
      <c r="B191" s="26" t="s">
        <v>2433</v>
      </c>
      <c r="C191" s="102">
        <v>1.0</v>
      </c>
      <c r="D191" s="103">
        <v>1450000.0</v>
      </c>
      <c r="E191" s="26">
        <v>0.0</v>
      </c>
    </row>
    <row r="192">
      <c r="A192" s="26" t="s">
        <v>1235</v>
      </c>
      <c r="B192" s="26" t="s">
        <v>2447</v>
      </c>
      <c r="C192" s="102">
        <v>1.0</v>
      </c>
      <c r="D192" s="103">
        <v>0.0</v>
      </c>
      <c r="E192" s="26">
        <v>0.0</v>
      </c>
      <c r="F192" s="26" t="s">
        <v>2438</v>
      </c>
    </row>
    <row r="193">
      <c r="A193" s="26" t="s">
        <v>1236</v>
      </c>
      <c r="B193" s="26" t="s">
        <v>2429</v>
      </c>
      <c r="C193" s="102">
        <v>24.0</v>
      </c>
      <c r="D193" s="104">
        <v>45000.0</v>
      </c>
      <c r="E193" s="26">
        <v>0.0</v>
      </c>
    </row>
    <row r="194">
      <c r="A194" s="26" t="s">
        <v>1237</v>
      </c>
      <c r="B194" s="26" t="s">
        <v>2429</v>
      </c>
      <c r="C194" s="102">
        <v>24.0</v>
      </c>
      <c r="D194" s="103">
        <v>45000.0</v>
      </c>
      <c r="E194" s="26">
        <v>0.0</v>
      </c>
    </row>
    <row r="195">
      <c r="A195" s="26" t="s">
        <v>1238</v>
      </c>
      <c r="B195" s="26" t="s">
        <v>2429</v>
      </c>
      <c r="C195" s="102">
        <v>240.0</v>
      </c>
      <c r="D195" s="103">
        <v>45000.0</v>
      </c>
      <c r="E195" s="26">
        <v>0.0</v>
      </c>
    </row>
    <row r="196">
      <c r="A196" s="26" t="s">
        <v>1238</v>
      </c>
      <c r="B196" s="26" t="s">
        <v>2430</v>
      </c>
      <c r="C196" s="102">
        <v>120.0</v>
      </c>
      <c r="D196" s="103">
        <v>45000.0</v>
      </c>
      <c r="E196" s="26">
        <v>0.0</v>
      </c>
    </row>
    <row r="197">
      <c r="A197" s="26" t="s">
        <v>1238</v>
      </c>
      <c r="B197" s="26" t="s">
        <v>2426</v>
      </c>
      <c r="C197" s="102">
        <v>120.0</v>
      </c>
      <c r="D197" s="103">
        <v>55000.0</v>
      </c>
      <c r="E197" s="26">
        <v>0.0</v>
      </c>
    </row>
    <row r="198">
      <c r="A198" s="26" t="s">
        <v>1238</v>
      </c>
      <c r="B198" s="26" t="s">
        <v>2448</v>
      </c>
      <c r="C198" s="102">
        <v>48.0</v>
      </c>
      <c r="D198" s="103">
        <v>60000.0</v>
      </c>
      <c r="E198" s="26">
        <v>0.0</v>
      </c>
    </row>
    <row r="199">
      <c r="A199" s="26" t="s">
        <v>1238</v>
      </c>
      <c r="B199" s="26" t="s">
        <v>2428</v>
      </c>
      <c r="C199" s="102">
        <v>120.0</v>
      </c>
      <c r="D199" s="103">
        <v>45000.0</v>
      </c>
      <c r="E199" s="26">
        <v>0.0</v>
      </c>
    </row>
    <row r="200">
      <c r="A200" s="26" t="s">
        <v>1238</v>
      </c>
      <c r="B200" s="26" t="s">
        <v>2425</v>
      </c>
      <c r="C200" s="102">
        <v>7.0</v>
      </c>
      <c r="D200" s="103">
        <v>1875000.0</v>
      </c>
      <c r="E200" s="26">
        <v>0.0</v>
      </c>
    </row>
    <row r="201">
      <c r="A201" s="26" t="s">
        <v>1238</v>
      </c>
      <c r="B201" s="26" t="s">
        <v>2433</v>
      </c>
      <c r="C201" s="102">
        <v>7.0</v>
      </c>
      <c r="D201" s="103">
        <v>1450000.0</v>
      </c>
      <c r="E201" s="26">
        <v>0.0</v>
      </c>
    </row>
    <row r="202">
      <c r="A202" s="26" t="s">
        <v>1238</v>
      </c>
      <c r="B202" s="26" t="s">
        <v>2431</v>
      </c>
      <c r="C202" s="102">
        <v>5.0</v>
      </c>
      <c r="D202" s="103">
        <v>2380000.0</v>
      </c>
      <c r="E202" s="26">
        <v>0.0</v>
      </c>
    </row>
    <row r="203">
      <c r="A203" s="26" t="s">
        <v>1238</v>
      </c>
      <c r="B203" s="26" t="s">
        <v>2440</v>
      </c>
      <c r="C203" s="102">
        <v>3.0</v>
      </c>
      <c r="D203" s="103">
        <v>2500000.0</v>
      </c>
      <c r="E203" s="26">
        <v>0.0</v>
      </c>
    </row>
    <row r="204">
      <c r="A204" s="26" t="s">
        <v>1238</v>
      </c>
      <c r="B204" s="26" t="s">
        <v>2449</v>
      </c>
      <c r="C204" s="102">
        <v>48.0</v>
      </c>
      <c r="D204" s="103">
        <v>0.0</v>
      </c>
      <c r="E204" s="26">
        <v>0.0</v>
      </c>
      <c r="F204" s="26" t="s">
        <v>2438</v>
      </c>
    </row>
    <row r="205">
      <c r="A205" s="26" t="s">
        <v>1239</v>
      </c>
      <c r="B205" s="26" t="s">
        <v>2429</v>
      </c>
      <c r="C205" s="102">
        <v>24.0</v>
      </c>
      <c r="D205" s="103">
        <v>45000.0</v>
      </c>
      <c r="E205" s="26">
        <v>0.0</v>
      </c>
    </row>
    <row r="206">
      <c r="A206" s="26" t="s">
        <v>1240</v>
      </c>
      <c r="B206" s="26" t="s">
        <v>2433</v>
      </c>
      <c r="C206" s="102">
        <v>1.0</v>
      </c>
      <c r="D206" s="103">
        <v>1450000.0</v>
      </c>
      <c r="E206" s="26">
        <v>0.0</v>
      </c>
    </row>
    <row r="207">
      <c r="A207" s="26" t="s">
        <v>1241</v>
      </c>
      <c r="B207" s="26" t="s">
        <v>2433</v>
      </c>
      <c r="C207" s="102">
        <v>1.0</v>
      </c>
      <c r="D207" s="103">
        <v>1450000.0</v>
      </c>
      <c r="E207" s="26">
        <v>0.0</v>
      </c>
    </row>
    <row r="208">
      <c r="A208" s="26" t="s">
        <v>1242</v>
      </c>
      <c r="B208" s="26" t="s">
        <v>2433</v>
      </c>
      <c r="C208" s="102">
        <v>1.0</v>
      </c>
      <c r="D208" s="103">
        <v>1450000.0</v>
      </c>
      <c r="E208" s="26">
        <v>0.0</v>
      </c>
    </row>
    <row r="209">
      <c r="A209" s="26" t="s">
        <v>1243</v>
      </c>
      <c r="B209" s="26" t="s">
        <v>2429</v>
      </c>
      <c r="C209" s="102">
        <v>24.0</v>
      </c>
      <c r="D209" s="103">
        <v>45000.0</v>
      </c>
      <c r="E209" s="26">
        <v>0.0</v>
      </c>
    </row>
    <row r="210">
      <c r="A210" s="26" t="s">
        <v>1244</v>
      </c>
      <c r="B210" s="26" t="s">
        <v>2429</v>
      </c>
      <c r="C210" s="102">
        <v>48.0</v>
      </c>
      <c r="D210" s="103">
        <v>45000.0</v>
      </c>
      <c r="E210" s="26">
        <v>0.0</v>
      </c>
    </row>
    <row r="211">
      <c r="A211" s="26" t="s">
        <v>1244</v>
      </c>
      <c r="B211" s="26" t="s">
        <v>2426</v>
      </c>
      <c r="C211" s="102">
        <v>24.0</v>
      </c>
      <c r="D211" s="103">
        <v>55000.0</v>
      </c>
      <c r="E211" s="26">
        <v>0.0</v>
      </c>
    </row>
    <row r="212">
      <c r="A212" s="29" t="s">
        <v>1245</v>
      </c>
      <c r="B212" s="26" t="s">
        <v>2433</v>
      </c>
      <c r="C212" s="102">
        <v>1.0</v>
      </c>
      <c r="D212" s="104">
        <v>1450000.0</v>
      </c>
      <c r="E212" s="29">
        <v>72500.0</v>
      </c>
    </row>
    <row r="213">
      <c r="A213" s="29" t="s">
        <v>1245</v>
      </c>
      <c r="B213" s="26" t="s">
        <v>2425</v>
      </c>
      <c r="C213" s="102">
        <v>1.0</v>
      </c>
      <c r="D213" s="103">
        <v>1875000.0</v>
      </c>
      <c r="E213" s="29">
        <v>93750.0</v>
      </c>
    </row>
    <row r="214">
      <c r="A214" s="29" t="s">
        <v>1245</v>
      </c>
      <c r="B214" s="26" t="s">
        <v>2431</v>
      </c>
      <c r="C214" s="102">
        <v>1.0</v>
      </c>
      <c r="D214" s="103">
        <v>2380000.0</v>
      </c>
      <c r="E214" s="29">
        <v>119000.0</v>
      </c>
    </row>
    <row r="215">
      <c r="A215" s="26" t="s">
        <v>1246</v>
      </c>
      <c r="B215" s="26" t="s">
        <v>2425</v>
      </c>
      <c r="C215" s="102">
        <v>1.0</v>
      </c>
      <c r="D215" s="103">
        <v>1875000.0</v>
      </c>
      <c r="E215" s="26">
        <v>0.0</v>
      </c>
    </row>
    <row r="216">
      <c r="A216" s="26" t="s">
        <v>1246</v>
      </c>
      <c r="B216" s="26" t="s">
        <v>2437</v>
      </c>
      <c r="C216" s="102">
        <v>6.0</v>
      </c>
      <c r="D216" s="103">
        <v>0.0</v>
      </c>
      <c r="E216" s="26">
        <v>0.0</v>
      </c>
      <c r="F216" s="26" t="s">
        <v>2438</v>
      </c>
    </row>
    <row r="217">
      <c r="A217" s="29" t="s">
        <v>1247</v>
      </c>
      <c r="B217" s="26" t="s">
        <v>2433</v>
      </c>
      <c r="C217" s="102">
        <v>1.0</v>
      </c>
      <c r="D217" s="103">
        <v>1450000.0</v>
      </c>
      <c r="E217" s="29">
        <v>72500.0</v>
      </c>
    </row>
    <row r="218">
      <c r="A218" s="26" t="s">
        <v>1248</v>
      </c>
      <c r="B218" s="26" t="s">
        <v>2433</v>
      </c>
      <c r="C218" s="102">
        <v>1.0</v>
      </c>
      <c r="D218" s="103">
        <v>1450000.0</v>
      </c>
      <c r="E218" s="26">
        <v>0.0</v>
      </c>
    </row>
    <row r="219">
      <c r="A219" s="26" t="s">
        <v>1249</v>
      </c>
      <c r="B219" s="26" t="s">
        <v>2426</v>
      </c>
      <c r="C219" s="102">
        <v>48.0</v>
      </c>
      <c r="D219" s="103">
        <v>55000.0</v>
      </c>
      <c r="E219" s="26">
        <v>0.0</v>
      </c>
    </row>
    <row r="220">
      <c r="A220" s="26" t="s">
        <v>1250</v>
      </c>
      <c r="B220" s="26" t="s">
        <v>2430</v>
      </c>
      <c r="C220" s="102">
        <v>24.0</v>
      </c>
      <c r="D220" s="103">
        <v>45000.0</v>
      </c>
      <c r="E220" s="26">
        <v>0.0</v>
      </c>
    </row>
    <row r="221">
      <c r="A221" s="26" t="s">
        <v>1251</v>
      </c>
      <c r="B221" s="26" t="s">
        <v>2425</v>
      </c>
      <c r="C221" s="102">
        <v>1.0</v>
      </c>
      <c r="D221" s="103">
        <v>1875000.0</v>
      </c>
      <c r="E221" s="26">
        <v>0.0</v>
      </c>
    </row>
    <row r="222">
      <c r="A222" s="26" t="s">
        <v>1251</v>
      </c>
      <c r="B222" s="26" t="s">
        <v>2431</v>
      </c>
      <c r="C222" s="102">
        <v>1.0</v>
      </c>
      <c r="D222" s="103">
        <v>2380000.0</v>
      </c>
      <c r="E222" s="26">
        <v>0.0</v>
      </c>
    </row>
    <row r="223">
      <c r="A223" s="26" t="s">
        <v>1252</v>
      </c>
      <c r="B223" s="26" t="s">
        <v>2425</v>
      </c>
      <c r="C223" s="102">
        <v>2.0</v>
      </c>
      <c r="D223" s="103">
        <v>1875000.0</v>
      </c>
      <c r="E223" s="26">
        <v>0.0</v>
      </c>
    </row>
    <row r="224">
      <c r="A224" s="26" t="s">
        <v>1252</v>
      </c>
      <c r="B224" s="26" t="s">
        <v>2442</v>
      </c>
      <c r="C224" s="102">
        <v>50.0</v>
      </c>
      <c r="D224" s="103">
        <v>0.0</v>
      </c>
      <c r="E224" s="26">
        <v>0.0</v>
      </c>
      <c r="F224" s="26" t="s">
        <v>2438</v>
      </c>
    </row>
    <row r="225">
      <c r="A225" s="26" t="s">
        <v>1253</v>
      </c>
      <c r="B225" s="26" t="s">
        <v>2426</v>
      </c>
      <c r="C225" s="102">
        <v>24.0</v>
      </c>
      <c r="D225" s="103">
        <v>55000.0</v>
      </c>
      <c r="E225" s="26">
        <v>0.0</v>
      </c>
    </row>
    <row r="226">
      <c r="A226" s="26" t="s">
        <v>1254</v>
      </c>
      <c r="B226" s="26" t="s">
        <v>2429</v>
      </c>
      <c r="C226" s="102">
        <v>24.0</v>
      </c>
      <c r="D226" s="103">
        <v>45000.0</v>
      </c>
      <c r="E226" s="26">
        <v>0.0</v>
      </c>
    </row>
    <row r="227">
      <c r="A227" s="26" t="s">
        <v>1254</v>
      </c>
      <c r="B227" s="26" t="s">
        <v>2426</v>
      </c>
      <c r="C227" s="102">
        <v>15.0</v>
      </c>
      <c r="D227" s="104">
        <v>55000.0</v>
      </c>
      <c r="E227" s="26">
        <v>0.0</v>
      </c>
    </row>
    <row r="228">
      <c r="A228" s="26" t="s">
        <v>1255</v>
      </c>
      <c r="B228" s="26" t="s">
        <v>2429</v>
      </c>
      <c r="C228" s="102">
        <v>24.0</v>
      </c>
      <c r="D228" s="103">
        <v>45000.0</v>
      </c>
      <c r="E228" s="26">
        <v>0.0</v>
      </c>
    </row>
    <row r="229">
      <c r="A229" s="26" t="s">
        <v>1256</v>
      </c>
      <c r="B229" s="26" t="s">
        <v>2433</v>
      </c>
      <c r="C229" s="102">
        <v>1.0</v>
      </c>
      <c r="D229" s="103">
        <v>1450000.0</v>
      </c>
      <c r="E229" s="26">
        <v>0.0</v>
      </c>
    </row>
    <row r="230">
      <c r="A230" s="29" t="s">
        <v>1257</v>
      </c>
      <c r="B230" s="26" t="s">
        <v>2429</v>
      </c>
      <c r="C230" s="102">
        <v>6.0</v>
      </c>
      <c r="D230" s="103">
        <v>45000.0</v>
      </c>
      <c r="E230" s="29">
        <v>22500.0</v>
      </c>
    </row>
    <row r="231">
      <c r="A231" s="29" t="s">
        <v>1257</v>
      </c>
      <c r="B231" s="26" t="s">
        <v>2430</v>
      </c>
      <c r="C231" s="102">
        <v>6.0</v>
      </c>
      <c r="D231" s="103">
        <v>45000.0</v>
      </c>
      <c r="E231" s="29">
        <v>22500.0</v>
      </c>
    </row>
    <row r="232">
      <c r="A232" s="29" t="s">
        <v>1257</v>
      </c>
      <c r="B232" s="26" t="s">
        <v>2428</v>
      </c>
      <c r="C232" s="102">
        <v>6.0</v>
      </c>
      <c r="D232" s="103">
        <v>45000.0</v>
      </c>
      <c r="E232" s="29">
        <v>22500.0</v>
      </c>
    </row>
    <row r="233">
      <c r="A233" s="29" t="s">
        <v>1257</v>
      </c>
      <c r="B233" s="26" t="s">
        <v>2426</v>
      </c>
      <c r="C233" s="102">
        <v>6.0</v>
      </c>
      <c r="D233" s="103">
        <v>55000.0</v>
      </c>
      <c r="E233" s="29">
        <v>27500.0</v>
      </c>
    </row>
    <row r="234">
      <c r="A234" s="29" t="s">
        <v>1259</v>
      </c>
      <c r="B234" s="26" t="s">
        <v>2431</v>
      </c>
      <c r="C234" s="102">
        <v>1.0</v>
      </c>
      <c r="D234" s="103">
        <v>2380000.0</v>
      </c>
      <c r="E234" s="29">
        <v>119000.0</v>
      </c>
    </row>
    <row r="235">
      <c r="A235" s="29" t="s">
        <v>1259</v>
      </c>
      <c r="B235" s="26" t="s">
        <v>2432</v>
      </c>
      <c r="C235" s="102">
        <v>1.0</v>
      </c>
      <c r="D235" s="103">
        <v>1480000.0</v>
      </c>
      <c r="E235" s="29">
        <v>74000.0</v>
      </c>
    </row>
    <row r="236">
      <c r="A236" s="29" t="s">
        <v>1259</v>
      </c>
      <c r="B236" s="26" t="s">
        <v>2433</v>
      </c>
      <c r="C236" s="102">
        <v>1.0</v>
      </c>
      <c r="D236" s="103">
        <v>1450000.0</v>
      </c>
      <c r="E236" s="29">
        <v>72500.0</v>
      </c>
    </row>
    <row r="237">
      <c r="A237" s="29" t="s">
        <v>1259</v>
      </c>
      <c r="B237" s="26" t="s">
        <v>2425</v>
      </c>
      <c r="C237" s="102">
        <v>1.0</v>
      </c>
      <c r="D237" s="103">
        <v>1875000.0</v>
      </c>
      <c r="E237" s="29">
        <v>93750.0</v>
      </c>
    </row>
    <row r="238">
      <c r="A238" s="26" t="s">
        <v>1260</v>
      </c>
      <c r="B238" s="26" t="s">
        <v>2431</v>
      </c>
      <c r="C238" s="102">
        <v>1.0</v>
      </c>
      <c r="D238" s="103">
        <v>2380000.0</v>
      </c>
      <c r="E238" s="26">
        <v>0.0</v>
      </c>
    </row>
    <row r="239">
      <c r="A239" s="26" t="s">
        <v>1261</v>
      </c>
      <c r="B239" s="26" t="s">
        <v>2429</v>
      </c>
      <c r="C239" s="102">
        <v>48.0</v>
      </c>
      <c r="D239" s="104">
        <v>45000.0</v>
      </c>
      <c r="E239" s="26">
        <v>0.0</v>
      </c>
    </row>
    <row r="240">
      <c r="A240" s="26" t="s">
        <v>1262</v>
      </c>
      <c r="B240" s="26" t="s">
        <v>2426</v>
      </c>
      <c r="C240" s="102">
        <v>24.0</v>
      </c>
      <c r="D240" s="103">
        <v>55000.0</v>
      </c>
      <c r="E240" s="26">
        <v>0.0</v>
      </c>
    </row>
    <row r="241">
      <c r="A241" s="29" t="s">
        <v>1263</v>
      </c>
      <c r="B241" s="26" t="s">
        <v>2433</v>
      </c>
      <c r="C241" s="102">
        <v>1.0</v>
      </c>
      <c r="D241" s="103">
        <v>1450000.0</v>
      </c>
      <c r="E241" s="29">
        <v>72500.0</v>
      </c>
    </row>
    <row r="242">
      <c r="A242" s="26" t="s">
        <v>1264</v>
      </c>
      <c r="B242" s="26" t="s">
        <v>2429</v>
      </c>
      <c r="C242" s="102">
        <v>24.0</v>
      </c>
      <c r="D242" s="103">
        <v>45000.0</v>
      </c>
      <c r="E242" s="26">
        <v>0.0</v>
      </c>
    </row>
    <row r="243">
      <c r="A243" s="26" t="s">
        <v>1264</v>
      </c>
      <c r="B243" s="26" t="s">
        <v>2428</v>
      </c>
      <c r="C243" s="102">
        <v>1.0</v>
      </c>
      <c r="D243" s="103">
        <v>0.0</v>
      </c>
      <c r="E243" s="26">
        <v>0.0</v>
      </c>
      <c r="F243" s="26" t="s">
        <v>1522</v>
      </c>
    </row>
    <row r="244">
      <c r="A244" s="26" t="s">
        <v>1264</v>
      </c>
      <c r="B244" s="26" t="s">
        <v>2430</v>
      </c>
      <c r="C244" s="102">
        <v>1.0</v>
      </c>
      <c r="D244" s="103">
        <v>0.0</v>
      </c>
      <c r="E244" s="26">
        <v>0.0</v>
      </c>
      <c r="F244" s="26" t="s">
        <v>1522</v>
      </c>
    </row>
    <row r="245">
      <c r="A245" s="26" t="s">
        <v>1264</v>
      </c>
      <c r="B245" s="26" t="s">
        <v>2426</v>
      </c>
      <c r="C245" s="102">
        <v>1.0</v>
      </c>
      <c r="D245" s="103">
        <v>0.0</v>
      </c>
      <c r="E245" s="26">
        <v>0.0</v>
      </c>
      <c r="F245" s="26" t="s">
        <v>1522</v>
      </c>
    </row>
    <row r="246">
      <c r="A246" s="26" t="s">
        <v>1264</v>
      </c>
      <c r="B246" s="26" t="s">
        <v>2427</v>
      </c>
      <c r="C246" s="102">
        <v>1.0</v>
      </c>
      <c r="D246" s="103">
        <v>0.0</v>
      </c>
      <c r="E246" s="26">
        <v>0.0</v>
      </c>
      <c r="F246" s="26" t="s">
        <v>1522</v>
      </c>
    </row>
    <row r="247">
      <c r="A247" s="26" t="s">
        <v>1264</v>
      </c>
      <c r="B247" s="26" t="s">
        <v>2435</v>
      </c>
      <c r="C247" s="102">
        <v>1.0</v>
      </c>
      <c r="D247" s="103">
        <v>0.0</v>
      </c>
      <c r="E247" s="26">
        <v>0.0</v>
      </c>
      <c r="F247" s="26" t="s">
        <v>1522</v>
      </c>
    </row>
    <row r="248">
      <c r="A248" s="26" t="s">
        <v>1264</v>
      </c>
      <c r="B248" s="26" t="s">
        <v>2442</v>
      </c>
      <c r="C248" s="102">
        <v>50.0</v>
      </c>
      <c r="D248" s="103">
        <v>0.0</v>
      </c>
      <c r="E248" s="26">
        <v>0.0</v>
      </c>
      <c r="F248" s="26" t="s">
        <v>2438</v>
      </c>
    </row>
    <row r="249">
      <c r="A249" s="26" t="s">
        <v>1265</v>
      </c>
      <c r="B249" s="26" t="s">
        <v>2425</v>
      </c>
      <c r="C249" s="102">
        <v>1.0</v>
      </c>
      <c r="D249" s="104">
        <v>1875000.0</v>
      </c>
      <c r="E249" s="26">
        <v>0.0</v>
      </c>
    </row>
    <row r="250">
      <c r="A250" s="26" t="s">
        <v>1266</v>
      </c>
      <c r="B250" s="26" t="s">
        <v>2425</v>
      </c>
      <c r="C250" s="102">
        <v>3.0</v>
      </c>
      <c r="D250" s="103">
        <v>2800000.0</v>
      </c>
      <c r="E250" s="26">
        <v>0.0</v>
      </c>
    </row>
    <row r="251">
      <c r="A251" s="26" t="s">
        <v>1266</v>
      </c>
      <c r="B251" s="26" t="s">
        <v>2433</v>
      </c>
      <c r="C251" s="102">
        <v>1.0</v>
      </c>
      <c r="D251" s="103">
        <v>2100000.0</v>
      </c>
      <c r="E251" s="26">
        <v>0.0</v>
      </c>
    </row>
    <row r="252">
      <c r="A252" s="26" t="s">
        <v>1266</v>
      </c>
      <c r="B252" s="26" t="s">
        <v>2433</v>
      </c>
      <c r="C252" s="102">
        <v>1.0</v>
      </c>
      <c r="D252" s="103">
        <v>0.0</v>
      </c>
      <c r="E252" s="26">
        <v>0.0</v>
      </c>
      <c r="F252" s="26" t="s">
        <v>2436</v>
      </c>
    </row>
    <row r="253">
      <c r="A253" s="29" t="s">
        <v>1267</v>
      </c>
      <c r="B253" s="26" t="s">
        <v>2432</v>
      </c>
      <c r="C253" s="102">
        <v>6.0</v>
      </c>
      <c r="D253" s="103">
        <v>1480000.0</v>
      </c>
      <c r="E253" s="29">
        <v>518000.0</v>
      </c>
    </row>
    <row r="254">
      <c r="A254" s="29" t="s">
        <v>1267</v>
      </c>
      <c r="B254" s="26" t="s">
        <v>2425</v>
      </c>
      <c r="C254" s="102">
        <v>8.0</v>
      </c>
      <c r="D254" s="103">
        <v>1875000.0</v>
      </c>
      <c r="E254" s="29">
        <v>656250.0</v>
      </c>
    </row>
    <row r="255">
      <c r="A255" s="29" t="s">
        <v>1267</v>
      </c>
      <c r="B255" s="26" t="s">
        <v>2431</v>
      </c>
      <c r="C255" s="102">
        <v>8.0</v>
      </c>
      <c r="D255" s="103">
        <v>2380000.0</v>
      </c>
      <c r="E255" s="29">
        <v>833000.0</v>
      </c>
    </row>
    <row r="256">
      <c r="A256" s="29" t="s">
        <v>1267</v>
      </c>
      <c r="B256" s="26" t="s">
        <v>2440</v>
      </c>
      <c r="C256" s="102">
        <v>8.0</v>
      </c>
      <c r="D256" s="103">
        <v>2500000.0</v>
      </c>
      <c r="E256" s="29">
        <v>875000.0</v>
      </c>
    </row>
    <row r="257">
      <c r="A257" s="26" t="s">
        <v>1267</v>
      </c>
      <c r="B257" s="26" t="s">
        <v>2440</v>
      </c>
      <c r="C257" s="102">
        <v>1.0</v>
      </c>
      <c r="D257" s="103">
        <v>0.0</v>
      </c>
      <c r="E257" s="29">
        <v>0.0</v>
      </c>
      <c r="F257" s="26" t="s">
        <v>2436</v>
      </c>
    </row>
    <row r="258">
      <c r="A258" s="26" t="s">
        <v>1267</v>
      </c>
      <c r="B258" s="26" t="s">
        <v>2430</v>
      </c>
      <c r="C258" s="102">
        <v>12.0</v>
      </c>
      <c r="D258" s="103">
        <v>0.0</v>
      </c>
      <c r="E258" s="29">
        <v>0.0</v>
      </c>
      <c r="F258" s="26" t="s">
        <v>2436</v>
      </c>
    </row>
    <row r="259">
      <c r="A259" s="26" t="s">
        <v>1267</v>
      </c>
      <c r="B259" s="26" t="s">
        <v>2428</v>
      </c>
      <c r="C259" s="102">
        <v>12.0</v>
      </c>
      <c r="D259" s="103">
        <v>0.0</v>
      </c>
      <c r="E259" s="29">
        <v>0.0</v>
      </c>
      <c r="F259" s="26" t="s">
        <v>2436</v>
      </c>
    </row>
    <row r="260">
      <c r="A260" s="26" t="s">
        <v>1267</v>
      </c>
      <c r="B260" s="26" t="s">
        <v>2429</v>
      </c>
      <c r="C260" s="102">
        <v>12.0</v>
      </c>
      <c r="D260" s="103">
        <v>0.0</v>
      </c>
      <c r="E260" s="29">
        <v>0.0</v>
      </c>
      <c r="F260" s="26" t="s">
        <v>2436</v>
      </c>
    </row>
    <row r="261">
      <c r="A261" s="26" t="s">
        <v>1267</v>
      </c>
      <c r="B261" s="26" t="s">
        <v>2426</v>
      </c>
      <c r="C261" s="102">
        <v>12.0</v>
      </c>
      <c r="D261" s="104">
        <v>0.0</v>
      </c>
      <c r="E261" s="29">
        <v>0.0</v>
      </c>
      <c r="F261" s="26" t="s">
        <v>2436</v>
      </c>
    </row>
    <row r="262">
      <c r="A262" s="26" t="s">
        <v>1267</v>
      </c>
      <c r="B262" s="26" t="s">
        <v>2427</v>
      </c>
      <c r="C262" s="102">
        <v>12.0</v>
      </c>
      <c r="D262" s="103">
        <v>0.0</v>
      </c>
      <c r="E262" s="29">
        <v>0.0</v>
      </c>
      <c r="F262" s="26" t="s">
        <v>2436</v>
      </c>
    </row>
    <row r="263">
      <c r="A263" s="26" t="s">
        <v>1267</v>
      </c>
      <c r="B263" s="26" t="s">
        <v>2435</v>
      </c>
      <c r="C263" s="102">
        <v>12.0</v>
      </c>
      <c r="D263" s="103">
        <v>0.0</v>
      </c>
      <c r="E263" s="29">
        <v>0.0</v>
      </c>
      <c r="F263" s="26" t="s">
        <v>2436</v>
      </c>
    </row>
    <row r="264">
      <c r="A264" s="26" t="s">
        <v>1268</v>
      </c>
      <c r="B264" s="26" t="s">
        <v>2429</v>
      </c>
      <c r="C264" s="102">
        <v>48.0</v>
      </c>
      <c r="D264" s="104">
        <v>45000.0</v>
      </c>
      <c r="E264" s="29">
        <v>0.0</v>
      </c>
    </row>
    <row r="265">
      <c r="A265" s="26" t="s">
        <v>1269</v>
      </c>
      <c r="B265" s="26" t="s">
        <v>2432</v>
      </c>
      <c r="C265" s="102">
        <v>1.0</v>
      </c>
      <c r="D265" s="104">
        <v>1480000.0</v>
      </c>
      <c r="E265" s="29">
        <v>0.0</v>
      </c>
    </row>
    <row r="266">
      <c r="A266" s="26" t="s">
        <v>1270</v>
      </c>
      <c r="B266" s="26" t="s">
        <v>2427</v>
      </c>
      <c r="C266" s="102">
        <v>12.0</v>
      </c>
      <c r="D266" s="103">
        <v>60000.0</v>
      </c>
      <c r="E266" s="29">
        <v>0.0</v>
      </c>
    </row>
    <row r="267">
      <c r="A267" s="26" t="s">
        <v>1270</v>
      </c>
      <c r="B267" s="26" t="s">
        <v>2429</v>
      </c>
      <c r="C267" s="102">
        <v>12.0</v>
      </c>
      <c r="D267" s="103">
        <v>45000.0</v>
      </c>
      <c r="E267" s="29">
        <v>0.0</v>
      </c>
    </row>
    <row r="268">
      <c r="A268" s="26" t="s">
        <v>1270</v>
      </c>
      <c r="B268" s="26" t="s">
        <v>2442</v>
      </c>
      <c r="C268" s="102">
        <v>25.0</v>
      </c>
      <c r="D268" s="103">
        <v>0.0</v>
      </c>
      <c r="E268" s="29">
        <v>0.0</v>
      </c>
      <c r="F268" s="26" t="s">
        <v>2438</v>
      </c>
    </row>
    <row r="269">
      <c r="A269" s="26" t="s">
        <v>1271</v>
      </c>
      <c r="B269" s="26" t="s">
        <v>2433</v>
      </c>
      <c r="C269" s="102">
        <v>1.0</v>
      </c>
      <c r="D269" s="103">
        <v>1450000.0</v>
      </c>
      <c r="E269" s="29">
        <v>0.0</v>
      </c>
    </row>
    <row r="270">
      <c r="A270" s="26" t="s">
        <v>1272</v>
      </c>
      <c r="B270" s="26" t="s">
        <v>2433</v>
      </c>
      <c r="C270" s="102">
        <v>1.0</v>
      </c>
      <c r="D270" s="103">
        <v>1450000.0</v>
      </c>
      <c r="E270" s="29">
        <v>0.0</v>
      </c>
    </row>
    <row r="271">
      <c r="A271" s="29" t="s">
        <v>1273</v>
      </c>
      <c r="B271" s="26" t="s">
        <v>2432</v>
      </c>
      <c r="C271" s="102">
        <v>1.0</v>
      </c>
      <c r="D271" s="103">
        <v>1480000.0</v>
      </c>
      <c r="E271" s="29">
        <v>74000.0</v>
      </c>
    </row>
    <row r="272">
      <c r="A272" s="26" t="s">
        <v>1274</v>
      </c>
      <c r="B272" s="26" t="s">
        <v>2426</v>
      </c>
      <c r="C272" s="102">
        <v>24.0</v>
      </c>
      <c r="D272" s="103">
        <v>55000.0</v>
      </c>
      <c r="E272" s="26">
        <v>0.0</v>
      </c>
    </row>
    <row r="273">
      <c r="A273" s="26" t="s">
        <v>1275</v>
      </c>
      <c r="B273" s="26" t="s">
        <v>2429</v>
      </c>
      <c r="C273" s="102">
        <v>24.0</v>
      </c>
      <c r="D273" s="103">
        <v>45000.0</v>
      </c>
      <c r="E273" s="26">
        <v>0.0</v>
      </c>
    </row>
    <row r="274">
      <c r="A274" s="26" t="s">
        <v>1276</v>
      </c>
      <c r="B274" s="26" t="s">
        <v>2431</v>
      </c>
      <c r="C274" s="102">
        <v>1.0</v>
      </c>
      <c r="D274" s="104">
        <v>2380000.0</v>
      </c>
      <c r="E274" s="26">
        <v>0.0</v>
      </c>
    </row>
    <row r="275">
      <c r="A275" s="26" t="s">
        <v>1276</v>
      </c>
      <c r="B275" s="26" t="s">
        <v>2440</v>
      </c>
      <c r="C275" s="102">
        <v>1.0</v>
      </c>
      <c r="D275" s="103">
        <v>2500000.0</v>
      </c>
      <c r="E275" s="26">
        <v>0.0</v>
      </c>
    </row>
    <row r="276">
      <c r="A276" s="26" t="s">
        <v>1276</v>
      </c>
      <c r="B276" s="26" t="s">
        <v>2450</v>
      </c>
      <c r="C276" s="102">
        <v>1.0</v>
      </c>
      <c r="D276" s="103">
        <v>1900000.0</v>
      </c>
      <c r="E276" s="26">
        <v>0.0</v>
      </c>
    </row>
    <row r="277">
      <c r="A277" s="26" t="s">
        <v>1277</v>
      </c>
      <c r="B277" s="26" t="s">
        <v>2433</v>
      </c>
      <c r="C277" s="102">
        <v>1.0</v>
      </c>
      <c r="D277" s="103">
        <v>1450000.0</v>
      </c>
      <c r="E277" s="26">
        <v>0.0</v>
      </c>
    </row>
    <row r="278">
      <c r="A278" s="26" t="s">
        <v>1278</v>
      </c>
      <c r="B278" s="26" t="s">
        <v>2429</v>
      </c>
      <c r="C278" s="102">
        <v>24.0</v>
      </c>
      <c r="D278" s="103">
        <v>45000.0</v>
      </c>
      <c r="E278" s="26">
        <v>0.0</v>
      </c>
    </row>
    <row r="279">
      <c r="A279" s="29" t="s">
        <v>1279</v>
      </c>
      <c r="B279" s="26" t="s">
        <v>2431</v>
      </c>
      <c r="C279" s="102">
        <v>1.0</v>
      </c>
      <c r="D279" s="104">
        <v>2380000.0</v>
      </c>
      <c r="E279" s="29">
        <v>119000.0</v>
      </c>
    </row>
    <row r="280">
      <c r="A280" s="26" t="s">
        <v>1280</v>
      </c>
      <c r="B280" s="26" t="s">
        <v>2429</v>
      </c>
      <c r="C280" s="102">
        <v>24.0</v>
      </c>
      <c r="D280" s="104">
        <v>45000.0</v>
      </c>
      <c r="E280" s="26">
        <v>0.0</v>
      </c>
    </row>
    <row r="281">
      <c r="A281" s="26" t="s">
        <v>1281</v>
      </c>
      <c r="B281" s="26" t="s">
        <v>2429</v>
      </c>
      <c r="C281" s="102">
        <v>24.0</v>
      </c>
      <c r="D281" s="104">
        <v>45000.0</v>
      </c>
      <c r="E281" s="26">
        <v>0.0</v>
      </c>
    </row>
    <row r="282">
      <c r="A282" s="26" t="s">
        <v>1281</v>
      </c>
      <c r="B282" s="26" t="s">
        <v>2426</v>
      </c>
      <c r="C282" s="102">
        <v>12.0</v>
      </c>
      <c r="D282" s="104">
        <v>55000.0</v>
      </c>
      <c r="E282" s="26">
        <v>0.0</v>
      </c>
    </row>
    <row r="283">
      <c r="A283" s="26" t="s">
        <v>1282</v>
      </c>
      <c r="B283" s="26" t="s">
        <v>2425</v>
      </c>
      <c r="C283" s="102">
        <v>1.0</v>
      </c>
      <c r="D283" s="104">
        <v>1875000.0</v>
      </c>
      <c r="E283" s="26">
        <v>0.0</v>
      </c>
    </row>
    <row r="284">
      <c r="A284" s="26" t="s">
        <v>1283</v>
      </c>
      <c r="B284" s="26" t="s">
        <v>2429</v>
      </c>
      <c r="C284" s="102">
        <v>24.0</v>
      </c>
      <c r="D284" s="104">
        <v>45000.0</v>
      </c>
      <c r="E284" s="26">
        <v>0.0</v>
      </c>
    </row>
    <row r="285">
      <c r="A285" s="26" t="s">
        <v>1284</v>
      </c>
      <c r="B285" s="26" t="s">
        <v>2429</v>
      </c>
      <c r="C285" s="102">
        <v>24.0</v>
      </c>
      <c r="D285" s="104">
        <v>45000.0</v>
      </c>
      <c r="E285" s="26">
        <v>0.0</v>
      </c>
    </row>
    <row r="286">
      <c r="A286" s="26" t="s">
        <v>1285</v>
      </c>
      <c r="B286" s="26" t="s">
        <v>2429</v>
      </c>
      <c r="C286" s="102">
        <v>600.0</v>
      </c>
      <c r="D286" s="104">
        <v>45000.0</v>
      </c>
      <c r="E286" s="26">
        <v>0.0</v>
      </c>
    </row>
    <row r="287">
      <c r="A287" s="26" t="s">
        <v>1285</v>
      </c>
      <c r="B287" s="26" t="s">
        <v>2430</v>
      </c>
      <c r="C287" s="102">
        <v>192.0</v>
      </c>
      <c r="D287" s="104">
        <v>45000.0</v>
      </c>
      <c r="E287" s="26">
        <v>0.0</v>
      </c>
    </row>
    <row r="288">
      <c r="A288" s="26" t="s">
        <v>1285</v>
      </c>
      <c r="B288" s="26" t="s">
        <v>2426</v>
      </c>
      <c r="C288" s="102">
        <v>120.0</v>
      </c>
      <c r="D288" s="104">
        <v>55000.0</v>
      </c>
      <c r="E288" s="26">
        <v>0.0</v>
      </c>
    </row>
    <row r="289">
      <c r="A289" s="26" t="s">
        <v>1285</v>
      </c>
      <c r="B289" s="26" t="s">
        <v>2427</v>
      </c>
      <c r="C289" s="102">
        <v>120.0</v>
      </c>
      <c r="D289" s="103">
        <v>60000.0</v>
      </c>
      <c r="E289" s="26">
        <v>0.0</v>
      </c>
    </row>
    <row r="290">
      <c r="A290" s="26" t="s">
        <v>1285</v>
      </c>
      <c r="B290" s="26" t="s">
        <v>2428</v>
      </c>
      <c r="C290" s="102">
        <v>192.0</v>
      </c>
      <c r="D290" s="103">
        <v>45000.0</v>
      </c>
      <c r="E290" s="26">
        <v>0.0</v>
      </c>
    </row>
    <row r="291">
      <c r="A291" s="26" t="s">
        <v>1285</v>
      </c>
      <c r="B291" s="26" t="s">
        <v>2425</v>
      </c>
      <c r="C291" s="102">
        <v>5.0</v>
      </c>
      <c r="D291" s="104">
        <v>1875000.0</v>
      </c>
      <c r="E291" s="26">
        <v>0.0</v>
      </c>
    </row>
    <row r="292">
      <c r="A292" s="26" t="s">
        <v>1285</v>
      </c>
      <c r="B292" s="26" t="s">
        <v>2433</v>
      </c>
      <c r="C292" s="102">
        <v>5.0</v>
      </c>
      <c r="D292" s="103">
        <v>1450000.0</v>
      </c>
      <c r="E292" s="26">
        <v>0.0</v>
      </c>
    </row>
    <row r="293">
      <c r="A293" s="26" t="s">
        <v>1285</v>
      </c>
      <c r="B293" s="26" t="s">
        <v>2431</v>
      </c>
      <c r="C293" s="102">
        <v>5.0</v>
      </c>
      <c r="D293" s="104">
        <v>2380000.0</v>
      </c>
      <c r="E293" s="26">
        <v>0.0</v>
      </c>
    </row>
    <row r="294">
      <c r="A294" s="29" t="s">
        <v>1286</v>
      </c>
      <c r="B294" s="26" t="s">
        <v>2432</v>
      </c>
      <c r="C294" s="102">
        <v>1.0</v>
      </c>
      <c r="D294" s="103">
        <v>1480000.0</v>
      </c>
      <c r="E294" s="29">
        <v>74000.0</v>
      </c>
    </row>
    <row r="295">
      <c r="A295" s="29" t="s">
        <v>1286</v>
      </c>
      <c r="B295" s="26" t="s">
        <v>2433</v>
      </c>
      <c r="C295" s="102">
        <v>1.0</v>
      </c>
      <c r="D295" s="103">
        <v>1450000.0</v>
      </c>
      <c r="E295" s="29">
        <v>72500.0</v>
      </c>
    </row>
    <row r="296">
      <c r="A296" s="26" t="s">
        <v>1287</v>
      </c>
      <c r="B296" s="26" t="s">
        <v>2433</v>
      </c>
      <c r="C296" s="102">
        <v>1.0</v>
      </c>
      <c r="D296" s="103">
        <v>0.0</v>
      </c>
      <c r="E296" s="26">
        <v>0.0</v>
      </c>
      <c r="F296" s="26" t="s">
        <v>2436</v>
      </c>
    </row>
    <row r="297">
      <c r="A297" s="26" t="s">
        <v>1288</v>
      </c>
      <c r="B297" s="26" t="s">
        <v>2429</v>
      </c>
      <c r="C297" s="102">
        <v>16.0</v>
      </c>
      <c r="D297" s="103">
        <v>45000.0</v>
      </c>
      <c r="E297" s="26">
        <v>0.0</v>
      </c>
    </row>
    <row r="298">
      <c r="A298" s="26" t="s">
        <v>1288</v>
      </c>
      <c r="B298" s="26" t="s">
        <v>2435</v>
      </c>
      <c r="C298" s="102">
        <v>8.0</v>
      </c>
      <c r="D298" s="103">
        <v>40000.0</v>
      </c>
      <c r="E298" s="26">
        <v>0.0</v>
      </c>
    </row>
    <row r="299">
      <c r="A299" s="26" t="s">
        <v>1289</v>
      </c>
      <c r="B299" s="26" t="s">
        <v>2434</v>
      </c>
      <c r="C299" s="102">
        <v>1.0</v>
      </c>
      <c r="D299" s="103">
        <v>1350000.0</v>
      </c>
      <c r="E299" s="26">
        <v>0.0</v>
      </c>
    </row>
    <row r="300">
      <c r="A300" s="26" t="s">
        <v>1290</v>
      </c>
      <c r="B300" s="26" t="s">
        <v>2433</v>
      </c>
      <c r="C300" s="102">
        <v>1.0</v>
      </c>
      <c r="D300" s="103">
        <v>1450000.0</v>
      </c>
      <c r="E300" s="26">
        <v>0.0</v>
      </c>
    </row>
    <row r="301">
      <c r="A301" s="26" t="s">
        <v>1291</v>
      </c>
      <c r="B301" s="26" t="s">
        <v>2433</v>
      </c>
      <c r="C301" s="102">
        <v>1.0</v>
      </c>
      <c r="D301" s="103">
        <v>1450000.0</v>
      </c>
      <c r="E301" s="26">
        <v>0.0</v>
      </c>
    </row>
    <row r="302">
      <c r="A302" s="26" t="s">
        <v>1292</v>
      </c>
      <c r="B302" s="26" t="s">
        <v>2439</v>
      </c>
      <c r="C302" s="102">
        <v>1.0</v>
      </c>
      <c r="D302" s="103">
        <v>0.0</v>
      </c>
      <c r="E302" s="26">
        <v>0.0</v>
      </c>
      <c r="F302" s="26" t="s">
        <v>2438</v>
      </c>
    </row>
    <row r="303">
      <c r="A303" s="26" t="s">
        <v>1293</v>
      </c>
      <c r="B303" s="26" t="s">
        <v>2425</v>
      </c>
      <c r="C303" s="102">
        <v>1.0</v>
      </c>
      <c r="D303" s="103">
        <v>1875000.0</v>
      </c>
      <c r="E303" s="26">
        <v>0.0</v>
      </c>
    </row>
    <row r="304">
      <c r="A304" s="26" t="s">
        <v>1293</v>
      </c>
      <c r="B304" s="26" t="s">
        <v>2433</v>
      </c>
      <c r="C304" s="102">
        <v>1.0</v>
      </c>
      <c r="D304" s="103">
        <v>1450000.0</v>
      </c>
      <c r="E304" s="26">
        <v>0.0</v>
      </c>
    </row>
    <row r="305">
      <c r="A305" s="26" t="s">
        <v>1294</v>
      </c>
      <c r="B305" s="26" t="s">
        <v>2431</v>
      </c>
      <c r="C305" s="102">
        <v>1.0</v>
      </c>
      <c r="D305" s="104">
        <v>2380000.0</v>
      </c>
      <c r="E305" s="26">
        <v>0.0</v>
      </c>
    </row>
    <row r="306">
      <c r="A306" s="26" t="s">
        <v>1295</v>
      </c>
      <c r="B306" s="26" t="s">
        <v>2425</v>
      </c>
      <c r="C306" s="102">
        <v>1.0</v>
      </c>
      <c r="D306" s="104">
        <v>1875000.0</v>
      </c>
      <c r="E306" s="26">
        <v>0.0</v>
      </c>
    </row>
    <row r="307">
      <c r="A307" s="26" t="s">
        <v>1296</v>
      </c>
      <c r="B307" s="26" t="s">
        <v>2432</v>
      </c>
      <c r="C307" s="102">
        <v>1.0</v>
      </c>
      <c r="D307" s="104">
        <v>1480000.0</v>
      </c>
      <c r="E307" s="26">
        <v>0.0</v>
      </c>
    </row>
    <row r="308">
      <c r="A308" s="26" t="s">
        <v>1296</v>
      </c>
      <c r="B308" s="26" t="s">
        <v>2431</v>
      </c>
      <c r="C308" s="102">
        <v>1.0</v>
      </c>
      <c r="D308" s="104">
        <v>2380000.0</v>
      </c>
      <c r="E308" s="26">
        <v>0.0</v>
      </c>
    </row>
    <row r="309">
      <c r="A309" s="29" t="s">
        <v>1297</v>
      </c>
      <c r="B309" s="26" t="s">
        <v>2425</v>
      </c>
      <c r="C309" s="102">
        <v>1.0</v>
      </c>
      <c r="D309" s="104">
        <v>1875000.0</v>
      </c>
      <c r="E309" s="29">
        <v>93750.0</v>
      </c>
    </row>
    <row r="310">
      <c r="A310" s="29" t="s">
        <v>1297</v>
      </c>
      <c r="B310" s="26" t="s">
        <v>2433</v>
      </c>
      <c r="C310" s="102">
        <v>1.0</v>
      </c>
      <c r="D310" s="103">
        <v>1450000.0</v>
      </c>
      <c r="E310" s="29">
        <v>72500.0</v>
      </c>
    </row>
    <row r="311">
      <c r="A311" s="29" t="s">
        <v>1297</v>
      </c>
      <c r="B311" s="26" t="s">
        <v>2432</v>
      </c>
      <c r="C311" s="102">
        <v>1.0</v>
      </c>
      <c r="D311" s="103">
        <v>1480000.0</v>
      </c>
      <c r="E311" s="29">
        <v>74000.0</v>
      </c>
    </row>
    <row r="312">
      <c r="A312" s="29" t="s">
        <v>1298</v>
      </c>
      <c r="B312" s="26" t="s">
        <v>2433</v>
      </c>
      <c r="C312" s="102">
        <v>1.0</v>
      </c>
      <c r="D312" s="104">
        <v>1450000.0</v>
      </c>
      <c r="E312" s="29">
        <v>72500.0</v>
      </c>
    </row>
    <row r="313">
      <c r="A313" s="29" t="s">
        <v>1298</v>
      </c>
      <c r="B313" s="26" t="s">
        <v>2432</v>
      </c>
      <c r="C313" s="102">
        <v>2.0</v>
      </c>
      <c r="D313" s="103">
        <v>1480000.0</v>
      </c>
      <c r="E313" s="29">
        <v>74000.0</v>
      </c>
    </row>
    <row r="314">
      <c r="A314" s="26" t="s">
        <v>1299</v>
      </c>
      <c r="B314" s="26" t="s">
        <v>2448</v>
      </c>
      <c r="C314" s="102">
        <v>24.0</v>
      </c>
      <c r="D314" s="103">
        <v>0.0</v>
      </c>
      <c r="E314" s="26">
        <v>0.0</v>
      </c>
      <c r="F314" s="26" t="s">
        <v>2436</v>
      </c>
    </row>
    <row r="315">
      <c r="A315" s="26" t="s">
        <v>1299</v>
      </c>
      <c r="B315" s="26" t="s">
        <v>2426</v>
      </c>
      <c r="C315" s="102">
        <v>4.0</v>
      </c>
      <c r="D315" s="104">
        <v>0.0</v>
      </c>
      <c r="E315" s="26">
        <v>0.0</v>
      </c>
      <c r="F315" s="26" t="s">
        <v>2436</v>
      </c>
    </row>
    <row r="316">
      <c r="A316" s="26" t="s">
        <v>1299</v>
      </c>
      <c r="B316" s="26" t="s">
        <v>2430</v>
      </c>
      <c r="C316" s="102">
        <v>4.0</v>
      </c>
      <c r="D316" s="103">
        <v>0.0</v>
      </c>
      <c r="E316" s="26">
        <v>0.0</v>
      </c>
      <c r="F316" s="26" t="s">
        <v>2436</v>
      </c>
    </row>
    <row r="317">
      <c r="A317" s="26" t="s">
        <v>1299</v>
      </c>
      <c r="B317" s="26" t="s">
        <v>2428</v>
      </c>
      <c r="C317" s="102">
        <v>4.0</v>
      </c>
      <c r="D317" s="103">
        <v>0.0</v>
      </c>
      <c r="E317" s="26">
        <v>0.0</v>
      </c>
      <c r="F317" s="26" t="s">
        <v>2436</v>
      </c>
    </row>
    <row r="318">
      <c r="A318" s="26" t="s">
        <v>1299</v>
      </c>
      <c r="B318" s="26" t="s">
        <v>2427</v>
      </c>
      <c r="C318" s="102">
        <v>4.0</v>
      </c>
      <c r="D318" s="103">
        <v>0.0</v>
      </c>
      <c r="E318" s="26">
        <v>0.0</v>
      </c>
      <c r="F318" s="26" t="s">
        <v>2436</v>
      </c>
    </row>
    <row r="319">
      <c r="A319" s="26" t="s">
        <v>1299</v>
      </c>
      <c r="B319" s="26" t="s">
        <v>2429</v>
      </c>
      <c r="C319" s="102">
        <v>8.0</v>
      </c>
      <c r="D319" s="103">
        <v>0.0</v>
      </c>
      <c r="E319" s="26">
        <v>0.0</v>
      </c>
      <c r="F319" s="26" t="s">
        <v>2436</v>
      </c>
    </row>
    <row r="320">
      <c r="A320" s="26" t="s">
        <v>1301</v>
      </c>
      <c r="B320" s="26" t="s">
        <v>2448</v>
      </c>
      <c r="C320" s="102">
        <v>24.0</v>
      </c>
      <c r="D320" s="103">
        <v>0.0</v>
      </c>
      <c r="E320" s="26">
        <v>0.0</v>
      </c>
      <c r="F320" s="26" t="s">
        <v>2436</v>
      </c>
    </row>
    <row r="321">
      <c r="A321" s="26" t="s">
        <v>1301</v>
      </c>
      <c r="B321" s="26" t="s">
        <v>2426</v>
      </c>
      <c r="C321" s="102">
        <v>4.0</v>
      </c>
      <c r="D321" s="103">
        <v>0.0</v>
      </c>
      <c r="E321" s="26">
        <v>0.0</v>
      </c>
      <c r="F321" s="26" t="s">
        <v>2436</v>
      </c>
    </row>
    <row r="322">
      <c r="A322" s="26" t="s">
        <v>1301</v>
      </c>
      <c r="B322" s="26" t="s">
        <v>2430</v>
      </c>
      <c r="C322" s="102">
        <v>4.0</v>
      </c>
      <c r="D322" s="103">
        <v>0.0</v>
      </c>
      <c r="E322" s="26">
        <v>0.0</v>
      </c>
      <c r="F322" s="26" t="s">
        <v>2436</v>
      </c>
    </row>
    <row r="323">
      <c r="A323" s="26" t="s">
        <v>1301</v>
      </c>
      <c r="B323" s="26" t="s">
        <v>2428</v>
      </c>
      <c r="C323" s="102">
        <v>4.0</v>
      </c>
      <c r="D323" s="103">
        <v>0.0</v>
      </c>
      <c r="E323" s="26">
        <v>0.0</v>
      </c>
      <c r="F323" s="26" t="s">
        <v>2436</v>
      </c>
    </row>
    <row r="324">
      <c r="A324" s="26" t="s">
        <v>1301</v>
      </c>
      <c r="B324" s="26" t="s">
        <v>2427</v>
      </c>
      <c r="C324" s="102">
        <v>4.0</v>
      </c>
      <c r="D324" s="103">
        <v>0.0</v>
      </c>
      <c r="E324" s="26">
        <v>0.0</v>
      </c>
      <c r="F324" s="26" t="s">
        <v>2436</v>
      </c>
    </row>
    <row r="325">
      <c r="A325" s="26" t="s">
        <v>1301</v>
      </c>
      <c r="B325" s="26" t="s">
        <v>2429</v>
      </c>
      <c r="C325" s="102">
        <v>8.0</v>
      </c>
      <c r="D325" s="103">
        <v>0.0</v>
      </c>
      <c r="E325" s="26">
        <v>0.0</v>
      </c>
      <c r="F325" s="26" t="s">
        <v>2436</v>
      </c>
    </row>
    <row r="326">
      <c r="A326" s="26" t="s">
        <v>1301</v>
      </c>
      <c r="B326" s="26" t="s">
        <v>2448</v>
      </c>
      <c r="C326" s="102">
        <v>48.0</v>
      </c>
      <c r="D326" s="104">
        <v>0.0</v>
      </c>
      <c r="E326" s="26">
        <v>0.0</v>
      </c>
      <c r="F326" s="26" t="s">
        <v>2436</v>
      </c>
    </row>
    <row r="327">
      <c r="A327" s="26" t="s">
        <v>1303</v>
      </c>
      <c r="B327" s="26" t="s">
        <v>2448</v>
      </c>
      <c r="C327" s="102">
        <v>48.0</v>
      </c>
      <c r="D327" s="103">
        <v>0.0</v>
      </c>
      <c r="E327" s="26">
        <v>0.0</v>
      </c>
      <c r="F327" s="26" t="s">
        <v>2436</v>
      </c>
    </row>
    <row r="328">
      <c r="A328" s="26" t="s">
        <v>1305</v>
      </c>
      <c r="B328" s="26" t="s">
        <v>2448</v>
      </c>
      <c r="C328" s="102">
        <v>48.0</v>
      </c>
      <c r="D328" s="103">
        <v>0.0</v>
      </c>
      <c r="E328" s="26">
        <v>0.0</v>
      </c>
      <c r="F328" s="26" t="s">
        <v>2436</v>
      </c>
    </row>
    <row r="329">
      <c r="A329" s="26" t="s">
        <v>1307</v>
      </c>
      <c r="B329" s="26" t="s">
        <v>2448</v>
      </c>
      <c r="C329" s="102">
        <v>48.0</v>
      </c>
      <c r="D329" s="103">
        <v>0.0</v>
      </c>
      <c r="E329" s="26">
        <v>0.0</v>
      </c>
      <c r="F329" s="26" t="s">
        <v>2436</v>
      </c>
    </row>
    <row r="330">
      <c r="A330" s="29" t="s">
        <v>1309</v>
      </c>
      <c r="B330" s="26" t="s">
        <v>2448</v>
      </c>
      <c r="C330" s="102">
        <v>8.0</v>
      </c>
      <c r="D330" s="103">
        <v>60000.0</v>
      </c>
      <c r="E330" s="29">
        <v>30000.0</v>
      </c>
    </row>
    <row r="331">
      <c r="A331" s="29" t="s">
        <v>1309</v>
      </c>
      <c r="B331" s="26" t="s">
        <v>2428</v>
      </c>
      <c r="C331" s="102">
        <v>8.0</v>
      </c>
      <c r="D331" s="103">
        <v>45000.0</v>
      </c>
      <c r="E331" s="29">
        <v>22500.0</v>
      </c>
    </row>
    <row r="332">
      <c r="A332" s="29" t="s">
        <v>1309</v>
      </c>
      <c r="B332" s="26" t="s">
        <v>2426</v>
      </c>
      <c r="C332" s="102">
        <v>8.0</v>
      </c>
      <c r="D332" s="103">
        <v>55000.0</v>
      </c>
      <c r="E332" s="29">
        <v>27500.0</v>
      </c>
    </row>
    <row r="333">
      <c r="A333" s="26" t="s">
        <v>1310</v>
      </c>
      <c r="B333" s="26" t="s">
        <v>2431</v>
      </c>
      <c r="C333" s="102">
        <v>1.0</v>
      </c>
      <c r="D333" s="103">
        <v>2380000.0</v>
      </c>
      <c r="E333" s="26">
        <v>0.0</v>
      </c>
    </row>
    <row r="334">
      <c r="A334" s="26" t="s">
        <v>1310</v>
      </c>
      <c r="B334" s="26" t="s">
        <v>2442</v>
      </c>
      <c r="C334" s="102">
        <v>50.0</v>
      </c>
      <c r="D334" s="103">
        <v>0.0</v>
      </c>
      <c r="E334" s="26">
        <v>0.0</v>
      </c>
      <c r="F334" s="26" t="s">
        <v>2438</v>
      </c>
    </row>
    <row r="335">
      <c r="A335" s="26" t="s">
        <v>1311</v>
      </c>
      <c r="B335" s="26" t="s">
        <v>2426</v>
      </c>
      <c r="C335" s="102">
        <v>24.0</v>
      </c>
      <c r="D335" s="103">
        <v>80000.0</v>
      </c>
      <c r="E335" s="26">
        <v>0.0</v>
      </c>
    </row>
    <row r="336">
      <c r="A336" s="29" t="s">
        <v>1312</v>
      </c>
      <c r="B336" s="26" t="s">
        <v>2431</v>
      </c>
      <c r="C336" s="102">
        <v>1.0</v>
      </c>
      <c r="D336" s="103">
        <v>2380000.0</v>
      </c>
      <c r="E336" s="29">
        <v>119000.0</v>
      </c>
    </row>
    <row r="337">
      <c r="A337" s="26" t="s">
        <v>1312</v>
      </c>
      <c r="B337" s="26" t="s">
        <v>2437</v>
      </c>
      <c r="C337" s="102">
        <v>12.0</v>
      </c>
      <c r="D337" s="103">
        <v>0.0</v>
      </c>
      <c r="E337" s="26">
        <v>0.0</v>
      </c>
      <c r="F337" s="26" t="s">
        <v>2438</v>
      </c>
    </row>
    <row r="338">
      <c r="A338" s="26" t="s">
        <v>1313</v>
      </c>
      <c r="B338" s="26" t="s">
        <v>2429</v>
      </c>
      <c r="C338" s="102">
        <v>24.0</v>
      </c>
      <c r="D338" s="103">
        <v>45000.0</v>
      </c>
      <c r="E338" s="26">
        <v>0.0</v>
      </c>
    </row>
    <row r="339">
      <c r="A339" s="26" t="s">
        <v>1314</v>
      </c>
      <c r="B339" s="26" t="s">
        <v>2433</v>
      </c>
      <c r="C339" s="102">
        <v>1.0</v>
      </c>
      <c r="D339" s="103">
        <v>1450000.0</v>
      </c>
      <c r="E339" s="26">
        <v>0.0</v>
      </c>
    </row>
    <row r="340">
      <c r="A340" s="26" t="s">
        <v>1314</v>
      </c>
      <c r="B340" s="26" t="s">
        <v>2425</v>
      </c>
      <c r="C340" s="102">
        <v>1.0</v>
      </c>
      <c r="D340" s="103">
        <v>1875000.0</v>
      </c>
      <c r="E340" s="26">
        <v>0.0</v>
      </c>
    </row>
    <row r="341">
      <c r="A341" s="26" t="s">
        <v>1315</v>
      </c>
      <c r="B341" s="26" t="s">
        <v>2448</v>
      </c>
      <c r="C341" s="102">
        <v>9.0</v>
      </c>
      <c r="D341" s="103">
        <v>80000.0</v>
      </c>
      <c r="E341" s="26">
        <v>0.0</v>
      </c>
    </row>
    <row r="342">
      <c r="A342" s="26" t="s">
        <v>1316</v>
      </c>
      <c r="B342" s="26" t="s">
        <v>2425</v>
      </c>
      <c r="C342" s="102">
        <v>1.0</v>
      </c>
      <c r="D342" s="103">
        <v>1875000.0</v>
      </c>
      <c r="E342" s="26">
        <v>0.0</v>
      </c>
    </row>
    <row r="343">
      <c r="A343" s="26" t="s">
        <v>1316</v>
      </c>
      <c r="B343" s="26" t="s">
        <v>2441</v>
      </c>
      <c r="C343" s="102">
        <v>10.0</v>
      </c>
      <c r="D343" s="103">
        <v>32000.0</v>
      </c>
      <c r="E343" s="26">
        <v>0.0</v>
      </c>
    </row>
    <row r="344">
      <c r="A344" s="26" t="s">
        <v>1316</v>
      </c>
      <c r="B344" s="26" t="s">
        <v>2442</v>
      </c>
      <c r="C344" s="102">
        <v>50.0</v>
      </c>
      <c r="D344" s="103">
        <v>0.0</v>
      </c>
      <c r="E344" s="26">
        <v>0.0</v>
      </c>
      <c r="F344" s="26" t="s">
        <v>2438</v>
      </c>
    </row>
    <row r="345">
      <c r="A345" s="26" t="s">
        <v>1316</v>
      </c>
      <c r="B345" s="26" t="s">
        <v>2439</v>
      </c>
      <c r="C345" s="102">
        <v>1.0</v>
      </c>
      <c r="D345" s="103">
        <v>0.0</v>
      </c>
      <c r="E345" s="26">
        <v>0.0</v>
      </c>
      <c r="F345" s="26" t="s">
        <v>2438</v>
      </c>
    </row>
    <row r="346">
      <c r="A346" s="26" t="s">
        <v>1317</v>
      </c>
      <c r="B346" s="26" t="s">
        <v>2426</v>
      </c>
      <c r="C346" s="102">
        <v>48.0</v>
      </c>
      <c r="D346" s="103">
        <v>55000.0</v>
      </c>
      <c r="E346" s="26">
        <v>0.0</v>
      </c>
    </row>
    <row r="347">
      <c r="A347" s="26" t="s">
        <v>1317</v>
      </c>
      <c r="B347" s="26" t="s">
        <v>2429</v>
      </c>
      <c r="C347" s="102">
        <v>72.0</v>
      </c>
      <c r="D347" s="103">
        <v>45000.0</v>
      </c>
      <c r="E347" s="26">
        <v>0.0</v>
      </c>
    </row>
    <row r="348">
      <c r="A348" s="26" t="s">
        <v>1317</v>
      </c>
      <c r="B348" s="26" t="s">
        <v>2435</v>
      </c>
      <c r="C348" s="102">
        <v>24.0</v>
      </c>
      <c r="D348" s="104">
        <v>0.0</v>
      </c>
      <c r="E348" s="26">
        <v>0.0</v>
      </c>
      <c r="F348" s="26" t="s">
        <v>2436</v>
      </c>
    </row>
    <row r="349">
      <c r="A349" s="26" t="s">
        <v>1317</v>
      </c>
      <c r="B349" s="26" t="s">
        <v>2442</v>
      </c>
      <c r="C349" s="102">
        <v>50.0</v>
      </c>
      <c r="D349" s="103">
        <v>0.0</v>
      </c>
      <c r="E349" s="26">
        <v>0.0</v>
      </c>
      <c r="F349" s="26" t="s">
        <v>2438</v>
      </c>
    </row>
    <row r="350">
      <c r="A350" s="29" t="s">
        <v>1318</v>
      </c>
      <c r="B350" s="26" t="s">
        <v>2429</v>
      </c>
      <c r="C350" s="102">
        <v>312.0</v>
      </c>
      <c r="D350" s="103">
        <v>45000.0</v>
      </c>
      <c r="E350" s="29">
        <v>12375.0</v>
      </c>
    </row>
    <row r="351">
      <c r="A351" s="29" t="s">
        <v>1318</v>
      </c>
      <c r="B351" s="26" t="s">
        <v>2427</v>
      </c>
      <c r="C351" s="102">
        <v>48.0</v>
      </c>
      <c r="D351" s="104">
        <v>60000.0</v>
      </c>
      <c r="E351" s="29">
        <v>16500.0</v>
      </c>
    </row>
    <row r="352">
      <c r="A352" s="26" t="s">
        <v>1320</v>
      </c>
      <c r="B352" s="26" t="s">
        <v>2448</v>
      </c>
      <c r="C352" s="102">
        <v>48.0</v>
      </c>
      <c r="D352" s="104">
        <v>0.0</v>
      </c>
      <c r="E352" s="26">
        <v>0.0</v>
      </c>
      <c r="F352" s="26" t="s">
        <v>2436</v>
      </c>
    </row>
    <row r="353">
      <c r="A353" s="26" t="s">
        <v>1321</v>
      </c>
      <c r="B353" s="26" t="s">
        <v>2451</v>
      </c>
      <c r="C353" s="102">
        <v>1.0</v>
      </c>
      <c r="D353" s="104">
        <v>2500000.0</v>
      </c>
      <c r="E353" s="26">
        <v>0.0</v>
      </c>
    </row>
    <row r="354">
      <c r="A354" s="26" t="s">
        <v>1321</v>
      </c>
      <c r="B354" s="26" t="s">
        <v>2437</v>
      </c>
      <c r="C354" s="102">
        <v>6.0</v>
      </c>
      <c r="D354" s="104">
        <v>0.0</v>
      </c>
      <c r="E354" s="26">
        <v>0.0</v>
      </c>
      <c r="F354" s="26" t="s">
        <v>2438</v>
      </c>
    </row>
    <row r="355">
      <c r="A355" s="26" t="s">
        <v>1322</v>
      </c>
      <c r="B355" s="26" t="s">
        <v>2429</v>
      </c>
      <c r="C355" s="102">
        <v>24.0</v>
      </c>
      <c r="D355" s="104">
        <v>45000.0</v>
      </c>
      <c r="E355" s="26">
        <v>0.0</v>
      </c>
    </row>
    <row r="356">
      <c r="A356" s="26" t="s">
        <v>1322</v>
      </c>
      <c r="B356" s="26" t="s">
        <v>2448</v>
      </c>
      <c r="C356" s="102">
        <v>2.0</v>
      </c>
      <c r="D356" s="103">
        <v>0.0</v>
      </c>
      <c r="E356" s="26">
        <v>0.0</v>
      </c>
      <c r="F356" s="26" t="s">
        <v>1522</v>
      </c>
    </row>
    <row r="357">
      <c r="A357" s="26" t="s">
        <v>1323</v>
      </c>
      <c r="B357" s="26" t="s">
        <v>2433</v>
      </c>
      <c r="C357" s="102">
        <v>1.0</v>
      </c>
      <c r="D357" s="103">
        <v>1450000.0</v>
      </c>
      <c r="E357" s="26">
        <v>0.0</v>
      </c>
    </row>
    <row r="358">
      <c r="A358" s="26" t="s">
        <v>1323</v>
      </c>
      <c r="B358" s="26" t="s">
        <v>2439</v>
      </c>
      <c r="C358" s="102">
        <v>1.0</v>
      </c>
      <c r="D358" s="104">
        <v>0.0</v>
      </c>
      <c r="E358" s="26">
        <v>0.0</v>
      </c>
      <c r="F358" s="26" t="s">
        <v>2438</v>
      </c>
    </row>
    <row r="359">
      <c r="A359" s="26" t="s">
        <v>1324</v>
      </c>
      <c r="B359" s="26" t="s">
        <v>2433</v>
      </c>
      <c r="C359" s="102">
        <v>1.0</v>
      </c>
      <c r="D359" s="103">
        <v>1450000.0</v>
      </c>
      <c r="E359" s="26">
        <v>0.0</v>
      </c>
    </row>
    <row r="360">
      <c r="A360" s="26" t="s">
        <v>1325</v>
      </c>
      <c r="B360" s="26" t="s">
        <v>2432</v>
      </c>
      <c r="C360" s="102">
        <v>1.0</v>
      </c>
      <c r="D360" s="103">
        <v>1480000.0</v>
      </c>
      <c r="E360" s="26">
        <v>0.0</v>
      </c>
    </row>
    <row r="361">
      <c r="A361" s="29" t="s">
        <v>1326</v>
      </c>
      <c r="B361" s="26" t="s">
        <v>2432</v>
      </c>
      <c r="C361" s="102">
        <v>1.0</v>
      </c>
      <c r="D361" s="103">
        <v>1480000.0</v>
      </c>
      <c r="E361" s="29">
        <v>74000.0</v>
      </c>
    </row>
    <row r="362">
      <c r="A362" s="29" t="s">
        <v>1326</v>
      </c>
      <c r="B362" s="26" t="s">
        <v>2433</v>
      </c>
      <c r="C362" s="102">
        <v>1.0</v>
      </c>
      <c r="D362" s="103">
        <v>1450000.0</v>
      </c>
      <c r="E362" s="29">
        <v>72500.0</v>
      </c>
    </row>
    <row r="363">
      <c r="A363" s="26" t="s">
        <v>1327</v>
      </c>
      <c r="B363" s="26" t="s">
        <v>2433</v>
      </c>
      <c r="C363" s="102">
        <v>3.0</v>
      </c>
      <c r="D363" s="104">
        <v>1450000.0</v>
      </c>
      <c r="E363" s="26">
        <v>0.0</v>
      </c>
    </row>
    <row r="364">
      <c r="A364" s="26" t="s">
        <v>1327</v>
      </c>
      <c r="B364" s="26" t="s">
        <v>2434</v>
      </c>
      <c r="C364" s="102">
        <v>1.0</v>
      </c>
      <c r="D364" s="103">
        <v>1350000.0</v>
      </c>
      <c r="E364" s="26">
        <v>0.0</v>
      </c>
    </row>
    <row r="365">
      <c r="A365" s="26" t="s">
        <v>1328</v>
      </c>
      <c r="B365" s="26" t="s">
        <v>2448</v>
      </c>
      <c r="C365" s="102">
        <v>9.0</v>
      </c>
      <c r="D365" s="104">
        <v>0.0</v>
      </c>
      <c r="E365" s="26">
        <v>0.0</v>
      </c>
      <c r="F365" s="26" t="s">
        <v>2436</v>
      </c>
    </row>
    <row r="366">
      <c r="A366" s="26" t="s">
        <v>1330</v>
      </c>
      <c r="B366" s="26" t="s">
        <v>2448</v>
      </c>
      <c r="C366" s="102">
        <v>4.0</v>
      </c>
      <c r="D366" s="103">
        <v>80000.0</v>
      </c>
      <c r="E366" s="26">
        <v>0.0</v>
      </c>
    </row>
    <row r="367">
      <c r="A367" s="26" t="s">
        <v>1330</v>
      </c>
      <c r="B367" s="26" t="s">
        <v>2429</v>
      </c>
      <c r="C367" s="102">
        <v>4.0</v>
      </c>
      <c r="D367" s="103">
        <v>70000.0</v>
      </c>
      <c r="E367" s="26">
        <v>0.0</v>
      </c>
    </row>
    <row r="368">
      <c r="A368" s="26" t="s">
        <v>1330</v>
      </c>
      <c r="B368" s="26" t="s">
        <v>2426</v>
      </c>
      <c r="C368" s="102">
        <v>1.0</v>
      </c>
      <c r="D368" s="103">
        <v>80000.0</v>
      </c>
      <c r="E368" s="26">
        <v>0.0</v>
      </c>
    </row>
    <row r="369">
      <c r="A369" s="26" t="s">
        <v>1330</v>
      </c>
      <c r="B369" s="26" t="s">
        <v>2429</v>
      </c>
      <c r="C369" s="102">
        <v>2.0</v>
      </c>
      <c r="D369" s="103">
        <v>70000.0</v>
      </c>
      <c r="E369" s="26">
        <v>0.0</v>
      </c>
    </row>
    <row r="370">
      <c r="A370" s="26" t="s">
        <v>1330</v>
      </c>
      <c r="B370" s="26" t="s">
        <v>2426</v>
      </c>
      <c r="C370" s="102">
        <v>1.0</v>
      </c>
      <c r="D370" s="104">
        <v>80000.0</v>
      </c>
      <c r="E370" s="26">
        <v>0.0</v>
      </c>
    </row>
    <row r="371">
      <c r="A371" s="26" t="s">
        <v>1331</v>
      </c>
      <c r="B371" s="26" t="s">
        <v>2448</v>
      </c>
      <c r="C371" s="102">
        <v>24.0</v>
      </c>
      <c r="D371" s="103">
        <v>0.0</v>
      </c>
      <c r="E371" s="26">
        <v>0.0</v>
      </c>
      <c r="F371" s="26" t="s">
        <v>2436</v>
      </c>
    </row>
    <row r="372">
      <c r="A372" s="26" t="s">
        <v>1332</v>
      </c>
      <c r="B372" s="26" t="s">
        <v>2448</v>
      </c>
      <c r="C372" s="102">
        <v>48.0</v>
      </c>
      <c r="D372" s="104">
        <v>60000.0</v>
      </c>
      <c r="E372" s="26">
        <v>0.0</v>
      </c>
    </row>
    <row r="373">
      <c r="A373" s="26" t="s">
        <v>1332</v>
      </c>
      <c r="B373" s="26" t="s">
        <v>2426</v>
      </c>
      <c r="C373" s="102">
        <v>24.0</v>
      </c>
      <c r="D373" s="103">
        <v>55000.0</v>
      </c>
      <c r="E373" s="26">
        <v>0.0</v>
      </c>
    </row>
    <row r="374">
      <c r="A374" s="26" t="s">
        <v>1334</v>
      </c>
      <c r="B374" s="26" t="s">
        <v>2448</v>
      </c>
      <c r="C374" s="102">
        <v>24.0</v>
      </c>
      <c r="D374" s="103">
        <v>0.0</v>
      </c>
      <c r="E374" s="26">
        <v>0.0</v>
      </c>
      <c r="F374" s="26" t="s">
        <v>2436</v>
      </c>
    </row>
    <row r="375">
      <c r="A375" s="26" t="s">
        <v>1334</v>
      </c>
      <c r="B375" s="26" t="s">
        <v>2452</v>
      </c>
      <c r="C375" s="102">
        <v>3.0</v>
      </c>
      <c r="D375" s="104">
        <v>0.0</v>
      </c>
      <c r="E375" s="26">
        <v>0.0</v>
      </c>
      <c r="F375" s="26" t="s">
        <v>2438</v>
      </c>
    </row>
    <row r="376">
      <c r="A376" s="26" t="s">
        <v>1334</v>
      </c>
      <c r="B376" s="26" t="s">
        <v>2448</v>
      </c>
      <c r="C376" s="102">
        <v>48.0</v>
      </c>
      <c r="D376" s="103">
        <v>0.0</v>
      </c>
      <c r="E376" s="26">
        <v>0.0</v>
      </c>
      <c r="F376" s="26" t="s">
        <v>2436</v>
      </c>
    </row>
    <row r="377">
      <c r="A377" s="29" t="s">
        <v>1336</v>
      </c>
      <c r="B377" s="26" t="s">
        <v>2432</v>
      </c>
      <c r="C377" s="102">
        <v>2.0</v>
      </c>
      <c r="D377" s="103">
        <v>1480000.0</v>
      </c>
      <c r="E377" s="29">
        <v>74000.0</v>
      </c>
    </row>
    <row r="378">
      <c r="A378" s="29" t="s">
        <v>1336</v>
      </c>
      <c r="B378" s="26" t="s">
        <v>2433</v>
      </c>
      <c r="C378" s="102">
        <v>2.0</v>
      </c>
      <c r="D378" s="104">
        <v>1450000.0</v>
      </c>
      <c r="E378" s="29">
        <v>72500.0</v>
      </c>
    </row>
    <row r="379">
      <c r="A379" s="26" t="s">
        <v>1337</v>
      </c>
      <c r="B379" s="26" t="s">
        <v>2448</v>
      </c>
      <c r="C379" s="102">
        <v>48.0</v>
      </c>
      <c r="D379" s="104">
        <v>60000.0</v>
      </c>
      <c r="E379" s="26">
        <v>0.0</v>
      </c>
    </row>
    <row r="380">
      <c r="A380" s="26" t="s">
        <v>1338</v>
      </c>
      <c r="B380" s="26" t="s">
        <v>2448</v>
      </c>
      <c r="C380" s="102">
        <v>48.0</v>
      </c>
      <c r="D380" s="104">
        <v>60000.0</v>
      </c>
      <c r="E380" s="26">
        <v>0.0</v>
      </c>
    </row>
    <row r="381">
      <c r="A381" s="26" t="s">
        <v>1339</v>
      </c>
      <c r="B381" s="26" t="s">
        <v>2426</v>
      </c>
      <c r="C381" s="102">
        <v>24.0</v>
      </c>
      <c r="D381" s="104">
        <v>55000.0</v>
      </c>
      <c r="E381" s="26">
        <v>0.0</v>
      </c>
    </row>
    <row r="382">
      <c r="A382" s="29" t="s">
        <v>1340</v>
      </c>
      <c r="B382" s="26" t="s">
        <v>2425</v>
      </c>
      <c r="C382" s="102">
        <v>1.0</v>
      </c>
      <c r="D382" s="104">
        <v>1875000.0</v>
      </c>
      <c r="E382" s="29">
        <v>93750.0</v>
      </c>
    </row>
    <row r="383">
      <c r="A383" s="26" t="s">
        <v>1341</v>
      </c>
      <c r="B383" s="26" t="s">
        <v>2429</v>
      </c>
      <c r="C383" s="102">
        <v>24.0</v>
      </c>
      <c r="D383" s="104">
        <v>45000.0</v>
      </c>
      <c r="E383" s="26">
        <v>0.0</v>
      </c>
    </row>
    <row r="384">
      <c r="A384" s="26" t="s">
        <v>1342</v>
      </c>
      <c r="B384" s="26" t="s">
        <v>2433</v>
      </c>
      <c r="C384" s="102">
        <v>1.0</v>
      </c>
      <c r="D384" s="104">
        <v>1450000.0</v>
      </c>
      <c r="E384" s="26">
        <v>0.0</v>
      </c>
    </row>
    <row r="385">
      <c r="A385" s="29" t="s">
        <v>1343</v>
      </c>
      <c r="B385" s="26" t="s">
        <v>2425</v>
      </c>
      <c r="C385" s="102">
        <v>1.0</v>
      </c>
      <c r="D385" s="104">
        <v>1875000.0</v>
      </c>
      <c r="E385" s="29">
        <v>281250.0</v>
      </c>
    </row>
    <row r="386">
      <c r="A386" s="26" t="s">
        <v>1344</v>
      </c>
      <c r="B386" s="26" t="s">
        <v>2433</v>
      </c>
      <c r="C386" s="102">
        <v>1.0</v>
      </c>
      <c r="D386" s="104">
        <v>1450000.0</v>
      </c>
      <c r="E386" s="26">
        <v>0.0</v>
      </c>
    </row>
    <row r="387">
      <c r="A387" s="26" t="s">
        <v>1345</v>
      </c>
      <c r="B387" s="26" t="s">
        <v>2448</v>
      </c>
      <c r="C387" s="102">
        <v>9.0</v>
      </c>
      <c r="D387" s="104">
        <v>0.0</v>
      </c>
      <c r="E387" s="26">
        <v>0.0</v>
      </c>
      <c r="F387" s="26" t="s">
        <v>2436</v>
      </c>
    </row>
    <row r="388">
      <c r="A388" s="26" t="s">
        <v>1346</v>
      </c>
      <c r="B388" s="26" t="s">
        <v>2431</v>
      </c>
      <c r="C388" s="102">
        <v>1.0</v>
      </c>
      <c r="D388" s="104">
        <v>2380000.0</v>
      </c>
      <c r="E388" s="26">
        <v>0.0</v>
      </c>
    </row>
    <row r="389">
      <c r="A389" s="29" t="s">
        <v>1347</v>
      </c>
      <c r="B389" s="26" t="s">
        <v>2432</v>
      </c>
      <c r="C389" s="102">
        <v>1.0</v>
      </c>
      <c r="D389" s="104">
        <v>1480000.0</v>
      </c>
      <c r="E389" s="29">
        <v>74000.0</v>
      </c>
    </row>
    <row r="390">
      <c r="A390" s="26" t="s">
        <v>1348</v>
      </c>
      <c r="B390" s="26" t="s">
        <v>2433</v>
      </c>
      <c r="C390" s="102">
        <v>1.0</v>
      </c>
      <c r="D390" s="104">
        <v>1450000.0</v>
      </c>
      <c r="E390" s="26">
        <v>0.0</v>
      </c>
    </row>
    <row r="391">
      <c r="A391" s="26" t="s">
        <v>1349</v>
      </c>
      <c r="B391" s="26" t="s">
        <v>2433</v>
      </c>
      <c r="C391" s="102">
        <v>1.0</v>
      </c>
      <c r="D391" s="104">
        <v>1450000.0</v>
      </c>
      <c r="E391" s="26">
        <v>0.0</v>
      </c>
    </row>
    <row r="392">
      <c r="A392" s="26" t="s">
        <v>1350</v>
      </c>
      <c r="B392" s="26" t="s">
        <v>2448</v>
      </c>
      <c r="C392" s="102">
        <v>48.0</v>
      </c>
      <c r="D392" s="104">
        <v>0.0</v>
      </c>
      <c r="E392" s="26">
        <v>0.0</v>
      </c>
      <c r="F392" s="26" t="s">
        <v>2436</v>
      </c>
    </row>
    <row r="393">
      <c r="A393" s="26" t="s">
        <v>1352</v>
      </c>
      <c r="B393" s="26" t="s">
        <v>2448</v>
      </c>
      <c r="C393" s="102">
        <v>9.0</v>
      </c>
      <c r="D393" s="104">
        <v>0.0</v>
      </c>
      <c r="E393" s="26">
        <v>0.0</v>
      </c>
      <c r="F393" s="26" t="s">
        <v>2436</v>
      </c>
    </row>
    <row r="394">
      <c r="A394" s="26" t="s">
        <v>1353</v>
      </c>
      <c r="B394" s="26" t="s">
        <v>2430</v>
      </c>
      <c r="C394" s="102">
        <v>48.0</v>
      </c>
      <c r="D394" s="104">
        <v>70000.0</v>
      </c>
      <c r="E394" s="26">
        <v>0.0</v>
      </c>
    </row>
    <row r="395">
      <c r="A395" s="26" t="s">
        <v>1353</v>
      </c>
      <c r="B395" s="26" t="s">
        <v>2435</v>
      </c>
      <c r="C395" s="102">
        <v>48.0</v>
      </c>
      <c r="D395" s="103">
        <v>65000.0</v>
      </c>
      <c r="E395" s="26">
        <v>0.0</v>
      </c>
    </row>
    <row r="396">
      <c r="A396" s="26" t="s">
        <v>1354</v>
      </c>
      <c r="B396" s="26" t="s">
        <v>2430</v>
      </c>
      <c r="C396" s="102">
        <v>12.0</v>
      </c>
      <c r="D396" s="103">
        <v>0.0</v>
      </c>
      <c r="E396" s="26">
        <v>0.0</v>
      </c>
      <c r="F396" s="26" t="s">
        <v>2436</v>
      </c>
    </row>
    <row r="397">
      <c r="A397" s="26" t="s">
        <v>1354</v>
      </c>
      <c r="B397" s="26" t="s">
        <v>2435</v>
      </c>
      <c r="C397" s="102">
        <v>12.0</v>
      </c>
      <c r="D397" s="103">
        <v>0.0</v>
      </c>
      <c r="E397" s="26">
        <v>0.0</v>
      </c>
      <c r="F397" s="26" t="s">
        <v>2436</v>
      </c>
    </row>
    <row r="398">
      <c r="A398" s="26" t="s">
        <v>1354</v>
      </c>
      <c r="B398" s="26" t="s">
        <v>2448</v>
      </c>
      <c r="C398" s="102">
        <v>3.0</v>
      </c>
      <c r="D398" s="103">
        <v>0.0</v>
      </c>
      <c r="E398" s="26">
        <v>0.0</v>
      </c>
      <c r="F398" s="26" t="s">
        <v>2436</v>
      </c>
    </row>
    <row r="399">
      <c r="A399" s="26" t="s">
        <v>1355</v>
      </c>
      <c r="B399" s="26" t="s">
        <v>2448</v>
      </c>
      <c r="C399" s="102">
        <v>9.0</v>
      </c>
      <c r="D399" s="103">
        <v>0.0</v>
      </c>
      <c r="E399" s="26">
        <v>0.0</v>
      </c>
      <c r="F399" s="26" t="s">
        <v>2436</v>
      </c>
    </row>
    <row r="400">
      <c r="A400" s="26" t="s">
        <v>1356</v>
      </c>
      <c r="B400" s="26" t="s">
        <v>2448</v>
      </c>
      <c r="C400" s="102">
        <v>9.0</v>
      </c>
      <c r="D400" s="103">
        <v>0.0</v>
      </c>
      <c r="E400" s="26">
        <v>0.0</v>
      </c>
      <c r="F400" s="26" t="s">
        <v>2436</v>
      </c>
    </row>
    <row r="401">
      <c r="A401" s="26" t="s">
        <v>1357</v>
      </c>
      <c r="B401" s="26" t="s">
        <v>2448</v>
      </c>
      <c r="C401" s="102">
        <v>9.0</v>
      </c>
      <c r="D401" s="103">
        <v>0.0</v>
      </c>
      <c r="E401" s="26">
        <v>0.0</v>
      </c>
      <c r="F401" s="26" t="s">
        <v>2436</v>
      </c>
    </row>
    <row r="402">
      <c r="A402" s="26" t="s">
        <v>1358</v>
      </c>
      <c r="B402" s="26" t="s">
        <v>2448</v>
      </c>
      <c r="C402" s="102">
        <v>9.0</v>
      </c>
      <c r="D402" s="104">
        <v>0.0</v>
      </c>
      <c r="E402" s="26">
        <v>0.0</v>
      </c>
      <c r="F402" s="26" t="s">
        <v>2436</v>
      </c>
    </row>
    <row r="403">
      <c r="A403" s="26" t="s">
        <v>1359</v>
      </c>
      <c r="B403" s="26" t="s">
        <v>2448</v>
      </c>
      <c r="C403" s="102">
        <v>9.0</v>
      </c>
      <c r="D403" s="103">
        <v>0.0</v>
      </c>
      <c r="E403" s="26">
        <v>0.0</v>
      </c>
      <c r="F403" s="26" t="s">
        <v>2436</v>
      </c>
    </row>
    <row r="404">
      <c r="A404" s="26" t="s">
        <v>1360</v>
      </c>
      <c r="B404" s="26" t="s">
        <v>2448</v>
      </c>
      <c r="C404" s="102">
        <v>9.0</v>
      </c>
      <c r="D404" s="103">
        <v>0.0</v>
      </c>
      <c r="E404" s="26">
        <v>0.0</v>
      </c>
      <c r="F404" s="26" t="s">
        <v>2436</v>
      </c>
    </row>
    <row r="405">
      <c r="A405" s="26" t="s">
        <v>1361</v>
      </c>
      <c r="B405" s="26" t="s">
        <v>2448</v>
      </c>
      <c r="C405" s="102">
        <v>108.0</v>
      </c>
      <c r="D405" s="103">
        <v>0.0</v>
      </c>
      <c r="E405" s="26">
        <v>0.0</v>
      </c>
      <c r="F405" s="26" t="s">
        <v>2436</v>
      </c>
    </row>
    <row r="406">
      <c r="A406" s="26" t="s">
        <v>1361</v>
      </c>
      <c r="B406" s="26" t="s">
        <v>2435</v>
      </c>
      <c r="C406" s="102">
        <v>3.0</v>
      </c>
      <c r="D406" s="104">
        <v>0.0</v>
      </c>
      <c r="E406" s="26">
        <v>0.0</v>
      </c>
      <c r="F406" s="26" t="s">
        <v>1522</v>
      </c>
    </row>
    <row r="407">
      <c r="A407" s="26" t="s">
        <v>1361</v>
      </c>
      <c r="B407" s="26" t="s">
        <v>2428</v>
      </c>
      <c r="C407" s="102">
        <v>3.0</v>
      </c>
      <c r="D407" s="104">
        <v>0.0</v>
      </c>
      <c r="E407" s="26">
        <v>0.0</v>
      </c>
      <c r="F407" s="26" t="s">
        <v>1522</v>
      </c>
    </row>
    <row r="408">
      <c r="A408" s="26" t="s">
        <v>1361</v>
      </c>
      <c r="B408" s="26" t="s">
        <v>2426</v>
      </c>
      <c r="C408" s="102">
        <v>3.0</v>
      </c>
      <c r="D408" s="104">
        <v>0.0</v>
      </c>
      <c r="E408" s="26">
        <v>0.0</v>
      </c>
      <c r="F408" s="26" t="s">
        <v>1522</v>
      </c>
    </row>
    <row r="409">
      <c r="A409" s="26" t="s">
        <v>1361</v>
      </c>
      <c r="B409" s="26" t="s">
        <v>2427</v>
      </c>
      <c r="C409" s="102">
        <v>3.0</v>
      </c>
      <c r="D409" s="104">
        <v>0.0</v>
      </c>
      <c r="E409" s="26">
        <v>0.0</v>
      </c>
      <c r="F409" s="26" t="s">
        <v>1522</v>
      </c>
    </row>
    <row r="410">
      <c r="A410" s="26" t="s">
        <v>1362</v>
      </c>
      <c r="B410" s="26" t="s">
        <v>2448</v>
      </c>
      <c r="C410" s="102">
        <v>120.0</v>
      </c>
      <c r="D410" s="103">
        <v>0.0</v>
      </c>
      <c r="E410" s="26">
        <v>0.0</v>
      </c>
      <c r="F410" s="26" t="s">
        <v>2436</v>
      </c>
    </row>
    <row r="411">
      <c r="A411" s="26" t="s">
        <v>1364</v>
      </c>
      <c r="B411" s="26" t="s">
        <v>2428</v>
      </c>
      <c r="C411" s="102">
        <v>2.0</v>
      </c>
      <c r="D411" s="104">
        <v>0.0</v>
      </c>
      <c r="E411" s="26">
        <v>0.0</v>
      </c>
      <c r="F411" s="26" t="s">
        <v>1522</v>
      </c>
    </row>
    <row r="412">
      <c r="A412" s="26" t="s">
        <v>1364</v>
      </c>
      <c r="B412" s="26" t="s">
        <v>2430</v>
      </c>
      <c r="C412" s="102">
        <v>2.0</v>
      </c>
      <c r="D412" s="103">
        <v>0.0</v>
      </c>
      <c r="E412" s="26">
        <v>0.0</v>
      </c>
      <c r="F412" s="26" t="s">
        <v>1522</v>
      </c>
    </row>
    <row r="413">
      <c r="A413" s="26" t="s">
        <v>1364</v>
      </c>
      <c r="B413" s="26" t="s">
        <v>2429</v>
      </c>
      <c r="C413" s="102">
        <v>2.0</v>
      </c>
      <c r="D413" s="104">
        <v>0.0</v>
      </c>
      <c r="E413" s="26">
        <v>0.0</v>
      </c>
      <c r="F413" s="26" t="s">
        <v>1522</v>
      </c>
    </row>
    <row r="414">
      <c r="A414" s="26" t="s">
        <v>1364</v>
      </c>
      <c r="B414" s="26" t="s">
        <v>2435</v>
      </c>
      <c r="C414" s="102">
        <v>2.0</v>
      </c>
      <c r="D414" s="104">
        <v>0.0</v>
      </c>
      <c r="E414" s="26">
        <v>0.0</v>
      </c>
      <c r="F414" s="26" t="s">
        <v>1522</v>
      </c>
    </row>
    <row r="415">
      <c r="A415" s="26" t="s">
        <v>1364</v>
      </c>
      <c r="B415" s="26" t="s">
        <v>2426</v>
      </c>
      <c r="C415" s="102">
        <v>2.0</v>
      </c>
      <c r="D415" s="103">
        <v>0.0</v>
      </c>
      <c r="E415" s="26">
        <v>0.0</v>
      </c>
      <c r="F415" s="26" t="s">
        <v>1522</v>
      </c>
    </row>
    <row r="416">
      <c r="A416" s="26" t="s">
        <v>1364</v>
      </c>
      <c r="B416" s="26" t="s">
        <v>2427</v>
      </c>
      <c r="C416" s="102">
        <v>2.0</v>
      </c>
      <c r="D416" s="103">
        <v>0.0</v>
      </c>
      <c r="E416" s="26">
        <v>0.0</v>
      </c>
      <c r="F416" s="26" t="s">
        <v>1522</v>
      </c>
    </row>
    <row r="417">
      <c r="A417" s="26" t="s">
        <v>1364</v>
      </c>
      <c r="B417" s="26" t="s">
        <v>2448</v>
      </c>
      <c r="C417" s="102">
        <v>4.0</v>
      </c>
      <c r="D417" s="104">
        <v>0.0</v>
      </c>
      <c r="E417" s="26">
        <v>0.0</v>
      </c>
      <c r="F417" s="26" t="s">
        <v>1522</v>
      </c>
    </row>
    <row r="418">
      <c r="A418" s="29" t="s">
        <v>1366</v>
      </c>
      <c r="B418" s="26" t="s">
        <v>2432</v>
      </c>
      <c r="C418" s="102">
        <v>1.0</v>
      </c>
      <c r="D418" s="104">
        <v>1480000.0</v>
      </c>
      <c r="E418" s="29">
        <v>74000.0</v>
      </c>
    </row>
    <row r="419">
      <c r="A419" s="29" t="s">
        <v>1367</v>
      </c>
      <c r="B419" s="26" t="s">
        <v>2432</v>
      </c>
      <c r="C419" s="102">
        <v>9.0</v>
      </c>
      <c r="D419" s="104">
        <v>1480000.0</v>
      </c>
      <c r="E419" s="29">
        <v>518000.0</v>
      </c>
    </row>
    <row r="420">
      <c r="A420" s="29" t="s">
        <v>1367</v>
      </c>
      <c r="B420" s="26" t="s">
        <v>2433</v>
      </c>
      <c r="C420" s="102">
        <v>9.0</v>
      </c>
      <c r="D420" s="104">
        <v>1450000.0</v>
      </c>
      <c r="E420" s="29">
        <v>507500.0</v>
      </c>
    </row>
    <row r="421">
      <c r="A421" s="29" t="s">
        <v>1367</v>
      </c>
      <c r="B421" s="26" t="s">
        <v>2434</v>
      </c>
      <c r="C421" s="102">
        <v>9.0</v>
      </c>
      <c r="D421" s="104">
        <v>1350000.0</v>
      </c>
      <c r="E421" s="29">
        <v>472500.0</v>
      </c>
    </row>
    <row r="422">
      <c r="A422" s="29" t="s">
        <v>1367</v>
      </c>
      <c r="B422" s="26" t="s">
        <v>2431</v>
      </c>
      <c r="C422" s="102">
        <v>6.0</v>
      </c>
      <c r="D422" s="104">
        <v>2380000.0</v>
      </c>
      <c r="E422" s="29">
        <v>833000.0</v>
      </c>
    </row>
    <row r="423">
      <c r="A423" s="29" t="s">
        <v>1367</v>
      </c>
      <c r="B423" s="26" t="s">
        <v>2440</v>
      </c>
      <c r="C423" s="102">
        <v>3.0</v>
      </c>
      <c r="D423" s="104">
        <v>2500000.0</v>
      </c>
      <c r="E423" s="29">
        <v>875000.0</v>
      </c>
    </row>
    <row r="424">
      <c r="A424" s="29" t="s">
        <v>1367</v>
      </c>
      <c r="B424" s="26" t="s">
        <v>2448</v>
      </c>
      <c r="C424" s="102">
        <v>120.0</v>
      </c>
      <c r="D424" s="104">
        <v>60000.0</v>
      </c>
      <c r="E424" s="29">
        <v>21000.0</v>
      </c>
    </row>
    <row r="425">
      <c r="A425" s="29" t="s">
        <v>1367</v>
      </c>
      <c r="B425" s="26" t="s">
        <v>2426</v>
      </c>
      <c r="C425" s="102">
        <v>120.0</v>
      </c>
      <c r="D425" s="103">
        <v>55000.0</v>
      </c>
      <c r="E425" s="29">
        <v>19250.0</v>
      </c>
    </row>
    <row r="426">
      <c r="A426" s="26" t="s">
        <v>1367</v>
      </c>
      <c r="B426" s="26" t="s">
        <v>2451</v>
      </c>
      <c r="C426" s="102">
        <v>2.0</v>
      </c>
      <c r="D426" s="103">
        <v>0.0</v>
      </c>
      <c r="E426" s="26">
        <v>0.0</v>
      </c>
      <c r="F426" s="26" t="s">
        <v>2436</v>
      </c>
    </row>
    <row r="427">
      <c r="A427" s="26" t="s">
        <v>1367</v>
      </c>
      <c r="B427" s="26" t="s">
        <v>2440</v>
      </c>
      <c r="C427" s="102">
        <v>2.0</v>
      </c>
      <c r="D427" s="103">
        <v>0.0</v>
      </c>
      <c r="E427" s="26">
        <v>0.0</v>
      </c>
      <c r="F427" s="26" t="s">
        <v>2436</v>
      </c>
    </row>
    <row r="428">
      <c r="A428" s="26" t="s">
        <v>1367</v>
      </c>
      <c r="B428" s="26" t="s">
        <v>2448</v>
      </c>
      <c r="C428" s="102">
        <v>72.0</v>
      </c>
      <c r="D428" s="104">
        <v>0.0</v>
      </c>
      <c r="E428" s="26">
        <v>0.0</v>
      </c>
      <c r="F428" s="26" t="s">
        <v>2436</v>
      </c>
    </row>
    <row r="429">
      <c r="A429" s="26" t="s">
        <v>1367</v>
      </c>
      <c r="B429" s="26" t="s">
        <v>2430</v>
      </c>
      <c r="C429" s="102">
        <v>12.0</v>
      </c>
      <c r="D429" s="104">
        <v>0.0</v>
      </c>
      <c r="E429" s="26">
        <v>0.0</v>
      </c>
      <c r="F429" s="26" t="s">
        <v>2436</v>
      </c>
    </row>
    <row r="430">
      <c r="A430" s="26" t="s">
        <v>1367</v>
      </c>
      <c r="B430" s="26" t="s">
        <v>2428</v>
      </c>
      <c r="C430" s="102">
        <v>12.0</v>
      </c>
      <c r="D430" s="104">
        <v>0.0</v>
      </c>
      <c r="E430" s="26">
        <v>0.0</v>
      </c>
      <c r="F430" s="26" t="s">
        <v>2436</v>
      </c>
    </row>
    <row r="431">
      <c r="A431" s="26" t="s">
        <v>1367</v>
      </c>
      <c r="B431" s="26" t="s">
        <v>2429</v>
      </c>
      <c r="C431" s="102">
        <v>12.0</v>
      </c>
      <c r="D431" s="104">
        <v>0.0</v>
      </c>
      <c r="E431" s="26">
        <v>0.0</v>
      </c>
      <c r="F431" s="26" t="s">
        <v>2436</v>
      </c>
    </row>
    <row r="432">
      <c r="A432" s="26" t="s">
        <v>1367</v>
      </c>
      <c r="B432" s="26" t="s">
        <v>2426</v>
      </c>
      <c r="C432" s="102">
        <v>12.0</v>
      </c>
      <c r="D432" s="104">
        <v>0.0</v>
      </c>
      <c r="E432" s="26">
        <v>0.0</v>
      </c>
      <c r="F432" s="26" t="s">
        <v>2436</v>
      </c>
    </row>
    <row r="433">
      <c r="A433" s="26" t="s">
        <v>1367</v>
      </c>
      <c r="B433" s="26" t="s">
        <v>2427</v>
      </c>
      <c r="C433" s="102">
        <v>12.0</v>
      </c>
      <c r="D433" s="104">
        <v>0.0</v>
      </c>
      <c r="E433" s="26">
        <v>0.0</v>
      </c>
      <c r="F433" s="26" t="s">
        <v>2436</v>
      </c>
    </row>
    <row r="434">
      <c r="A434" s="26" t="s">
        <v>1367</v>
      </c>
      <c r="B434" s="26" t="s">
        <v>2435</v>
      </c>
      <c r="C434" s="102">
        <v>12.0</v>
      </c>
      <c r="D434" s="103">
        <v>0.0</v>
      </c>
      <c r="E434" s="26">
        <v>0.0</v>
      </c>
      <c r="F434" s="26" t="s">
        <v>2436</v>
      </c>
    </row>
    <row r="435">
      <c r="A435" s="26" t="s">
        <v>1367</v>
      </c>
      <c r="B435" s="26" t="s">
        <v>2452</v>
      </c>
      <c r="C435" s="102">
        <v>12.0</v>
      </c>
      <c r="D435" s="104">
        <v>0.0</v>
      </c>
      <c r="E435" s="26">
        <v>0.0</v>
      </c>
      <c r="F435" s="26" t="s">
        <v>2436</v>
      </c>
    </row>
    <row r="436">
      <c r="A436" s="26" t="s">
        <v>1368</v>
      </c>
      <c r="B436" s="26" t="s">
        <v>2428</v>
      </c>
      <c r="C436" s="102">
        <v>12.0</v>
      </c>
      <c r="D436" s="104">
        <v>70000.0</v>
      </c>
      <c r="E436" s="26">
        <v>0.0</v>
      </c>
    </row>
    <row r="437">
      <c r="A437" s="26" t="s">
        <v>1368</v>
      </c>
      <c r="B437" s="26" t="s">
        <v>2435</v>
      </c>
      <c r="C437" s="102">
        <v>12.0</v>
      </c>
      <c r="D437" s="104">
        <v>65000.0</v>
      </c>
      <c r="E437" s="26">
        <v>0.0</v>
      </c>
    </row>
    <row r="438">
      <c r="A438" s="26" t="s">
        <v>1369</v>
      </c>
      <c r="B438" s="26" t="s">
        <v>2430</v>
      </c>
      <c r="C438" s="102">
        <v>24.0</v>
      </c>
      <c r="D438" s="104">
        <v>45000.0</v>
      </c>
      <c r="E438" s="26">
        <v>0.0</v>
      </c>
    </row>
    <row r="439">
      <c r="A439" s="26" t="s">
        <v>1370</v>
      </c>
      <c r="B439" s="26" t="s">
        <v>2429</v>
      </c>
      <c r="C439" s="102">
        <v>24.0</v>
      </c>
      <c r="D439" s="103">
        <v>45000.0</v>
      </c>
      <c r="E439" s="26">
        <v>0.0</v>
      </c>
    </row>
    <row r="440">
      <c r="A440" s="26" t="s">
        <v>1371</v>
      </c>
      <c r="B440" s="26" t="s">
        <v>2430</v>
      </c>
      <c r="C440" s="102">
        <v>24.0</v>
      </c>
      <c r="D440" s="104">
        <v>45000.0</v>
      </c>
      <c r="E440" s="26">
        <v>0.0</v>
      </c>
    </row>
    <row r="441">
      <c r="A441" s="26" t="s">
        <v>1371</v>
      </c>
      <c r="B441" s="26" t="s">
        <v>2429</v>
      </c>
      <c r="C441" s="102">
        <v>48.0</v>
      </c>
      <c r="D441" s="104">
        <v>45000.0</v>
      </c>
      <c r="E441" s="26">
        <v>0.0</v>
      </c>
    </row>
    <row r="442">
      <c r="A442" s="26" t="s">
        <v>1372</v>
      </c>
      <c r="B442" s="26" t="s">
        <v>2429</v>
      </c>
      <c r="C442" s="102">
        <v>24.0</v>
      </c>
      <c r="D442" s="104">
        <v>45000.0</v>
      </c>
      <c r="E442" s="26">
        <v>0.0</v>
      </c>
    </row>
    <row r="443">
      <c r="A443" s="26" t="s">
        <v>1373</v>
      </c>
      <c r="B443" s="26" t="s">
        <v>2430</v>
      </c>
      <c r="C443" s="102">
        <v>24.0</v>
      </c>
      <c r="D443" s="104">
        <v>45000.0</v>
      </c>
      <c r="E443" s="26">
        <v>0.0</v>
      </c>
    </row>
    <row r="444">
      <c r="A444" s="26" t="s">
        <v>1373</v>
      </c>
      <c r="B444" s="26" t="s">
        <v>2442</v>
      </c>
      <c r="C444" s="102">
        <v>50.0</v>
      </c>
      <c r="D444" s="104">
        <v>0.0</v>
      </c>
      <c r="E444" s="26">
        <v>0.0</v>
      </c>
      <c r="F444" s="26" t="s">
        <v>2438</v>
      </c>
    </row>
    <row r="445">
      <c r="A445" s="26" t="s">
        <v>1374</v>
      </c>
      <c r="B445" s="26" t="s">
        <v>2426</v>
      </c>
      <c r="C445" s="102">
        <v>24.0</v>
      </c>
      <c r="D445" s="104">
        <v>55000.0</v>
      </c>
      <c r="E445" s="26">
        <v>0.0</v>
      </c>
    </row>
    <row r="446">
      <c r="A446" s="26" t="s">
        <v>1374</v>
      </c>
      <c r="B446" s="26" t="s">
        <v>2427</v>
      </c>
      <c r="C446" s="102">
        <v>24.0</v>
      </c>
      <c r="D446" s="103">
        <v>60000.0</v>
      </c>
      <c r="E446" s="26">
        <v>0.0</v>
      </c>
    </row>
    <row r="447">
      <c r="A447" s="26" t="s">
        <v>1375</v>
      </c>
      <c r="B447" s="26" t="s">
        <v>2432</v>
      </c>
      <c r="C447" s="102">
        <v>1.0</v>
      </c>
      <c r="D447" s="103">
        <v>1480000.0</v>
      </c>
      <c r="E447" s="26">
        <v>0.0</v>
      </c>
    </row>
    <row r="448">
      <c r="A448" s="26" t="s">
        <v>1375</v>
      </c>
      <c r="B448" s="26" t="s">
        <v>2433</v>
      </c>
      <c r="C448" s="102">
        <v>1.0</v>
      </c>
      <c r="D448" s="103">
        <v>0.0</v>
      </c>
      <c r="E448" s="26">
        <v>0.0</v>
      </c>
      <c r="F448" s="26" t="s">
        <v>2436</v>
      </c>
    </row>
    <row r="449">
      <c r="A449" s="29" t="s">
        <v>1376</v>
      </c>
      <c r="B449" s="26" t="s">
        <v>2433</v>
      </c>
      <c r="C449" s="102">
        <v>1.0</v>
      </c>
      <c r="D449" s="103">
        <v>1450000.0</v>
      </c>
      <c r="E449" s="29">
        <v>72500.0</v>
      </c>
    </row>
    <row r="450">
      <c r="A450" s="26" t="s">
        <v>1376</v>
      </c>
      <c r="B450" s="26" t="s">
        <v>2439</v>
      </c>
      <c r="C450" s="102">
        <v>1.0</v>
      </c>
      <c r="D450" s="103">
        <v>0.0</v>
      </c>
      <c r="E450" s="26">
        <v>0.0</v>
      </c>
      <c r="F450" s="26" t="s">
        <v>2438</v>
      </c>
    </row>
    <row r="451">
      <c r="A451" s="26" t="s">
        <v>1377</v>
      </c>
      <c r="B451" s="26" t="s">
        <v>2433</v>
      </c>
      <c r="C451" s="102">
        <v>1.0</v>
      </c>
      <c r="D451" s="103">
        <v>1450000.0</v>
      </c>
      <c r="E451" s="26">
        <v>0.0</v>
      </c>
    </row>
    <row r="452">
      <c r="A452" s="26" t="s">
        <v>1378</v>
      </c>
      <c r="B452" s="26" t="s">
        <v>2434</v>
      </c>
      <c r="C452" s="102">
        <v>1.0</v>
      </c>
      <c r="D452" s="103">
        <v>1350000.0</v>
      </c>
      <c r="E452" s="26">
        <v>0.0</v>
      </c>
    </row>
    <row r="453">
      <c r="A453" s="26" t="s">
        <v>1379</v>
      </c>
      <c r="B453" s="26" t="s">
        <v>2429</v>
      </c>
      <c r="C453" s="102">
        <v>24.0</v>
      </c>
      <c r="D453" s="104">
        <v>45000.0</v>
      </c>
      <c r="E453" s="26">
        <v>0.0</v>
      </c>
    </row>
    <row r="454">
      <c r="A454" s="26" t="s">
        <v>1379</v>
      </c>
      <c r="B454" s="26" t="s">
        <v>2429</v>
      </c>
      <c r="C454" s="102">
        <v>24.0</v>
      </c>
      <c r="D454" s="103">
        <v>0.0</v>
      </c>
      <c r="E454" s="26">
        <v>0.0</v>
      </c>
      <c r="F454" s="26" t="s">
        <v>2436</v>
      </c>
    </row>
    <row r="455">
      <c r="A455" s="26" t="s">
        <v>1379</v>
      </c>
      <c r="B455" s="26" t="s">
        <v>2427</v>
      </c>
      <c r="C455" s="102">
        <v>2.0</v>
      </c>
      <c r="D455" s="104">
        <v>0.0</v>
      </c>
      <c r="E455" s="26">
        <v>0.0</v>
      </c>
      <c r="F455" s="26" t="s">
        <v>1522</v>
      </c>
    </row>
    <row r="456">
      <c r="A456" s="26" t="s">
        <v>1379</v>
      </c>
      <c r="B456" s="26" t="s">
        <v>2435</v>
      </c>
      <c r="C456" s="102">
        <v>2.0</v>
      </c>
      <c r="D456" s="103">
        <v>0.0</v>
      </c>
      <c r="E456" s="26">
        <v>0.0</v>
      </c>
      <c r="F456" s="26" t="s">
        <v>1522</v>
      </c>
    </row>
    <row r="457">
      <c r="A457" s="26" t="s">
        <v>1380</v>
      </c>
      <c r="B457" s="26" t="s">
        <v>2429</v>
      </c>
      <c r="C457" s="102">
        <v>24.0</v>
      </c>
      <c r="D457" s="103">
        <v>45000.0</v>
      </c>
      <c r="E457" s="26">
        <v>0.0</v>
      </c>
    </row>
    <row r="458">
      <c r="A458" s="26" t="s">
        <v>1381</v>
      </c>
      <c r="B458" s="26" t="s">
        <v>2429</v>
      </c>
      <c r="C458" s="102">
        <v>10.0</v>
      </c>
      <c r="D458" s="103">
        <v>70000.0</v>
      </c>
      <c r="E458" s="26">
        <v>0.0</v>
      </c>
    </row>
    <row r="459">
      <c r="A459" s="26" t="s">
        <v>1382</v>
      </c>
      <c r="B459" s="26" t="s">
        <v>2429</v>
      </c>
      <c r="C459" s="102">
        <v>24.0</v>
      </c>
      <c r="D459" s="103">
        <v>45000.0</v>
      </c>
      <c r="E459" s="26">
        <v>0.0</v>
      </c>
    </row>
    <row r="460">
      <c r="A460" s="26" t="s">
        <v>1384</v>
      </c>
      <c r="B460" s="26" t="s">
        <v>2429</v>
      </c>
      <c r="C460" s="102">
        <v>24.0</v>
      </c>
      <c r="D460" s="103">
        <v>45000.0</v>
      </c>
      <c r="E460" s="26">
        <v>0.0</v>
      </c>
    </row>
    <row r="461">
      <c r="A461" s="26" t="s">
        <v>1385</v>
      </c>
      <c r="B461" s="26" t="s">
        <v>2433</v>
      </c>
      <c r="C461" s="102">
        <v>5.0</v>
      </c>
      <c r="D461" s="103">
        <v>1450000.0</v>
      </c>
      <c r="E461" s="26">
        <v>0.0</v>
      </c>
    </row>
    <row r="462">
      <c r="A462" s="26" t="s">
        <v>1385</v>
      </c>
      <c r="B462" s="26" t="s">
        <v>2432</v>
      </c>
      <c r="C462" s="102">
        <v>5.0</v>
      </c>
      <c r="D462" s="103">
        <v>1480000.0</v>
      </c>
      <c r="E462" s="26">
        <v>0.0</v>
      </c>
    </row>
    <row r="463">
      <c r="A463" s="26" t="s">
        <v>1385</v>
      </c>
      <c r="B463" s="26" t="s">
        <v>2426</v>
      </c>
      <c r="C463" s="102">
        <v>192.0</v>
      </c>
      <c r="D463" s="103">
        <v>60000.0</v>
      </c>
      <c r="E463" s="26">
        <v>0.0</v>
      </c>
    </row>
    <row r="464">
      <c r="A464" s="26" t="s">
        <v>1385</v>
      </c>
      <c r="B464" s="26" t="s">
        <v>2435</v>
      </c>
      <c r="C464" s="102">
        <v>120.0</v>
      </c>
      <c r="D464" s="103">
        <v>40000.0</v>
      </c>
      <c r="E464" s="26">
        <v>0.0</v>
      </c>
    </row>
    <row r="465">
      <c r="A465" s="26" t="s">
        <v>1385</v>
      </c>
      <c r="B465" s="26" t="s">
        <v>2448</v>
      </c>
      <c r="C465" s="102">
        <v>144.0</v>
      </c>
      <c r="D465" s="103">
        <v>0.0</v>
      </c>
      <c r="E465" s="26">
        <v>0.0</v>
      </c>
      <c r="F465" s="26" t="s">
        <v>2436</v>
      </c>
    </row>
    <row r="466">
      <c r="A466" s="26" t="s">
        <v>1385</v>
      </c>
      <c r="B466" s="26" t="s">
        <v>2453</v>
      </c>
      <c r="C466" s="102">
        <v>10.0</v>
      </c>
      <c r="D466" s="103">
        <v>0.0</v>
      </c>
      <c r="E466" s="26">
        <v>0.0</v>
      </c>
      <c r="F466" s="26" t="s">
        <v>2438</v>
      </c>
    </row>
    <row r="467">
      <c r="A467" s="26" t="s">
        <v>1386</v>
      </c>
      <c r="B467" s="26" t="s">
        <v>2433</v>
      </c>
      <c r="C467" s="102">
        <v>5.0</v>
      </c>
      <c r="D467" s="103">
        <v>1450000.0</v>
      </c>
      <c r="E467" s="26">
        <v>0.0</v>
      </c>
    </row>
    <row r="468">
      <c r="A468" s="26" t="s">
        <v>1386</v>
      </c>
      <c r="B468" s="26" t="s">
        <v>2426</v>
      </c>
      <c r="C468" s="102">
        <v>120.0</v>
      </c>
      <c r="D468" s="103">
        <v>60000.0</v>
      </c>
      <c r="E468" s="26">
        <v>0.0</v>
      </c>
    </row>
    <row r="469">
      <c r="A469" s="26" t="s">
        <v>1386</v>
      </c>
      <c r="B469" s="26" t="s">
        <v>2429</v>
      </c>
      <c r="C469" s="102">
        <v>360.0</v>
      </c>
      <c r="D469" s="104">
        <v>45000.0</v>
      </c>
      <c r="E469" s="26">
        <v>0.0</v>
      </c>
    </row>
    <row r="470">
      <c r="A470" s="26" t="s">
        <v>1386</v>
      </c>
      <c r="B470" s="26" t="s">
        <v>2448</v>
      </c>
      <c r="C470" s="102">
        <v>360.0</v>
      </c>
      <c r="D470" s="103">
        <v>0.0</v>
      </c>
      <c r="E470" s="26">
        <v>0.0</v>
      </c>
      <c r="F470" s="26" t="s">
        <v>2436</v>
      </c>
    </row>
    <row r="471">
      <c r="A471" s="26" t="s">
        <v>1387</v>
      </c>
      <c r="B471" s="26" t="s">
        <v>2431</v>
      </c>
      <c r="C471" s="102">
        <v>20.0</v>
      </c>
      <c r="D471" s="104">
        <v>2380000.0</v>
      </c>
      <c r="E471" s="26">
        <v>0.0</v>
      </c>
    </row>
    <row r="472">
      <c r="A472" s="26" t="s">
        <v>1387</v>
      </c>
      <c r="B472" s="26" t="s">
        <v>2432</v>
      </c>
      <c r="C472" s="102">
        <v>14.0</v>
      </c>
      <c r="D472" s="103">
        <v>1480000.0</v>
      </c>
      <c r="E472" s="26">
        <v>0.0</v>
      </c>
    </row>
    <row r="473">
      <c r="A473" s="29" t="s">
        <v>1388</v>
      </c>
      <c r="B473" s="26" t="s">
        <v>2426</v>
      </c>
      <c r="C473" s="102">
        <v>144.0</v>
      </c>
      <c r="D473" s="103">
        <v>55000.0</v>
      </c>
      <c r="E473" s="29">
        <v>15125.0</v>
      </c>
    </row>
    <row r="474">
      <c r="A474" s="29" t="s">
        <v>1388</v>
      </c>
      <c r="B474" s="26" t="s">
        <v>2430</v>
      </c>
      <c r="C474" s="102">
        <v>48.0</v>
      </c>
      <c r="D474" s="103">
        <v>45000.0</v>
      </c>
      <c r="E474" s="29">
        <v>12375.0</v>
      </c>
    </row>
    <row r="475">
      <c r="A475" s="29" t="s">
        <v>1388</v>
      </c>
      <c r="B475" s="26" t="s">
        <v>2448</v>
      </c>
      <c r="C475" s="102">
        <v>48.0</v>
      </c>
      <c r="D475" s="104">
        <v>60000.0</v>
      </c>
      <c r="E475" s="29">
        <v>16500.0</v>
      </c>
    </row>
    <row r="476">
      <c r="A476" s="26" t="s">
        <v>1388</v>
      </c>
      <c r="B476" s="26" t="s">
        <v>2448</v>
      </c>
      <c r="C476" s="102">
        <v>12.0</v>
      </c>
      <c r="D476" s="104">
        <v>0.0</v>
      </c>
      <c r="E476" s="26">
        <v>0.0</v>
      </c>
      <c r="F476" s="26" t="s">
        <v>2436</v>
      </c>
    </row>
    <row r="477">
      <c r="A477" s="26" t="s">
        <v>1389</v>
      </c>
      <c r="B477" s="26" t="s">
        <v>2431</v>
      </c>
      <c r="C477" s="102">
        <v>1.0</v>
      </c>
      <c r="D477" s="103">
        <v>2380000.0</v>
      </c>
      <c r="E477" s="26">
        <v>0.0</v>
      </c>
    </row>
    <row r="478">
      <c r="A478" s="29" t="s">
        <v>1390</v>
      </c>
      <c r="B478" s="26" t="s">
        <v>2433</v>
      </c>
      <c r="C478" s="102">
        <v>1.0</v>
      </c>
      <c r="D478" s="103">
        <v>1450000.0</v>
      </c>
      <c r="E478" s="29">
        <v>72500.0</v>
      </c>
    </row>
    <row r="479">
      <c r="A479" s="29" t="s">
        <v>1390</v>
      </c>
      <c r="B479" s="26" t="s">
        <v>2432</v>
      </c>
      <c r="C479" s="102">
        <v>1.0</v>
      </c>
      <c r="D479" s="103">
        <v>1480000.0</v>
      </c>
      <c r="E479" s="29">
        <v>74000.0</v>
      </c>
    </row>
    <row r="480">
      <c r="A480" s="29" t="s">
        <v>1390</v>
      </c>
      <c r="B480" s="26" t="s">
        <v>2431</v>
      </c>
      <c r="C480" s="102">
        <v>1.0</v>
      </c>
      <c r="D480" s="104">
        <v>2380000.0</v>
      </c>
      <c r="E480" s="29">
        <v>119000.0</v>
      </c>
    </row>
    <row r="481">
      <c r="A481" s="26" t="s">
        <v>1391</v>
      </c>
      <c r="B481" s="26" t="s">
        <v>2429</v>
      </c>
      <c r="C481" s="102">
        <v>12.0</v>
      </c>
      <c r="D481" s="103">
        <v>45000.0</v>
      </c>
      <c r="E481" s="26">
        <v>0.0</v>
      </c>
    </row>
    <row r="482">
      <c r="A482" s="26" t="s">
        <v>1391</v>
      </c>
      <c r="B482" s="26" t="s">
        <v>2435</v>
      </c>
      <c r="C482" s="102">
        <v>12.0</v>
      </c>
      <c r="D482" s="103">
        <v>40000.0</v>
      </c>
      <c r="E482" s="26">
        <v>0.0</v>
      </c>
    </row>
    <row r="483">
      <c r="A483" s="26" t="s">
        <v>1392</v>
      </c>
      <c r="B483" s="26" t="s">
        <v>2429</v>
      </c>
      <c r="C483" s="102">
        <v>24.0</v>
      </c>
      <c r="D483" s="104">
        <v>45000.0</v>
      </c>
      <c r="E483" s="26">
        <v>0.0</v>
      </c>
    </row>
    <row r="484">
      <c r="A484" s="26" t="s">
        <v>1392</v>
      </c>
      <c r="B484" s="26" t="s">
        <v>2429</v>
      </c>
      <c r="C484" s="102">
        <v>24.0</v>
      </c>
      <c r="D484" s="103">
        <v>0.0</v>
      </c>
      <c r="E484" s="26">
        <v>0.0</v>
      </c>
      <c r="F484" s="26" t="s">
        <v>2436</v>
      </c>
    </row>
    <row r="485">
      <c r="A485" s="26" t="s">
        <v>1393</v>
      </c>
      <c r="B485" s="26" t="s">
        <v>2428</v>
      </c>
      <c r="C485" s="102">
        <v>24.0</v>
      </c>
      <c r="D485" s="103">
        <v>45000.0</v>
      </c>
      <c r="E485" s="26">
        <v>0.0</v>
      </c>
    </row>
    <row r="486">
      <c r="A486" s="26" t="s">
        <v>1393</v>
      </c>
      <c r="B486" s="26" t="s">
        <v>2429</v>
      </c>
      <c r="C486" s="102">
        <v>24.0</v>
      </c>
      <c r="D486" s="103">
        <v>45000.0</v>
      </c>
      <c r="E486" s="26">
        <v>0.0</v>
      </c>
    </row>
    <row r="487">
      <c r="A487" s="26" t="s">
        <v>1393</v>
      </c>
      <c r="B487" s="26" t="s">
        <v>2435</v>
      </c>
      <c r="C487" s="102">
        <v>10.0</v>
      </c>
      <c r="D487" s="103">
        <v>0.0</v>
      </c>
      <c r="E487" s="26">
        <v>0.0</v>
      </c>
      <c r="F487" s="26" t="s">
        <v>2436</v>
      </c>
    </row>
    <row r="488">
      <c r="A488" s="26" t="s">
        <v>1393</v>
      </c>
      <c r="B488" s="26" t="s">
        <v>2431</v>
      </c>
      <c r="C488" s="102">
        <v>1.0</v>
      </c>
      <c r="D488" s="104">
        <v>2380000.0</v>
      </c>
      <c r="E488" s="26">
        <v>0.0</v>
      </c>
    </row>
    <row r="489">
      <c r="A489" s="26" t="s">
        <v>1393</v>
      </c>
      <c r="B489" s="26" t="s">
        <v>2447</v>
      </c>
      <c r="C489" s="102">
        <v>1.0</v>
      </c>
      <c r="D489" s="104">
        <v>0.0</v>
      </c>
      <c r="E489" s="26">
        <v>0.0</v>
      </c>
      <c r="F489" s="26" t="s">
        <v>2438</v>
      </c>
    </row>
    <row r="490">
      <c r="A490" s="26" t="s">
        <v>1393</v>
      </c>
      <c r="B490" s="26" t="s">
        <v>2437</v>
      </c>
      <c r="C490" s="102">
        <v>6.0</v>
      </c>
      <c r="D490" s="103">
        <v>0.0</v>
      </c>
      <c r="E490" s="26">
        <v>0.0</v>
      </c>
      <c r="F490" s="26" t="s">
        <v>2438</v>
      </c>
    </row>
    <row r="491">
      <c r="A491" s="26" t="s">
        <v>1394</v>
      </c>
      <c r="B491" s="26" t="s">
        <v>2425</v>
      </c>
      <c r="C491" s="102">
        <v>1.0</v>
      </c>
      <c r="D491" s="104">
        <v>1875000.0</v>
      </c>
      <c r="E491" s="26">
        <v>0.0</v>
      </c>
    </row>
    <row r="492">
      <c r="A492" s="29" t="s">
        <v>1395</v>
      </c>
      <c r="B492" s="26" t="s">
        <v>2425</v>
      </c>
      <c r="C492" s="102">
        <v>1.0</v>
      </c>
      <c r="D492" s="103">
        <v>1875000.0</v>
      </c>
      <c r="E492" s="29">
        <v>93750.0</v>
      </c>
    </row>
    <row r="493">
      <c r="A493" s="29" t="s">
        <v>1395</v>
      </c>
      <c r="B493" s="26" t="s">
        <v>2431</v>
      </c>
      <c r="C493" s="102">
        <v>1.0</v>
      </c>
      <c r="D493" s="103">
        <v>2380000.0</v>
      </c>
      <c r="E493" s="29">
        <v>119000.0</v>
      </c>
    </row>
    <row r="494">
      <c r="A494" s="29" t="s">
        <v>1396</v>
      </c>
      <c r="B494" s="26" t="s">
        <v>2432</v>
      </c>
      <c r="C494" s="102">
        <v>1.0</v>
      </c>
      <c r="D494" s="104">
        <v>1480000.0</v>
      </c>
      <c r="E494" s="29">
        <v>74000.0</v>
      </c>
    </row>
    <row r="495">
      <c r="A495" s="29" t="s">
        <v>1396</v>
      </c>
      <c r="B495" s="26" t="s">
        <v>2433</v>
      </c>
      <c r="C495" s="102">
        <v>1.0</v>
      </c>
      <c r="D495" s="103">
        <v>1450000.0</v>
      </c>
      <c r="E495" s="29">
        <v>72500.0</v>
      </c>
    </row>
    <row r="496">
      <c r="A496" s="29" t="s">
        <v>1397</v>
      </c>
      <c r="B496" s="26" t="s">
        <v>2432</v>
      </c>
      <c r="C496" s="102">
        <v>1.0</v>
      </c>
      <c r="D496" s="104">
        <v>1480000.0</v>
      </c>
      <c r="E496" s="29">
        <v>296000.0</v>
      </c>
    </row>
    <row r="497">
      <c r="A497" s="26" t="s">
        <v>1398</v>
      </c>
      <c r="B497" s="26" t="s">
        <v>2433</v>
      </c>
      <c r="C497" s="102">
        <v>1.0</v>
      </c>
      <c r="D497" s="104">
        <v>1450000.0</v>
      </c>
      <c r="E497" s="26">
        <v>0.0</v>
      </c>
    </row>
    <row r="498">
      <c r="A498" s="26" t="s">
        <v>1399</v>
      </c>
      <c r="B498" s="26" t="s">
        <v>2433</v>
      </c>
      <c r="C498" s="102">
        <v>1.0</v>
      </c>
      <c r="D498" s="104">
        <v>1450000.0</v>
      </c>
      <c r="E498" s="26">
        <v>0.0</v>
      </c>
    </row>
    <row r="499">
      <c r="A499" s="26" t="s">
        <v>1400</v>
      </c>
      <c r="B499" s="26" t="s">
        <v>2433</v>
      </c>
      <c r="C499" s="102">
        <v>1.0</v>
      </c>
      <c r="D499" s="104">
        <v>1450000.0</v>
      </c>
      <c r="E499" s="26">
        <v>0.0</v>
      </c>
    </row>
    <row r="500">
      <c r="A500" s="29" t="s">
        <v>1401</v>
      </c>
      <c r="B500" s="26" t="s">
        <v>2429</v>
      </c>
      <c r="C500" s="102">
        <v>6.0</v>
      </c>
      <c r="D500" s="104">
        <v>45000.0</v>
      </c>
      <c r="E500" s="29">
        <v>22500.0</v>
      </c>
    </row>
    <row r="501">
      <c r="A501" s="29" t="s">
        <v>1401</v>
      </c>
      <c r="B501" s="26" t="s">
        <v>2428</v>
      </c>
      <c r="C501" s="102">
        <v>6.0</v>
      </c>
      <c r="D501" s="104">
        <v>45000.0</v>
      </c>
      <c r="E501" s="29">
        <v>22500.0</v>
      </c>
    </row>
    <row r="502">
      <c r="A502" s="29" t="s">
        <v>1401</v>
      </c>
      <c r="B502" s="26" t="s">
        <v>2430</v>
      </c>
      <c r="C502" s="102">
        <v>6.0</v>
      </c>
      <c r="D502" s="104">
        <v>45000.0</v>
      </c>
      <c r="E502" s="29">
        <v>22500.0</v>
      </c>
    </row>
    <row r="503">
      <c r="A503" s="29" t="s">
        <v>1401</v>
      </c>
      <c r="B503" s="26" t="s">
        <v>2426</v>
      </c>
      <c r="C503" s="102">
        <v>6.0</v>
      </c>
      <c r="D503" s="104">
        <v>55000.0</v>
      </c>
      <c r="E503" s="29">
        <v>27500.0</v>
      </c>
    </row>
    <row r="504">
      <c r="A504" s="26" t="s">
        <v>1402</v>
      </c>
      <c r="B504" s="26" t="s">
        <v>2433</v>
      </c>
      <c r="C504" s="102">
        <v>1.0</v>
      </c>
      <c r="D504" s="103">
        <v>1450000.0</v>
      </c>
      <c r="E504" s="26">
        <v>0.0</v>
      </c>
    </row>
    <row r="505">
      <c r="A505" s="29" t="s">
        <v>1403</v>
      </c>
      <c r="B505" s="26" t="s">
        <v>2432</v>
      </c>
      <c r="C505" s="102">
        <v>1.0</v>
      </c>
      <c r="D505" s="103">
        <v>1480000.0</v>
      </c>
      <c r="E505" s="29">
        <v>74000.0</v>
      </c>
    </row>
    <row r="506">
      <c r="A506" s="26" t="s">
        <v>1404</v>
      </c>
      <c r="B506" s="26" t="s">
        <v>2425</v>
      </c>
      <c r="C506" s="102">
        <v>1.0</v>
      </c>
      <c r="D506" s="103">
        <v>1875000.0</v>
      </c>
      <c r="E506" s="26">
        <v>0.0</v>
      </c>
    </row>
    <row r="507">
      <c r="A507" s="29" t="s">
        <v>1405</v>
      </c>
      <c r="B507" s="26" t="s">
        <v>2429</v>
      </c>
      <c r="C507" s="102">
        <v>240.0</v>
      </c>
      <c r="D507" s="103">
        <v>45000.0</v>
      </c>
      <c r="E507" s="29">
        <v>12375.0</v>
      </c>
    </row>
    <row r="508">
      <c r="A508" s="29" t="s">
        <v>1405</v>
      </c>
      <c r="B508" s="26" t="s">
        <v>2428</v>
      </c>
      <c r="C508" s="102">
        <v>48.0</v>
      </c>
      <c r="D508" s="103">
        <v>45000.0</v>
      </c>
      <c r="E508" s="29">
        <v>12375.0</v>
      </c>
    </row>
    <row r="509">
      <c r="A509" s="29" t="s">
        <v>1405</v>
      </c>
      <c r="B509" s="26" t="s">
        <v>2427</v>
      </c>
      <c r="C509" s="102">
        <v>48.0</v>
      </c>
      <c r="D509" s="103">
        <v>60000.0</v>
      </c>
      <c r="E509" s="29">
        <v>16500.0</v>
      </c>
    </row>
    <row r="510">
      <c r="A510" s="29" t="s">
        <v>1405</v>
      </c>
      <c r="B510" s="26" t="s">
        <v>2454</v>
      </c>
      <c r="C510" s="102">
        <v>48.0</v>
      </c>
      <c r="D510" s="104">
        <v>55000.0</v>
      </c>
      <c r="E510" s="29">
        <v>15125.0</v>
      </c>
    </row>
    <row r="511">
      <c r="A511" s="26" t="s">
        <v>1406</v>
      </c>
      <c r="B511" s="26" t="s">
        <v>2429</v>
      </c>
      <c r="C511" s="102">
        <v>24.0</v>
      </c>
      <c r="D511" s="104">
        <v>45000.0</v>
      </c>
      <c r="E511" s="26">
        <v>0.0</v>
      </c>
    </row>
    <row r="512">
      <c r="A512" s="26" t="s">
        <v>1407</v>
      </c>
      <c r="B512" s="26" t="s">
        <v>2429</v>
      </c>
      <c r="C512" s="102">
        <v>24.0</v>
      </c>
      <c r="D512" s="104">
        <v>45000.0</v>
      </c>
      <c r="E512" s="26">
        <v>0.0</v>
      </c>
    </row>
    <row r="513">
      <c r="A513" s="26" t="s">
        <v>1407</v>
      </c>
      <c r="B513" s="26" t="s">
        <v>2437</v>
      </c>
      <c r="C513" s="102">
        <v>6.0</v>
      </c>
      <c r="D513" s="104">
        <v>0.0</v>
      </c>
      <c r="E513" s="26">
        <v>0.0</v>
      </c>
      <c r="F513" s="26" t="s">
        <v>2438</v>
      </c>
    </row>
    <row r="514">
      <c r="A514" s="26" t="s">
        <v>1407</v>
      </c>
      <c r="B514" s="26" t="s">
        <v>2449</v>
      </c>
      <c r="C514" s="102">
        <v>6.0</v>
      </c>
      <c r="D514" s="104">
        <v>0.0</v>
      </c>
      <c r="E514" s="26">
        <v>0.0</v>
      </c>
      <c r="F514" s="26" t="s">
        <v>2438</v>
      </c>
    </row>
    <row r="515">
      <c r="A515" s="26" t="s">
        <v>1407</v>
      </c>
      <c r="B515" s="26" t="s">
        <v>2442</v>
      </c>
      <c r="C515" s="102">
        <v>50.0</v>
      </c>
      <c r="D515" s="104">
        <v>0.0</v>
      </c>
      <c r="E515" s="26">
        <v>0.0</v>
      </c>
      <c r="F515" s="26" t="s">
        <v>2438</v>
      </c>
    </row>
    <row r="516">
      <c r="A516" s="26" t="s">
        <v>1408</v>
      </c>
      <c r="B516" s="26" t="s">
        <v>2437</v>
      </c>
      <c r="C516" s="102">
        <v>144.0</v>
      </c>
      <c r="D516" s="104">
        <v>0.0</v>
      </c>
      <c r="E516" s="26">
        <v>0.0</v>
      </c>
      <c r="F516" s="26" t="s">
        <v>2438</v>
      </c>
    </row>
    <row r="517">
      <c r="A517" s="26" t="s">
        <v>1409</v>
      </c>
      <c r="B517" s="26" t="s">
        <v>2432</v>
      </c>
      <c r="C517" s="102">
        <v>1.0</v>
      </c>
      <c r="D517" s="104">
        <v>1480000.0</v>
      </c>
      <c r="E517" s="26">
        <v>0.0</v>
      </c>
    </row>
    <row r="518">
      <c r="A518" s="26" t="s">
        <v>1410</v>
      </c>
      <c r="B518" s="26" t="s">
        <v>2433</v>
      </c>
      <c r="C518" s="102">
        <v>1.0</v>
      </c>
      <c r="D518" s="104">
        <v>1450000.0</v>
      </c>
      <c r="E518" s="26">
        <v>0.0</v>
      </c>
    </row>
    <row r="519">
      <c r="A519" s="26" t="s">
        <v>1411</v>
      </c>
      <c r="B519" s="26" t="s">
        <v>2431</v>
      </c>
      <c r="C519" s="102">
        <v>1.0</v>
      </c>
      <c r="D519" s="104">
        <v>2380000.0</v>
      </c>
      <c r="E519" s="26">
        <v>0.0</v>
      </c>
    </row>
    <row r="520">
      <c r="A520" s="29" t="s">
        <v>1412</v>
      </c>
      <c r="B520" s="26" t="s">
        <v>2432</v>
      </c>
      <c r="C520" s="102">
        <v>1.0</v>
      </c>
      <c r="D520" s="104">
        <v>1480000.0</v>
      </c>
      <c r="E520" s="29">
        <v>74000.0</v>
      </c>
    </row>
    <row r="521">
      <c r="A521" s="29" t="s">
        <v>1412</v>
      </c>
      <c r="B521" s="26" t="s">
        <v>2433</v>
      </c>
      <c r="C521" s="102">
        <v>1.0</v>
      </c>
      <c r="D521" s="103">
        <v>1450000.0</v>
      </c>
      <c r="E521" s="29">
        <v>72500.0</v>
      </c>
    </row>
    <row r="522">
      <c r="A522" s="26" t="s">
        <v>1413</v>
      </c>
      <c r="B522" s="26" t="s">
        <v>2429</v>
      </c>
      <c r="C522" s="102">
        <v>48.0</v>
      </c>
      <c r="D522" s="103">
        <v>45000.0</v>
      </c>
      <c r="E522" s="26">
        <v>0.0</v>
      </c>
    </row>
    <row r="523">
      <c r="A523" s="26" t="s">
        <v>1413</v>
      </c>
      <c r="B523" s="26" t="s">
        <v>2426</v>
      </c>
      <c r="C523" s="102">
        <v>12.0</v>
      </c>
      <c r="D523" s="104">
        <v>55000.0</v>
      </c>
      <c r="E523" s="26">
        <v>0.0</v>
      </c>
    </row>
    <row r="524">
      <c r="A524" s="26" t="s">
        <v>1414</v>
      </c>
      <c r="B524" s="26" t="s">
        <v>2433</v>
      </c>
      <c r="C524" s="102">
        <v>1.0</v>
      </c>
      <c r="D524" s="104">
        <v>1450000.0</v>
      </c>
      <c r="E524" s="26">
        <v>0.0</v>
      </c>
    </row>
    <row r="525">
      <c r="A525" s="26" t="s">
        <v>1415</v>
      </c>
      <c r="B525" s="26" t="s">
        <v>2429</v>
      </c>
      <c r="C525" s="102">
        <v>24.0</v>
      </c>
      <c r="D525" s="103">
        <v>45000.0</v>
      </c>
      <c r="E525" s="26">
        <v>0.0</v>
      </c>
    </row>
    <row r="526">
      <c r="A526" s="26" t="s">
        <v>1416</v>
      </c>
      <c r="B526" s="26" t="s">
        <v>2429</v>
      </c>
      <c r="C526" s="102">
        <v>12.0</v>
      </c>
      <c r="D526" s="103">
        <v>45000.0</v>
      </c>
      <c r="E526" s="26">
        <v>0.0</v>
      </c>
    </row>
    <row r="527">
      <c r="A527" s="26" t="s">
        <v>1416</v>
      </c>
      <c r="B527" s="26" t="s">
        <v>2426</v>
      </c>
      <c r="C527" s="102">
        <v>6.0</v>
      </c>
      <c r="D527" s="104">
        <v>55000.0</v>
      </c>
      <c r="E527" s="26">
        <v>0.0</v>
      </c>
    </row>
    <row r="528">
      <c r="A528" s="26" t="s">
        <v>1416</v>
      </c>
      <c r="B528" s="26" t="s">
        <v>2430</v>
      </c>
      <c r="C528" s="102">
        <v>6.0</v>
      </c>
      <c r="D528" s="103">
        <v>45000.0</v>
      </c>
      <c r="E528" s="26">
        <v>0.0</v>
      </c>
    </row>
    <row r="529">
      <c r="A529" s="26" t="s">
        <v>1417</v>
      </c>
      <c r="B529" s="26" t="s">
        <v>2446</v>
      </c>
      <c r="C529" s="102">
        <v>1.0</v>
      </c>
      <c r="D529" s="103">
        <v>0.0</v>
      </c>
      <c r="E529" s="26">
        <v>0.0</v>
      </c>
      <c r="F529" s="26" t="s">
        <v>2438</v>
      </c>
    </row>
    <row r="530">
      <c r="A530" s="26" t="s">
        <v>1417</v>
      </c>
      <c r="B530" s="26" t="s">
        <v>2439</v>
      </c>
      <c r="C530" s="102">
        <v>1.0</v>
      </c>
      <c r="D530" s="104">
        <v>0.0</v>
      </c>
      <c r="E530" s="26">
        <v>0.0</v>
      </c>
      <c r="F530" s="26" t="s">
        <v>2438</v>
      </c>
    </row>
    <row r="531">
      <c r="A531" s="29" t="s">
        <v>1417</v>
      </c>
      <c r="B531" s="26" t="s">
        <v>2432</v>
      </c>
      <c r="C531" s="102">
        <v>1.0</v>
      </c>
      <c r="D531" s="104">
        <v>1480000.0</v>
      </c>
      <c r="E531" s="29">
        <v>296000.0</v>
      </c>
    </row>
    <row r="532">
      <c r="A532" s="26" t="s">
        <v>1418</v>
      </c>
      <c r="B532" s="26" t="s">
        <v>2429</v>
      </c>
      <c r="C532" s="102">
        <v>24.0</v>
      </c>
      <c r="D532" s="104">
        <v>45000.0</v>
      </c>
      <c r="E532" s="26">
        <v>0.0</v>
      </c>
    </row>
    <row r="533">
      <c r="A533" s="26" t="s">
        <v>1419</v>
      </c>
      <c r="B533" s="26" t="s">
        <v>2429</v>
      </c>
      <c r="C533" s="102">
        <v>24.0</v>
      </c>
      <c r="D533" s="104">
        <v>45000.0</v>
      </c>
      <c r="E533" s="26">
        <v>0.0</v>
      </c>
    </row>
    <row r="534">
      <c r="A534" s="26" t="s">
        <v>1419</v>
      </c>
      <c r="B534" s="26" t="s">
        <v>2430</v>
      </c>
      <c r="C534" s="102">
        <v>24.0</v>
      </c>
      <c r="D534" s="104">
        <v>45000.0</v>
      </c>
      <c r="E534" s="26">
        <v>0.0</v>
      </c>
    </row>
    <row r="535">
      <c r="A535" s="26" t="s">
        <v>1420</v>
      </c>
      <c r="B535" s="26" t="s">
        <v>2425</v>
      </c>
      <c r="C535" s="102">
        <v>1.0</v>
      </c>
      <c r="D535" s="104">
        <v>1875000.0</v>
      </c>
      <c r="E535" s="26">
        <v>0.0</v>
      </c>
    </row>
    <row r="536">
      <c r="A536" s="26" t="s">
        <v>1421</v>
      </c>
      <c r="B536" s="26" t="s">
        <v>2429</v>
      </c>
      <c r="C536" s="102">
        <v>480.0</v>
      </c>
      <c r="D536" s="104">
        <v>45000.0</v>
      </c>
      <c r="E536" s="26">
        <v>0.0</v>
      </c>
    </row>
    <row r="537">
      <c r="A537" s="26" t="s">
        <v>1421</v>
      </c>
      <c r="B537" s="26" t="s">
        <v>2430</v>
      </c>
      <c r="C537" s="102">
        <v>96.0</v>
      </c>
      <c r="D537" s="104">
        <v>45000.0</v>
      </c>
      <c r="E537" s="26">
        <v>0.0</v>
      </c>
    </row>
    <row r="538">
      <c r="A538" s="26" t="s">
        <v>1421</v>
      </c>
      <c r="B538" s="26" t="s">
        <v>2427</v>
      </c>
      <c r="C538" s="102">
        <v>72.0</v>
      </c>
      <c r="D538" s="103">
        <v>60000.0</v>
      </c>
      <c r="E538" s="26">
        <v>0.0</v>
      </c>
    </row>
    <row r="539">
      <c r="A539" s="26" t="s">
        <v>1421</v>
      </c>
      <c r="B539" s="26" t="s">
        <v>2425</v>
      </c>
      <c r="C539" s="102">
        <v>6.0</v>
      </c>
      <c r="D539" s="104">
        <v>1875000.0</v>
      </c>
      <c r="E539" s="26">
        <v>0.0</v>
      </c>
    </row>
    <row r="540">
      <c r="A540" s="26" t="s">
        <v>1421</v>
      </c>
      <c r="B540" s="26" t="s">
        <v>2432</v>
      </c>
      <c r="C540" s="102">
        <v>10.0</v>
      </c>
      <c r="D540" s="104">
        <v>1480000.0</v>
      </c>
      <c r="E540" s="26">
        <v>0.0</v>
      </c>
    </row>
    <row r="541">
      <c r="A541" s="26" t="s">
        <v>1421</v>
      </c>
      <c r="B541" s="26" t="s">
        <v>2433</v>
      </c>
      <c r="C541" s="102">
        <v>10.0</v>
      </c>
      <c r="D541" s="103">
        <v>1450000.0</v>
      </c>
      <c r="E541" s="26">
        <v>0.0</v>
      </c>
    </row>
    <row r="542">
      <c r="A542" s="29" t="s">
        <v>1422</v>
      </c>
      <c r="B542" s="26" t="s">
        <v>2426</v>
      </c>
      <c r="C542" s="102">
        <v>240.0</v>
      </c>
      <c r="D542" s="104">
        <v>55000.0</v>
      </c>
      <c r="E542" s="29">
        <v>19250.0</v>
      </c>
    </row>
    <row r="543">
      <c r="A543" s="29" t="s">
        <v>1422</v>
      </c>
      <c r="B543" s="26" t="s">
        <v>2429</v>
      </c>
      <c r="C543" s="102">
        <v>360.0</v>
      </c>
      <c r="D543" s="103">
        <v>45000.0</v>
      </c>
      <c r="E543" s="29">
        <v>15750.0</v>
      </c>
    </row>
    <row r="544">
      <c r="A544" s="29" t="s">
        <v>1422</v>
      </c>
      <c r="B544" s="26" t="s">
        <v>2428</v>
      </c>
      <c r="C544" s="102">
        <v>240.0</v>
      </c>
      <c r="D544" s="103">
        <v>45000.0</v>
      </c>
      <c r="E544" s="29">
        <v>15750.0</v>
      </c>
    </row>
    <row r="545">
      <c r="A545" s="29" t="s">
        <v>1422</v>
      </c>
      <c r="B545" s="26" t="s">
        <v>2430</v>
      </c>
      <c r="C545" s="102">
        <v>144.0</v>
      </c>
      <c r="D545" s="103">
        <v>45000.0</v>
      </c>
      <c r="E545" s="29">
        <v>15750.0</v>
      </c>
    </row>
    <row r="546">
      <c r="A546" s="29" t="s">
        <v>1422</v>
      </c>
      <c r="B546" s="26" t="s">
        <v>2432</v>
      </c>
      <c r="C546" s="102">
        <v>10.0</v>
      </c>
      <c r="D546" s="103">
        <v>1480000.0</v>
      </c>
      <c r="E546" s="29">
        <v>518000.0</v>
      </c>
    </row>
    <row r="547">
      <c r="A547" s="29" t="s">
        <v>1422</v>
      </c>
      <c r="B547" s="26" t="s">
        <v>2433</v>
      </c>
      <c r="C547" s="102">
        <v>8.0</v>
      </c>
      <c r="D547" s="103">
        <v>1450000.0</v>
      </c>
      <c r="E547" s="29">
        <v>507500.0</v>
      </c>
    </row>
    <row r="548">
      <c r="A548" s="29" t="s">
        <v>1422</v>
      </c>
      <c r="B548" s="26" t="s">
        <v>2434</v>
      </c>
      <c r="C548" s="102">
        <v>4.0</v>
      </c>
      <c r="D548" s="104">
        <v>1350000.0</v>
      </c>
      <c r="E548" s="29">
        <v>472500.0</v>
      </c>
    </row>
    <row r="549">
      <c r="A549" s="26" t="s">
        <v>1423</v>
      </c>
      <c r="B549" s="26" t="s">
        <v>2435</v>
      </c>
      <c r="C549" s="102">
        <v>24.0</v>
      </c>
      <c r="D549" s="103">
        <v>40000.0</v>
      </c>
      <c r="E549" s="26">
        <v>0.0</v>
      </c>
    </row>
    <row r="550">
      <c r="A550" s="26" t="s">
        <v>1423</v>
      </c>
      <c r="B550" s="26" t="s">
        <v>2427</v>
      </c>
      <c r="C550" s="102">
        <v>24.0</v>
      </c>
      <c r="D550" s="103">
        <v>60000.0</v>
      </c>
      <c r="E550" s="29">
        <v>0.0</v>
      </c>
    </row>
    <row r="551">
      <c r="A551" s="26" t="s">
        <v>1423</v>
      </c>
      <c r="B551" s="26" t="s">
        <v>2426</v>
      </c>
      <c r="C551" s="102">
        <v>24.0</v>
      </c>
      <c r="D551" s="103">
        <v>55000.0</v>
      </c>
      <c r="E551" s="26">
        <v>0.0</v>
      </c>
    </row>
    <row r="552">
      <c r="A552" s="26" t="s">
        <v>1423</v>
      </c>
      <c r="B552" s="26" t="s">
        <v>2429</v>
      </c>
      <c r="C552" s="102">
        <v>24.0</v>
      </c>
      <c r="D552" s="103">
        <v>45000.0</v>
      </c>
      <c r="E552" s="29">
        <v>0.0</v>
      </c>
    </row>
    <row r="553">
      <c r="A553" s="26" t="s">
        <v>1423</v>
      </c>
      <c r="B553" s="26" t="s">
        <v>2428</v>
      </c>
      <c r="C553" s="102">
        <v>6.0</v>
      </c>
      <c r="D553" s="103">
        <v>0.0</v>
      </c>
      <c r="E553" s="26">
        <v>0.0</v>
      </c>
      <c r="F553" s="26" t="s">
        <v>2436</v>
      </c>
    </row>
    <row r="554">
      <c r="A554" s="26" t="s">
        <v>1423</v>
      </c>
      <c r="B554" s="26" t="s">
        <v>2430</v>
      </c>
      <c r="C554" s="102">
        <v>6.0</v>
      </c>
      <c r="D554" s="103">
        <v>0.0</v>
      </c>
      <c r="E554" s="29">
        <v>0.0</v>
      </c>
      <c r="F554" s="26" t="s">
        <v>2436</v>
      </c>
    </row>
    <row r="555">
      <c r="A555" s="29" t="s">
        <v>1424</v>
      </c>
      <c r="B555" s="26" t="s">
        <v>2425</v>
      </c>
      <c r="C555" s="102">
        <v>1.0</v>
      </c>
      <c r="D555" s="103">
        <v>1875000.0</v>
      </c>
      <c r="E555" s="29">
        <v>93750.0</v>
      </c>
    </row>
    <row r="556">
      <c r="A556" s="29" t="s">
        <v>1424</v>
      </c>
      <c r="B556" s="26" t="s">
        <v>2433</v>
      </c>
      <c r="C556" s="102">
        <v>1.0</v>
      </c>
      <c r="D556" s="104">
        <v>1450000.0</v>
      </c>
      <c r="E556" s="29">
        <v>72500.0</v>
      </c>
    </row>
    <row r="557">
      <c r="A557" s="26" t="s">
        <v>1425</v>
      </c>
      <c r="B557" s="26" t="s">
        <v>2429</v>
      </c>
      <c r="C557" s="102">
        <v>24.0</v>
      </c>
      <c r="D557" s="104">
        <v>45000.0</v>
      </c>
      <c r="E557" s="26">
        <v>0.0</v>
      </c>
    </row>
    <row r="558">
      <c r="A558" s="26" t="s">
        <v>1426</v>
      </c>
      <c r="B558" s="26" t="s">
        <v>2433</v>
      </c>
      <c r="C558" s="102">
        <v>1.0</v>
      </c>
      <c r="D558" s="104">
        <v>1450000.0</v>
      </c>
      <c r="E558" s="26">
        <v>0.0</v>
      </c>
    </row>
    <row r="559">
      <c r="A559" s="26" t="s">
        <v>1427</v>
      </c>
      <c r="B559" s="26" t="s">
        <v>2433</v>
      </c>
      <c r="C559" s="102">
        <v>2.0</v>
      </c>
      <c r="D559" s="104">
        <v>1450000.0</v>
      </c>
      <c r="E559" s="26">
        <v>0.0</v>
      </c>
    </row>
    <row r="560">
      <c r="A560" s="26" t="s">
        <v>1428</v>
      </c>
      <c r="B560" s="26" t="s">
        <v>2425</v>
      </c>
      <c r="C560" s="102">
        <v>1.0</v>
      </c>
      <c r="D560" s="104">
        <v>1875000.0</v>
      </c>
      <c r="E560" s="26">
        <v>0.0</v>
      </c>
    </row>
    <row r="561">
      <c r="A561" s="26" t="s">
        <v>1429</v>
      </c>
      <c r="B561" s="26" t="s">
        <v>2426</v>
      </c>
      <c r="C561" s="102">
        <v>18.0</v>
      </c>
      <c r="D561" s="104">
        <v>55000.0</v>
      </c>
      <c r="E561" s="26">
        <v>0.0</v>
      </c>
    </row>
    <row r="562">
      <c r="A562" s="26" t="s">
        <v>1429</v>
      </c>
      <c r="B562" s="26" t="s">
        <v>2427</v>
      </c>
      <c r="C562" s="102">
        <v>6.0</v>
      </c>
      <c r="D562" s="104">
        <v>60000.0</v>
      </c>
      <c r="E562" s="26">
        <v>0.0</v>
      </c>
    </row>
    <row r="563">
      <c r="A563" s="29" t="s">
        <v>1430</v>
      </c>
      <c r="B563" s="26" t="s">
        <v>2431</v>
      </c>
      <c r="C563" s="102">
        <v>1.0</v>
      </c>
      <c r="D563" s="104">
        <v>2380000.0</v>
      </c>
      <c r="E563" s="29">
        <v>119000.0</v>
      </c>
    </row>
    <row r="564">
      <c r="A564" s="29" t="s">
        <v>1430</v>
      </c>
      <c r="B564" s="26" t="s">
        <v>2433</v>
      </c>
      <c r="C564" s="102">
        <v>1.0</v>
      </c>
      <c r="D564" s="104">
        <v>1450000.0</v>
      </c>
      <c r="E564" s="29">
        <v>72500.0</v>
      </c>
    </row>
    <row r="565">
      <c r="A565" s="26" t="s">
        <v>1431</v>
      </c>
      <c r="B565" s="26" t="s">
        <v>2437</v>
      </c>
      <c r="C565" s="102">
        <v>12.0</v>
      </c>
      <c r="D565" s="104">
        <v>0.0</v>
      </c>
      <c r="E565" s="26">
        <v>0.0</v>
      </c>
      <c r="F565" s="26" t="s">
        <v>2438</v>
      </c>
    </row>
    <row r="566">
      <c r="A566" s="26" t="s">
        <v>1431</v>
      </c>
      <c r="B566" s="26" t="s">
        <v>2455</v>
      </c>
      <c r="C566" s="102">
        <v>30.0</v>
      </c>
      <c r="D566" s="104">
        <v>0.0</v>
      </c>
      <c r="E566" s="26">
        <v>0.0</v>
      </c>
      <c r="F566" s="26" t="s">
        <v>2456</v>
      </c>
    </row>
    <row r="567">
      <c r="A567" s="26" t="s">
        <v>1431</v>
      </c>
      <c r="B567" s="26" t="s">
        <v>2442</v>
      </c>
      <c r="C567" s="102">
        <v>30.0</v>
      </c>
      <c r="D567" s="103">
        <v>0.0</v>
      </c>
      <c r="E567" s="26">
        <v>0.0</v>
      </c>
      <c r="F567" s="26" t="s">
        <v>2438</v>
      </c>
    </row>
    <row r="568">
      <c r="A568" s="26" t="s">
        <v>1431</v>
      </c>
      <c r="B568" s="26" t="s">
        <v>2457</v>
      </c>
      <c r="C568" s="102">
        <v>30.0</v>
      </c>
      <c r="D568" s="103">
        <v>0.0</v>
      </c>
      <c r="E568" s="26">
        <v>0.0</v>
      </c>
      <c r="F568" s="26" t="s">
        <v>2456</v>
      </c>
    </row>
    <row r="569">
      <c r="A569" s="26" t="s">
        <v>1431</v>
      </c>
      <c r="B569" s="26" t="s">
        <v>2447</v>
      </c>
      <c r="C569" s="102">
        <v>4.0</v>
      </c>
      <c r="D569" s="104">
        <v>0.0</v>
      </c>
      <c r="E569" s="26">
        <v>0.0</v>
      </c>
      <c r="F569" s="26" t="s">
        <v>2438</v>
      </c>
    </row>
    <row r="570">
      <c r="A570" s="26" t="s">
        <v>1432</v>
      </c>
      <c r="B570" s="26" t="s">
        <v>2430</v>
      </c>
      <c r="C570" s="102">
        <v>16.0</v>
      </c>
      <c r="D570" s="104">
        <v>70000.0</v>
      </c>
      <c r="E570" s="26">
        <v>0.0</v>
      </c>
    </row>
    <row r="571">
      <c r="A571" s="26" t="s">
        <v>1432</v>
      </c>
      <c r="B571" s="26" t="s">
        <v>2426</v>
      </c>
      <c r="C571" s="102">
        <v>16.0</v>
      </c>
      <c r="D571" s="104">
        <v>80000.0</v>
      </c>
      <c r="E571" s="26">
        <v>0.0</v>
      </c>
    </row>
    <row r="572">
      <c r="A572" s="26" t="s">
        <v>1432</v>
      </c>
      <c r="B572" s="26" t="s">
        <v>2427</v>
      </c>
      <c r="C572" s="102">
        <v>16.0</v>
      </c>
      <c r="D572" s="104">
        <v>90000.0</v>
      </c>
      <c r="E572" s="26">
        <v>0.0</v>
      </c>
    </row>
    <row r="573">
      <c r="A573" s="26" t="s">
        <v>1432</v>
      </c>
      <c r="B573" s="26" t="s">
        <v>2458</v>
      </c>
      <c r="C573" s="102">
        <v>4.0</v>
      </c>
      <c r="D573" s="104">
        <v>0.0</v>
      </c>
      <c r="E573" s="26">
        <v>0.0</v>
      </c>
      <c r="F573" s="26" t="s">
        <v>2436</v>
      </c>
    </row>
    <row r="574">
      <c r="A574" s="26" t="s">
        <v>1433</v>
      </c>
      <c r="B574" s="26" t="s">
        <v>2432</v>
      </c>
      <c r="C574" s="102">
        <v>1.0</v>
      </c>
      <c r="D574" s="104">
        <v>1480000.0</v>
      </c>
      <c r="E574" s="26">
        <v>0.0</v>
      </c>
    </row>
    <row r="575">
      <c r="A575" s="26" t="s">
        <v>1433</v>
      </c>
      <c r="B575" s="26" t="s">
        <v>2425</v>
      </c>
      <c r="C575" s="102">
        <v>1.0</v>
      </c>
      <c r="D575" s="104">
        <v>1875000.0</v>
      </c>
      <c r="E575" s="26">
        <v>0.0</v>
      </c>
    </row>
    <row r="576">
      <c r="A576" s="26" t="s">
        <v>1433</v>
      </c>
      <c r="B576" s="26" t="s">
        <v>2431</v>
      </c>
      <c r="C576" s="102">
        <v>1.0</v>
      </c>
      <c r="D576" s="104">
        <v>2380000.0</v>
      </c>
      <c r="E576" s="26">
        <v>0.0</v>
      </c>
    </row>
    <row r="577">
      <c r="A577" s="26" t="s">
        <v>1433</v>
      </c>
      <c r="B577" s="26" t="s">
        <v>2437</v>
      </c>
      <c r="C577" s="102">
        <v>12.0</v>
      </c>
      <c r="D577" s="104">
        <v>0.0</v>
      </c>
      <c r="E577" s="26">
        <v>0.0</v>
      </c>
      <c r="F577" s="26" t="s">
        <v>2438</v>
      </c>
    </row>
    <row r="578">
      <c r="A578" s="26" t="s">
        <v>1433</v>
      </c>
      <c r="B578" s="26" t="s">
        <v>2442</v>
      </c>
      <c r="C578" s="102">
        <v>100.0</v>
      </c>
      <c r="D578" s="104">
        <v>0.0</v>
      </c>
      <c r="E578" s="26">
        <v>0.0</v>
      </c>
      <c r="F578" s="26" t="s">
        <v>2438</v>
      </c>
    </row>
    <row r="579">
      <c r="A579" s="26" t="s">
        <v>1433</v>
      </c>
      <c r="B579" s="26" t="s">
        <v>2447</v>
      </c>
      <c r="C579" s="102">
        <v>3.0</v>
      </c>
      <c r="D579" s="104">
        <v>0.0</v>
      </c>
      <c r="E579" s="26">
        <v>0.0</v>
      </c>
      <c r="F579" s="26" t="s">
        <v>2438</v>
      </c>
    </row>
    <row r="580">
      <c r="A580" s="26" t="s">
        <v>1433</v>
      </c>
      <c r="B580" s="26" t="s">
        <v>2459</v>
      </c>
      <c r="C580" s="102">
        <v>3.0</v>
      </c>
      <c r="D580" s="104">
        <v>0.0</v>
      </c>
      <c r="E580" s="26">
        <v>0.0</v>
      </c>
      <c r="F580" s="26" t="s">
        <v>2438</v>
      </c>
    </row>
    <row r="581">
      <c r="A581" s="29" t="s">
        <v>1434</v>
      </c>
      <c r="B581" s="26" t="s">
        <v>2428</v>
      </c>
      <c r="C581" s="102">
        <v>10.0</v>
      </c>
      <c r="D581" s="104">
        <v>45000.0</v>
      </c>
      <c r="E581" s="29">
        <v>22500.0</v>
      </c>
    </row>
    <row r="582">
      <c r="A582" s="29" t="s">
        <v>1434</v>
      </c>
      <c r="B582" s="26" t="s">
        <v>2426</v>
      </c>
      <c r="C582" s="102">
        <v>10.0</v>
      </c>
      <c r="D582" s="104">
        <v>55000.0</v>
      </c>
      <c r="E582" s="29">
        <v>27500.0</v>
      </c>
    </row>
    <row r="583">
      <c r="A583" s="29" t="s">
        <v>1434</v>
      </c>
      <c r="B583" s="26" t="s">
        <v>2427</v>
      </c>
      <c r="C583" s="102">
        <v>4.0</v>
      </c>
      <c r="D583" s="104">
        <v>60000.0</v>
      </c>
      <c r="E583" s="29">
        <v>30000.0</v>
      </c>
    </row>
    <row r="584">
      <c r="A584" s="26" t="s">
        <v>1435</v>
      </c>
      <c r="B584" s="26" t="s">
        <v>2426</v>
      </c>
      <c r="C584" s="102">
        <v>24.0</v>
      </c>
      <c r="D584" s="104">
        <v>55000.0</v>
      </c>
      <c r="E584" s="26">
        <v>0.0</v>
      </c>
    </row>
    <row r="585">
      <c r="A585" s="26" t="s">
        <v>1436</v>
      </c>
      <c r="B585" s="26" t="s">
        <v>2434</v>
      </c>
      <c r="C585" s="102">
        <v>1.0</v>
      </c>
      <c r="D585" s="103">
        <v>1350000.0</v>
      </c>
      <c r="E585" s="26">
        <v>0.0</v>
      </c>
    </row>
    <row r="586">
      <c r="A586" s="26" t="s">
        <v>1437</v>
      </c>
      <c r="B586" s="26" t="s">
        <v>2433</v>
      </c>
      <c r="C586" s="102">
        <v>1.0</v>
      </c>
      <c r="D586" s="104">
        <v>1450000.0</v>
      </c>
      <c r="E586" s="26">
        <v>0.0</v>
      </c>
    </row>
    <row r="587">
      <c r="A587" s="29" t="s">
        <v>1438</v>
      </c>
      <c r="B587" s="26" t="s">
        <v>2432</v>
      </c>
      <c r="C587" s="102">
        <v>1.0</v>
      </c>
      <c r="D587" s="104">
        <v>1480000.0</v>
      </c>
      <c r="E587" s="29">
        <v>74000.0</v>
      </c>
    </row>
    <row r="588">
      <c r="A588" s="26" t="s">
        <v>1439</v>
      </c>
      <c r="B588" s="26" t="s">
        <v>2431</v>
      </c>
      <c r="C588" s="102">
        <v>1.0</v>
      </c>
      <c r="D588" s="104">
        <v>2380000.0</v>
      </c>
      <c r="E588" s="26">
        <v>0.0</v>
      </c>
    </row>
    <row r="589">
      <c r="A589" s="26" t="s">
        <v>1440</v>
      </c>
      <c r="B589" s="26" t="s">
        <v>2426</v>
      </c>
      <c r="C589" s="102">
        <v>96.0</v>
      </c>
      <c r="D589" s="104">
        <v>55000.0</v>
      </c>
      <c r="E589" s="26">
        <v>0.0</v>
      </c>
    </row>
    <row r="590">
      <c r="A590" s="26" t="s">
        <v>1440</v>
      </c>
      <c r="B590" s="26" t="s">
        <v>2426</v>
      </c>
      <c r="C590" s="102">
        <v>24.0</v>
      </c>
      <c r="D590" s="104">
        <v>0.0</v>
      </c>
      <c r="E590" s="26">
        <v>0.0</v>
      </c>
      <c r="F590" s="26" t="s">
        <v>2436</v>
      </c>
    </row>
    <row r="591">
      <c r="A591" s="26" t="s">
        <v>1441</v>
      </c>
      <c r="B591" s="26" t="s">
        <v>2429</v>
      </c>
      <c r="C591" s="102">
        <v>24.0</v>
      </c>
      <c r="D591" s="104">
        <v>45000.0</v>
      </c>
      <c r="E591" s="26">
        <v>0.0</v>
      </c>
    </row>
    <row r="592">
      <c r="A592" s="26" t="s">
        <v>1441</v>
      </c>
      <c r="B592" s="26" t="s">
        <v>2426</v>
      </c>
      <c r="C592" s="102">
        <v>24.0</v>
      </c>
      <c r="D592" s="103">
        <v>55000.0</v>
      </c>
      <c r="E592" s="26">
        <v>0.0</v>
      </c>
    </row>
    <row r="593">
      <c r="A593" s="26" t="s">
        <v>1441</v>
      </c>
      <c r="B593" s="26" t="s">
        <v>2427</v>
      </c>
      <c r="C593" s="102">
        <v>24.0</v>
      </c>
      <c r="D593" s="103">
        <v>60000.0</v>
      </c>
      <c r="E593" s="26">
        <v>0.0</v>
      </c>
    </row>
    <row r="594">
      <c r="A594" s="26" t="s">
        <v>1441</v>
      </c>
      <c r="B594" s="26" t="s">
        <v>2442</v>
      </c>
      <c r="C594" s="102">
        <v>50.0</v>
      </c>
      <c r="D594" s="103">
        <v>0.0</v>
      </c>
      <c r="E594" s="26">
        <v>0.0</v>
      </c>
      <c r="F594" s="26" t="s">
        <v>2438</v>
      </c>
    </row>
    <row r="595">
      <c r="A595" s="26" t="s">
        <v>1441</v>
      </c>
      <c r="B595" s="26" t="s">
        <v>2437</v>
      </c>
      <c r="C595" s="102">
        <v>6.0</v>
      </c>
      <c r="D595" s="103">
        <v>0.0</v>
      </c>
      <c r="E595" s="26">
        <v>0.0</v>
      </c>
      <c r="F595" s="26" t="s">
        <v>2438</v>
      </c>
    </row>
    <row r="596">
      <c r="A596" s="26" t="s">
        <v>1442</v>
      </c>
      <c r="B596" s="26" t="s">
        <v>2426</v>
      </c>
      <c r="C596" s="102">
        <v>96.0</v>
      </c>
      <c r="D596" s="103">
        <v>55000.0</v>
      </c>
      <c r="E596" s="26">
        <v>0.0</v>
      </c>
    </row>
    <row r="597">
      <c r="A597" s="26" t="s">
        <v>1442</v>
      </c>
      <c r="B597" s="26" t="s">
        <v>2427</v>
      </c>
      <c r="C597" s="102">
        <v>24.0</v>
      </c>
      <c r="D597" s="103">
        <v>0.0</v>
      </c>
      <c r="E597" s="26">
        <v>0.0</v>
      </c>
      <c r="F597" s="26" t="s">
        <v>2436</v>
      </c>
    </row>
    <row r="598">
      <c r="A598" s="26" t="s">
        <v>1442</v>
      </c>
      <c r="B598" s="26" t="s">
        <v>2427</v>
      </c>
      <c r="C598" s="102">
        <v>6.0</v>
      </c>
      <c r="D598" s="103">
        <v>0.0</v>
      </c>
      <c r="E598" s="26">
        <v>0.0</v>
      </c>
      <c r="F598" s="26" t="s">
        <v>2436</v>
      </c>
    </row>
    <row r="599">
      <c r="A599" s="26" t="s">
        <v>1443</v>
      </c>
      <c r="B599" s="26" t="s">
        <v>2431</v>
      </c>
      <c r="C599" s="102">
        <v>1.0</v>
      </c>
      <c r="D599" s="103">
        <v>2380000.0</v>
      </c>
      <c r="E599" s="26">
        <v>0.0</v>
      </c>
    </row>
    <row r="600">
      <c r="A600" s="29" t="s">
        <v>1444</v>
      </c>
      <c r="B600" s="26" t="s">
        <v>2431</v>
      </c>
      <c r="C600" s="102">
        <v>1.0</v>
      </c>
      <c r="D600" s="103">
        <v>2380000.0</v>
      </c>
      <c r="E600" s="29">
        <v>119000.0</v>
      </c>
    </row>
    <row r="601">
      <c r="A601" s="29" t="s">
        <v>1444</v>
      </c>
      <c r="B601" s="26" t="s">
        <v>2433</v>
      </c>
      <c r="C601" s="102">
        <v>1.0</v>
      </c>
      <c r="D601" s="103">
        <v>1450000.0</v>
      </c>
      <c r="E601" s="29">
        <v>72500.0</v>
      </c>
    </row>
    <row r="602">
      <c r="A602" s="26" t="s">
        <v>1445</v>
      </c>
      <c r="B602" s="26" t="s">
        <v>2429</v>
      </c>
      <c r="C602" s="102">
        <v>24.0</v>
      </c>
      <c r="D602" s="104">
        <v>45000.0</v>
      </c>
      <c r="E602" s="26">
        <v>0.0</v>
      </c>
    </row>
    <row r="603">
      <c r="A603" s="26" t="s">
        <v>1445</v>
      </c>
      <c r="B603" s="26" t="s">
        <v>2426</v>
      </c>
      <c r="C603" s="102">
        <v>15.0</v>
      </c>
      <c r="D603" s="104">
        <v>55000.0</v>
      </c>
      <c r="E603" s="26">
        <v>0.0</v>
      </c>
    </row>
    <row r="604">
      <c r="A604" s="26" t="s">
        <v>1446</v>
      </c>
      <c r="B604" s="26" t="s">
        <v>2425</v>
      </c>
      <c r="C604" s="102">
        <v>2.0</v>
      </c>
      <c r="D604" s="104">
        <v>1875000.0</v>
      </c>
      <c r="E604" s="26">
        <v>0.0</v>
      </c>
    </row>
    <row r="605">
      <c r="A605" s="26" t="s">
        <v>1447</v>
      </c>
      <c r="B605" s="26" t="s">
        <v>2426</v>
      </c>
      <c r="C605" s="102">
        <v>48.0</v>
      </c>
      <c r="D605" s="104">
        <v>55000.0</v>
      </c>
      <c r="E605" s="26">
        <v>0.0</v>
      </c>
    </row>
    <row r="606">
      <c r="A606" s="29" t="s">
        <v>1448</v>
      </c>
      <c r="B606" s="26" t="s">
        <v>2432</v>
      </c>
      <c r="C606" s="102">
        <v>1.0</v>
      </c>
      <c r="D606" s="104">
        <v>1480000.0</v>
      </c>
      <c r="E606" s="29">
        <v>296000.0</v>
      </c>
    </row>
    <row r="607">
      <c r="A607" s="29" t="s">
        <v>1449</v>
      </c>
      <c r="B607" s="26" t="s">
        <v>2432</v>
      </c>
      <c r="C607" s="102">
        <v>1.0</v>
      </c>
      <c r="D607" s="104">
        <v>1480000.0</v>
      </c>
      <c r="E607" s="29">
        <v>74000.0</v>
      </c>
    </row>
    <row r="608">
      <c r="A608" s="29" t="s">
        <v>1449</v>
      </c>
      <c r="B608" s="26" t="s">
        <v>2425</v>
      </c>
      <c r="C608" s="102">
        <v>1.0</v>
      </c>
      <c r="D608" s="104">
        <v>1875000.0</v>
      </c>
      <c r="E608" s="29">
        <v>93750.0</v>
      </c>
    </row>
    <row r="609">
      <c r="A609" s="26" t="s">
        <v>1450</v>
      </c>
      <c r="B609" s="26" t="s">
        <v>2433</v>
      </c>
      <c r="C609" s="102">
        <v>1.0</v>
      </c>
      <c r="D609" s="104">
        <v>1450000.0</v>
      </c>
      <c r="E609" s="26">
        <v>0.0</v>
      </c>
    </row>
    <row r="610">
      <c r="A610" s="26" t="s">
        <v>1451</v>
      </c>
      <c r="B610" s="26" t="s">
        <v>2433</v>
      </c>
      <c r="C610" s="102">
        <v>1.0</v>
      </c>
      <c r="D610" s="104">
        <v>1450000.0</v>
      </c>
      <c r="E610" s="26">
        <v>0.0</v>
      </c>
    </row>
    <row r="611">
      <c r="A611" s="29" t="s">
        <v>1452</v>
      </c>
      <c r="B611" s="26" t="s">
        <v>2433</v>
      </c>
      <c r="C611" s="102">
        <v>1.0</v>
      </c>
      <c r="D611" s="104">
        <v>1450000.0</v>
      </c>
      <c r="E611" s="29">
        <v>290000.0</v>
      </c>
    </row>
    <row r="612">
      <c r="A612" s="26" t="s">
        <v>1452</v>
      </c>
      <c r="B612" s="26" t="s">
        <v>2439</v>
      </c>
      <c r="C612" s="102">
        <v>1.0</v>
      </c>
      <c r="D612" s="104">
        <v>0.0</v>
      </c>
      <c r="E612" s="26">
        <v>0.0</v>
      </c>
      <c r="F612" s="26" t="s">
        <v>2460</v>
      </c>
    </row>
    <row r="613">
      <c r="A613" s="26" t="s">
        <v>1453</v>
      </c>
      <c r="B613" s="26" t="s">
        <v>2450</v>
      </c>
      <c r="C613" s="102">
        <v>1.0</v>
      </c>
      <c r="D613" s="104">
        <v>0.0</v>
      </c>
      <c r="E613" s="26">
        <v>0.0</v>
      </c>
      <c r="F613" s="26" t="s">
        <v>2460</v>
      </c>
    </row>
    <row r="614">
      <c r="A614" s="26" t="s">
        <v>1453</v>
      </c>
      <c r="B614" s="26" t="s">
        <v>2440</v>
      </c>
      <c r="C614" s="102">
        <v>1.0</v>
      </c>
      <c r="D614" s="103">
        <v>0.0</v>
      </c>
      <c r="E614" s="26">
        <v>0.0</v>
      </c>
      <c r="F614" s="26" t="s">
        <v>2460</v>
      </c>
    </row>
    <row r="615">
      <c r="A615" s="26" t="s">
        <v>1453</v>
      </c>
      <c r="B615" s="26" t="s">
        <v>2429</v>
      </c>
      <c r="C615" s="102">
        <v>24.0</v>
      </c>
      <c r="D615" s="104">
        <v>0.0</v>
      </c>
      <c r="E615" s="26">
        <v>0.0</v>
      </c>
      <c r="F615" s="26" t="s">
        <v>2460</v>
      </c>
    </row>
    <row r="616">
      <c r="A616" s="26" t="s">
        <v>1453</v>
      </c>
      <c r="B616" s="26" t="s">
        <v>2426</v>
      </c>
      <c r="C616" s="102">
        <v>24.0</v>
      </c>
      <c r="D616" s="104">
        <v>0.0</v>
      </c>
      <c r="E616" s="26">
        <v>0.0</v>
      </c>
      <c r="F616" s="26" t="s">
        <v>2460</v>
      </c>
    </row>
    <row r="617">
      <c r="A617" s="26" t="s">
        <v>1453</v>
      </c>
      <c r="B617" s="26" t="s">
        <v>2428</v>
      </c>
      <c r="C617" s="102">
        <v>12.0</v>
      </c>
      <c r="D617" s="103">
        <v>0.0</v>
      </c>
      <c r="E617" s="26">
        <v>0.0</v>
      </c>
      <c r="F617" s="26" t="s">
        <v>2460</v>
      </c>
    </row>
    <row r="618">
      <c r="A618" s="26" t="s">
        <v>1453</v>
      </c>
      <c r="B618" s="26" t="s">
        <v>2430</v>
      </c>
      <c r="C618" s="102">
        <v>12.0</v>
      </c>
      <c r="D618" s="104">
        <v>0.0</v>
      </c>
      <c r="E618" s="26">
        <v>0.0</v>
      </c>
      <c r="F618" s="26" t="s">
        <v>2460</v>
      </c>
    </row>
    <row r="619">
      <c r="A619" s="26" t="s">
        <v>1453</v>
      </c>
      <c r="B619" s="26" t="s">
        <v>2429</v>
      </c>
      <c r="C619" s="102">
        <v>12.0</v>
      </c>
      <c r="D619" s="104">
        <v>0.0</v>
      </c>
      <c r="E619" s="26">
        <v>0.0</v>
      </c>
      <c r="F619" s="26" t="s">
        <v>2460</v>
      </c>
    </row>
    <row r="620">
      <c r="A620" s="26" t="s">
        <v>1453</v>
      </c>
      <c r="B620" s="26" t="s">
        <v>2435</v>
      </c>
      <c r="C620" s="102">
        <v>12.0</v>
      </c>
      <c r="D620" s="103">
        <v>0.0</v>
      </c>
      <c r="E620" s="26">
        <v>0.0</v>
      </c>
      <c r="F620" s="26" t="s">
        <v>2460</v>
      </c>
    </row>
    <row r="621">
      <c r="A621" s="26" t="s">
        <v>1453</v>
      </c>
      <c r="B621" s="26" t="s">
        <v>2445</v>
      </c>
      <c r="C621" s="102">
        <v>1.0</v>
      </c>
      <c r="D621" s="104">
        <v>0.0</v>
      </c>
      <c r="E621" s="26">
        <v>0.0</v>
      </c>
      <c r="F621" s="26" t="s">
        <v>2460</v>
      </c>
    </row>
    <row r="622">
      <c r="A622" s="26" t="s">
        <v>1453</v>
      </c>
      <c r="B622" s="26" t="s">
        <v>2437</v>
      </c>
      <c r="C622" s="102">
        <v>6.0</v>
      </c>
      <c r="D622" s="104">
        <v>0.0</v>
      </c>
      <c r="E622" s="26">
        <v>0.0</v>
      </c>
      <c r="F622" s="26" t="s">
        <v>2460</v>
      </c>
    </row>
    <row r="623">
      <c r="A623" s="26" t="s">
        <v>1453</v>
      </c>
      <c r="B623" s="26" t="s">
        <v>2461</v>
      </c>
      <c r="C623" s="102">
        <v>1.0</v>
      </c>
      <c r="D623" s="103">
        <v>0.0</v>
      </c>
      <c r="E623" s="26">
        <v>0.0</v>
      </c>
      <c r="F623" s="26" t="s">
        <v>2460</v>
      </c>
    </row>
    <row r="624">
      <c r="A624" s="26" t="s">
        <v>1453</v>
      </c>
      <c r="B624" s="26" t="s">
        <v>2439</v>
      </c>
      <c r="C624" s="102">
        <v>1.0</v>
      </c>
      <c r="D624" s="104">
        <v>0.0</v>
      </c>
      <c r="E624" s="26">
        <v>0.0</v>
      </c>
      <c r="F624" s="26" t="s">
        <v>2460</v>
      </c>
    </row>
    <row r="625">
      <c r="A625" s="26" t="s">
        <v>1453</v>
      </c>
      <c r="B625" s="26" t="s">
        <v>2462</v>
      </c>
      <c r="C625" s="102">
        <v>200.0</v>
      </c>
      <c r="D625" s="104">
        <v>0.0</v>
      </c>
      <c r="E625" s="26">
        <v>0.0</v>
      </c>
      <c r="F625" s="26" t="s">
        <v>2460</v>
      </c>
    </row>
    <row r="626">
      <c r="A626" s="26" t="s">
        <v>1453</v>
      </c>
      <c r="B626" s="26" t="s">
        <v>2463</v>
      </c>
      <c r="C626" s="102">
        <v>1.0</v>
      </c>
      <c r="D626" s="103">
        <v>0.0</v>
      </c>
      <c r="E626" s="26">
        <v>0.0</v>
      </c>
      <c r="F626" s="26" t="s">
        <v>2460</v>
      </c>
    </row>
    <row r="627">
      <c r="A627" s="26" t="s">
        <v>1453</v>
      </c>
      <c r="B627" s="26" t="s">
        <v>2464</v>
      </c>
      <c r="C627" s="102">
        <v>2.0</v>
      </c>
      <c r="D627" s="104">
        <v>0.0</v>
      </c>
      <c r="E627" s="26">
        <v>0.0</v>
      </c>
      <c r="F627" s="26" t="s">
        <v>2460</v>
      </c>
    </row>
    <row r="628">
      <c r="A628" s="26" t="s">
        <v>1453</v>
      </c>
      <c r="B628" s="26" t="s">
        <v>2465</v>
      </c>
      <c r="C628" s="102">
        <v>6.0</v>
      </c>
      <c r="D628" s="104">
        <v>0.0</v>
      </c>
      <c r="E628" s="26">
        <v>0.0</v>
      </c>
      <c r="F628" s="26" t="s">
        <v>2460</v>
      </c>
    </row>
    <row r="629">
      <c r="A629" s="26" t="s">
        <v>1453</v>
      </c>
      <c r="B629" s="26" t="s">
        <v>2466</v>
      </c>
      <c r="C629" s="102">
        <v>6.0</v>
      </c>
      <c r="D629" s="103">
        <v>0.0</v>
      </c>
      <c r="E629" s="26">
        <v>0.0</v>
      </c>
      <c r="F629" s="26" t="s">
        <v>2460</v>
      </c>
    </row>
    <row r="630">
      <c r="A630" s="26" t="s">
        <v>1453</v>
      </c>
      <c r="B630" s="26" t="s">
        <v>2467</v>
      </c>
      <c r="C630" s="102">
        <v>1.0</v>
      </c>
      <c r="D630" s="104">
        <v>0.0</v>
      </c>
      <c r="E630" s="26">
        <v>0.0</v>
      </c>
      <c r="F630" s="26" t="s">
        <v>2460</v>
      </c>
    </row>
    <row r="631">
      <c r="A631" s="26" t="s">
        <v>1453</v>
      </c>
      <c r="B631" s="26" t="s">
        <v>2468</v>
      </c>
      <c r="C631" s="102">
        <v>1.0</v>
      </c>
      <c r="D631" s="104">
        <v>0.0</v>
      </c>
      <c r="E631" s="26">
        <v>0.0</v>
      </c>
      <c r="F631" s="26" t="s">
        <v>2460</v>
      </c>
    </row>
    <row r="632">
      <c r="A632" s="26" t="s">
        <v>1453</v>
      </c>
      <c r="B632" s="26" t="s">
        <v>2442</v>
      </c>
      <c r="C632" s="102">
        <v>100.0</v>
      </c>
      <c r="D632" s="103">
        <v>0.0</v>
      </c>
      <c r="E632" s="26">
        <v>0.0</v>
      </c>
      <c r="F632" s="26" t="s">
        <v>2460</v>
      </c>
    </row>
    <row r="633">
      <c r="A633" s="26" t="s">
        <v>1453</v>
      </c>
      <c r="B633" s="26" t="s">
        <v>2469</v>
      </c>
      <c r="C633" s="102">
        <v>1.0</v>
      </c>
      <c r="D633" s="104">
        <v>0.0</v>
      </c>
      <c r="E633" s="26">
        <v>0.0</v>
      </c>
      <c r="F633" s="26" t="s">
        <v>2460</v>
      </c>
    </row>
    <row r="634">
      <c r="A634" s="26" t="s">
        <v>1453</v>
      </c>
      <c r="B634" s="26" t="s">
        <v>2470</v>
      </c>
      <c r="C634" s="102">
        <v>3.0</v>
      </c>
      <c r="D634" s="104">
        <v>0.0</v>
      </c>
      <c r="E634" s="26">
        <v>0.0</v>
      </c>
      <c r="F634" s="26" t="s">
        <v>2460</v>
      </c>
    </row>
    <row r="635">
      <c r="A635" s="26" t="s">
        <v>1453</v>
      </c>
      <c r="B635" s="26" t="s">
        <v>2471</v>
      </c>
      <c r="C635" s="102">
        <v>1.0</v>
      </c>
      <c r="D635" s="103">
        <v>0.0</v>
      </c>
      <c r="E635" s="26">
        <v>0.0</v>
      </c>
      <c r="F635" s="26" t="s">
        <v>2460</v>
      </c>
    </row>
    <row r="636">
      <c r="A636" s="26" t="s">
        <v>1453</v>
      </c>
      <c r="B636" s="26" t="s">
        <v>2472</v>
      </c>
      <c r="C636" s="102">
        <v>3.0</v>
      </c>
      <c r="D636" s="104">
        <v>0.0</v>
      </c>
      <c r="E636" s="26">
        <v>0.0</v>
      </c>
      <c r="F636" s="26" t="s">
        <v>2460</v>
      </c>
    </row>
    <row r="637">
      <c r="A637" s="26" t="s">
        <v>1453</v>
      </c>
      <c r="B637" s="26" t="s">
        <v>2457</v>
      </c>
      <c r="C637" s="102">
        <v>100.0</v>
      </c>
      <c r="D637" s="104">
        <v>0.0</v>
      </c>
      <c r="E637" s="26">
        <v>0.0</v>
      </c>
      <c r="F637" s="26" t="s">
        <v>2460</v>
      </c>
    </row>
    <row r="638">
      <c r="A638" s="26" t="s">
        <v>1455</v>
      </c>
      <c r="B638" s="26" t="s">
        <v>2431</v>
      </c>
      <c r="C638" s="102">
        <v>1.0</v>
      </c>
      <c r="D638" s="104">
        <v>2380000.0</v>
      </c>
      <c r="E638" s="26">
        <v>0.0</v>
      </c>
    </row>
    <row r="639">
      <c r="A639" s="26" t="s">
        <v>1456</v>
      </c>
      <c r="B639" s="26" t="s">
        <v>2433</v>
      </c>
      <c r="C639" s="102">
        <v>1.0</v>
      </c>
      <c r="D639" s="104">
        <v>1450000.0</v>
      </c>
      <c r="E639" s="26">
        <v>0.0</v>
      </c>
    </row>
    <row r="640">
      <c r="A640" s="26" t="s">
        <v>1457</v>
      </c>
      <c r="B640" s="26" t="s">
        <v>2433</v>
      </c>
      <c r="C640" s="102">
        <v>2.0</v>
      </c>
      <c r="D640" s="103">
        <v>1450000.0</v>
      </c>
      <c r="E640" s="26">
        <v>0.0</v>
      </c>
    </row>
    <row r="641">
      <c r="A641" s="26" t="s">
        <v>1458</v>
      </c>
      <c r="B641" s="26" t="s">
        <v>2430</v>
      </c>
      <c r="C641" s="102">
        <v>24.0</v>
      </c>
      <c r="D641" s="103">
        <v>45000.0</v>
      </c>
      <c r="E641" s="26">
        <v>0.0</v>
      </c>
    </row>
    <row r="642">
      <c r="A642" s="26" t="s">
        <v>1458</v>
      </c>
      <c r="B642" s="26" t="s">
        <v>2429</v>
      </c>
      <c r="C642" s="102">
        <v>48.0</v>
      </c>
      <c r="D642" s="104">
        <v>45000.0</v>
      </c>
      <c r="E642" s="26">
        <v>0.0</v>
      </c>
    </row>
    <row r="643">
      <c r="A643" s="26" t="s">
        <v>1459</v>
      </c>
      <c r="B643" s="26" t="s">
        <v>2431</v>
      </c>
      <c r="C643" s="102">
        <v>1.0</v>
      </c>
      <c r="D643" s="104">
        <v>2380000.0</v>
      </c>
      <c r="E643" s="26">
        <v>0.0</v>
      </c>
    </row>
    <row r="644">
      <c r="A644" s="26" t="s">
        <v>1459</v>
      </c>
      <c r="B644" s="26" t="s">
        <v>2440</v>
      </c>
      <c r="C644" s="102">
        <v>1.0</v>
      </c>
      <c r="D644" s="103">
        <v>2500000.0</v>
      </c>
      <c r="E644" s="26">
        <v>0.0</v>
      </c>
    </row>
    <row r="645">
      <c r="A645" s="26" t="s">
        <v>1459</v>
      </c>
      <c r="B645" s="26" t="s">
        <v>2450</v>
      </c>
      <c r="C645" s="102">
        <v>1.0</v>
      </c>
      <c r="D645" s="104">
        <v>1900000.0</v>
      </c>
      <c r="E645" s="26">
        <v>0.0</v>
      </c>
    </row>
    <row r="646">
      <c r="A646" s="26" t="s">
        <v>1459</v>
      </c>
      <c r="B646" s="26" t="s">
        <v>2425</v>
      </c>
      <c r="C646" s="102">
        <v>1.0</v>
      </c>
      <c r="D646" s="103">
        <v>0.0</v>
      </c>
      <c r="E646" s="26">
        <v>0.0</v>
      </c>
      <c r="F646" s="26" t="s">
        <v>2443</v>
      </c>
    </row>
    <row r="647" ht="15.0" customHeight="1">
      <c r="A647" s="26" t="s">
        <v>1459</v>
      </c>
      <c r="B647" s="26" t="s">
        <v>2442</v>
      </c>
      <c r="C647" s="102">
        <v>50.0</v>
      </c>
      <c r="D647" s="103">
        <v>0.0</v>
      </c>
      <c r="E647" s="26">
        <v>0.0</v>
      </c>
      <c r="F647" s="26" t="s">
        <v>2438</v>
      </c>
    </row>
    <row r="648">
      <c r="A648" s="26" t="s">
        <v>1459</v>
      </c>
      <c r="B648" s="26" t="s">
        <v>2437</v>
      </c>
      <c r="C648" s="102">
        <v>12.0</v>
      </c>
      <c r="D648" s="104">
        <v>0.0</v>
      </c>
      <c r="E648" s="26">
        <v>0.0</v>
      </c>
      <c r="F648" s="26" t="s">
        <v>2438</v>
      </c>
    </row>
    <row r="649">
      <c r="A649" s="26" t="s">
        <v>1460</v>
      </c>
      <c r="B649" s="26" t="s">
        <v>2425</v>
      </c>
      <c r="C649" s="102">
        <v>1.0</v>
      </c>
      <c r="D649" s="104">
        <v>1875000.0</v>
      </c>
      <c r="E649" s="26">
        <v>0.0</v>
      </c>
    </row>
    <row r="650">
      <c r="A650" s="26" t="s">
        <v>1461</v>
      </c>
      <c r="B650" s="26" t="s">
        <v>2429</v>
      </c>
      <c r="C650" s="102">
        <v>24.0</v>
      </c>
      <c r="D650" s="104">
        <v>45000.0</v>
      </c>
      <c r="E650" s="26">
        <v>0.0</v>
      </c>
    </row>
    <row r="651">
      <c r="A651" s="26" t="s">
        <v>1462</v>
      </c>
      <c r="B651" s="26" t="s">
        <v>2429</v>
      </c>
      <c r="C651" s="102">
        <v>24.0</v>
      </c>
      <c r="D651" s="104">
        <v>45000.0</v>
      </c>
      <c r="E651" s="26">
        <v>0.0</v>
      </c>
    </row>
    <row r="652">
      <c r="A652" s="26" t="s">
        <v>1463</v>
      </c>
      <c r="B652" s="26" t="s">
        <v>2458</v>
      </c>
      <c r="C652" s="102">
        <v>48.0</v>
      </c>
      <c r="D652" s="104">
        <v>60000.0</v>
      </c>
      <c r="E652" s="26">
        <v>0.0</v>
      </c>
    </row>
    <row r="653">
      <c r="A653" s="29" t="s">
        <v>1464</v>
      </c>
      <c r="B653" s="26" t="s">
        <v>2425</v>
      </c>
      <c r="C653" s="102">
        <v>1.0</v>
      </c>
      <c r="D653" s="104">
        <v>1875000.0</v>
      </c>
      <c r="E653" s="29">
        <v>281250.0</v>
      </c>
    </row>
    <row r="654">
      <c r="A654" s="29" t="s">
        <v>1465</v>
      </c>
      <c r="B654" s="26" t="s">
        <v>2432</v>
      </c>
      <c r="C654" s="102">
        <v>1.0</v>
      </c>
      <c r="D654" s="104">
        <v>1480000.0</v>
      </c>
      <c r="E654" s="29">
        <v>74000.0</v>
      </c>
    </row>
    <row r="655">
      <c r="A655" s="29" t="s">
        <v>1465</v>
      </c>
      <c r="B655" s="26" t="s">
        <v>2433</v>
      </c>
      <c r="C655" s="102">
        <v>1.0</v>
      </c>
      <c r="D655" s="103">
        <v>1450000.0</v>
      </c>
      <c r="E655" s="29">
        <v>72500.0</v>
      </c>
    </row>
    <row r="656">
      <c r="A656" s="26" t="s">
        <v>1466</v>
      </c>
      <c r="B656" s="26" t="s">
        <v>2429</v>
      </c>
      <c r="C656" s="102">
        <v>24.0</v>
      </c>
      <c r="D656" s="104">
        <v>45000.0</v>
      </c>
      <c r="E656" s="26">
        <v>0.0</v>
      </c>
    </row>
    <row r="657">
      <c r="A657" s="29" t="s">
        <v>1467</v>
      </c>
      <c r="B657" s="26" t="s">
        <v>2432</v>
      </c>
      <c r="C657" s="102">
        <v>1.0</v>
      </c>
      <c r="D657" s="103">
        <v>1480000.0</v>
      </c>
      <c r="E657" s="29">
        <v>296000.0</v>
      </c>
    </row>
    <row r="658">
      <c r="A658" s="29" t="s">
        <v>1467</v>
      </c>
      <c r="B658" s="26" t="s">
        <v>2433</v>
      </c>
      <c r="C658" s="102">
        <v>1.0</v>
      </c>
      <c r="D658" s="103">
        <v>1450000.0</v>
      </c>
      <c r="E658" s="29">
        <v>290000.0</v>
      </c>
    </row>
    <row r="659">
      <c r="A659" s="26" t="s">
        <v>1468</v>
      </c>
      <c r="B659" s="26" t="s">
        <v>2426</v>
      </c>
      <c r="C659" s="102">
        <v>24.0</v>
      </c>
      <c r="D659" s="104">
        <v>55000.0</v>
      </c>
      <c r="E659" s="26">
        <v>0.0</v>
      </c>
    </row>
    <row r="660">
      <c r="A660" s="26" t="s">
        <v>1469</v>
      </c>
      <c r="B660" s="26" t="s">
        <v>2426</v>
      </c>
      <c r="C660" s="102">
        <v>10.0</v>
      </c>
      <c r="D660" s="103">
        <v>80000.0</v>
      </c>
      <c r="E660" s="26">
        <v>0.0</v>
      </c>
    </row>
    <row r="661">
      <c r="A661" s="26" t="s">
        <v>1470</v>
      </c>
      <c r="B661" s="26" t="s">
        <v>2425</v>
      </c>
      <c r="C661" s="102">
        <v>1.0</v>
      </c>
      <c r="D661" s="103">
        <v>1875000.0</v>
      </c>
      <c r="E661" s="26">
        <v>0.0</v>
      </c>
    </row>
    <row r="662">
      <c r="A662" s="26" t="s">
        <v>1471</v>
      </c>
      <c r="B662" s="26" t="s">
        <v>2433</v>
      </c>
      <c r="C662" s="102">
        <v>1.0</v>
      </c>
      <c r="D662" s="104">
        <v>1450000.0</v>
      </c>
      <c r="E662" s="26">
        <v>0.0</v>
      </c>
    </row>
    <row r="663">
      <c r="A663" s="26" t="s">
        <v>1471</v>
      </c>
      <c r="B663" s="26" t="s">
        <v>2427</v>
      </c>
      <c r="C663" s="102">
        <v>2.0</v>
      </c>
      <c r="D663" s="103">
        <v>0.0</v>
      </c>
      <c r="E663" s="26">
        <v>0.0</v>
      </c>
      <c r="F663" s="26" t="s">
        <v>1522</v>
      </c>
    </row>
    <row r="664">
      <c r="A664" s="29" t="s">
        <v>1472</v>
      </c>
      <c r="B664" s="26" t="s">
        <v>2425</v>
      </c>
      <c r="C664" s="102">
        <v>1.0</v>
      </c>
      <c r="D664" s="104">
        <v>1875000.0</v>
      </c>
      <c r="E664" s="29">
        <v>375000.0</v>
      </c>
    </row>
    <row r="665">
      <c r="A665" s="29" t="s">
        <v>1472</v>
      </c>
      <c r="B665" s="26" t="s">
        <v>2431</v>
      </c>
      <c r="C665" s="102">
        <v>1.0</v>
      </c>
      <c r="D665" s="103">
        <v>2380000.0</v>
      </c>
      <c r="E665" s="29">
        <v>476000.0</v>
      </c>
    </row>
    <row r="666">
      <c r="A666" s="29" t="s">
        <v>1472</v>
      </c>
      <c r="B666" s="26" t="s">
        <v>2433</v>
      </c>
      <c r="C666" s="102">
        <v>1.0</v>
      </c>
      <c r="D666" s="103">
        <v>1450000.0</v>
      </c>
      <c r="E666" s="29">
        <v>290000.0</v>
      </c>
    </row>
    <row r="667">
      <c r="A667" s="26" t="s">
        <v>1473</v>
      </c>
      <c r="B667" s="26" t="s">
        <v>2433</v>
      </c>
      <c r="C667" s="102">
        <v>1.0</v>
      </c>
      <c r="D667" s="103">
        <v>1450000.0</v>
      </c>
      <c r="E667" s="29">
        <v>0.0</v>
      </c>
    </row>
    <row r="668">
      <c r="A668" s="26" t="s">
        <v>1474</v>
      </c>
      <c r="B668" s="26" t="s">
        <v>2429</v>
      </c>
      <c r="C668" s="102">
        <v>24.0</v>
      </c>
      <c r="D668" s="103">
        <v>45000.0</v>
      </c>
      <c r="E668" s="29">
        <v>0.0</v>
      </c>
    </row>
    <row r="669">
      <c r="A669" s="26" t="s">
        <v>1474</v>
      </c>
      <c r="B669" s="26" t="s">
        <v>2430</v>
      </c>
      <c r="C669" s="102">
        <v>12.0</v>
      </c>
      <c r="D669" s="103">
        <v>45000.0</v>
      </c>
      <c r="E669" s="29">
        <v>0.0</v>
      </c>
    </row>
    <row r="670">
      <c r="A670" s="26" t="s">
        <v>1474</v>
      </c>
      <c r="B670" s="26" t="s">
        <v>2426</v>
      </c>
      <c r="C670" s="102">
        <v>12.0</v>
      </c>
      <c r="D670" s="103">
        <v>55000.0</v>
      </c>
      <c r="E670" s="29">
        <v>0.0</v>
      </c>
    </row>
    <row r="671">
      <c r="A671" s="26" t="s">
        <v>1475</v>
      </c>
      <c r="B671" s="26" t="s">
        <v>2433</v>
      </c>
      <c r="C671" s="102">
        <v>1.0</v>
      </c>
      <c r="D671" s="103">
        <v>1450000.0</v>
      </c>
      <c r="E671" s="29">
        <v>0.0</v>
      </c>
    </row>
    <row r="672">
      <c r="A672" s="26" t="s">
        <v>1476</v>
      </c>
      <c r="B672" s="26" t="s">
        <v>2435</v>
      </c>
      <c r="C672" s="102">
        <v>96.0</v>
      </c>
      <c r="D672" s="103">
        <v>0.0</v>
      </c>
      <c r="E672" s="29">
        <v>0.0</v>
      </c>
      <c r="F672" s="26" t="s">
        <v>2473</v>
      </c>
    </row>
    <row r="673">
      <c r="A673" s="26" t="s">
        <v>1477</v>
      </c>
      <c r="B673" s="26" t="s">
        <v>2428</v>
      </c>
      <c r="C673" s="102">
        <v>20.0</v>
      </c>
      <c r="D673" s="103">
        <v>45000.0</v>
      </c>
      <c r="E673" s="29">
        <v>0.0</v>
      </c>
    </row>
    <row r="674">
      <c r="A674" s="26" t="s">
        <v>1477</v>
      </c>
      <c r="B674" s="26" t="s">
        <v>2426</v>
      </c>
      <c r="C674" s="102">
        <v>20.0</v>
      </c>
      <c r="D674" s="103">
        <v>55000.0</v>
      </c>
      <c r="E674" s="29">
        <v>0.0</v>
      </c>
    </row>
    <row r="675">
      <c r="A675" s="26" t="s">
        <v>1477</v>
      </c>
      <c r="B675" s="26" t="s">
        <v>2458</v>
      </c>
      <c r="C675" s="102">
        <v>20.0</v>
      </c>
      <c r="D675" s="103">
        <v>60000.0</v>
      </c>
      <c r="E675" s="29">
        <v>0.0</v>
      </c>
    </row>
    <row r="676">
      <c r="A676" s="26" t="s">
        <v>1477</v>
      </c>
      <c r="B676" s="26" t="s">
        <v>2429</v>
      </c>
      <c r="C676" s="102">
        <v>16.0</v>
      </c>
      <c r="D676" s="103">
        <v>45000.0</v>
      </c>
      <c r="E676" s="29">
        <v>0.0</v>
      </c>
    </row>
    <row r="677">
      <c r="A677" s="26" t="s">
        <v>1477</v>
      </c>
      <c r="B677" s="26" t="s">
        <v>2430</v>
      </c>
      <c r="C677" s="102">
        <v>10.0</v>
      </c>
      <c r="D677" s="103">
        <v>45000.0</v>
      </c>
      <c r="E677" s="29">
        <v>0.0</v>
      </c>
    </row>
    <row r="678">
      <c r="A678" s="26" t="s">
        <v>1477</v>
      </c>
      <c r="B678" s="26" t="s">
        <v>2435</v>
      </c>
      <c r="C678" s="102">
        <v>10.0</v>
      </c>
      <c r="D678" s="103">
        <v>40000.0</v>
      </c>
      <c r="E678" s="29">
        <v>0.0</v>
      </c>
    </row>
    <row r="679">
      <c r="A679" s="26" t="s">
        <v>1477</v>
      </c>
      <c r="B679" s="26" t="s">
        <v>2427</v>
      </c>
      <c r="C679" s="102">
        <v>6.0</v>
      </c>
      <c r="D679" s="104">
        <v>0.0</v>
      </c>
      <c r="E679" s="29">
        <v>0.0</v>
      </c>
      <c r="F679" s="26" t="s">
        <v>2436</v>
      </c>
    </row>
    <row r="680">
      <c r="A680" s="29" t="s">
        <v>1478</v>
      </c>
      <c r="B680" s="26" t="s">
        <v>2432</v>
      </c>
      <c r="C680" s="102">
        <v>1.0</v>
      </c>
      <c r="D680" s="104">
        <v>1480000.0</v>
      </c>
      <c r="E680" s="29">
        <v>0.0</v>
      </c>
    </row>
    <row r="681">
      <c r="A681" s="26" t="s">
        <v>1479</v>
      </c>
      <c r="B681" s="26" t="s">
        <v>2471</v>
      </c>
      <c r="C681" s="102">
        <v>1.0</v>
      </c>
      <c r="D681" s="104">
        <v>0.0</v>
      </c>
      <c r="E681" s="29">
        <v>0.0</v>
      </c>
      <c r="F681" s="26" t="s">
        <v>2438</v>
      </c>
    </row>
    <row r="682">
      <c r="A682" s="26" t="s">
        <v>1479</v>
      </c>
      <c r="B682" s="26" t="s">
        <v>2472</v>
      </c>
      <c r="C682" s="102">
        <v>1.0</v>
      </c>
      <c r="D682" s="103">
        <v>0.0</v>
      </c>
      <c r="E682" s="29">
        <v>0.0</v>
      </c>
      <c r="F682" s="26" t="s">
        <v>2438</v>
      </c>
    </row>
    <row r="683">
      <c r="A683" s="26" t="s">
        <v>1479</v>
      </c>
      <c r="B683" s="26" t="s">
        <v>2437</v>
      </c>
      <c r="C683" s="102">
        <v>2.0</v>
      </c>
      <c r="D683" s="103">
        <v>0.0</v>
      </c>
      <c r="E683" s="29">
        <v>0.0</v>
      </c>
      <c r="F683" s="26" t="s">
        <v>2438</v>
      </c>
    </row>
    <row r="684">
      <c r="A684" s="26" t="s">
        <v>1479</v>
      </c>
      <c r="B684" s="26" t="s">
        <v>2442</v>
      </c>
      <c r="C684" s="102">
        <v>10.0</v>
      </c>
      <c r="D684" s="103">
        <v>0.0</v>
      </c>
      <c r="E684" s="29">
        <v>0.0</v>
      </c>
      <c r="F684" s="26" t="s">
        <v>2438</v>
      </c>
    </row>
    <row r="685">
      <c r="A685" s="26" t="s">
        <v>1480</v>
      </c>
      <c r="B685" s="26" t="s">
        <v>2427</v>
      </c>
      <c r="C685" s="102">
        <v>4.0</v>
      </c>
      <c r="D685" s="103">
        <v>0.0</v>
      </c>
      <c r="E685" s="29">
        <v>0.0</v>
      </c>
      <c r="F685" s="26" t="s">
        <v>1522</v>
      </c>
    </row>
    <row r="686">
      <c r="A686" s="26" t="s">
        <v>1480</v>
      </c>
      <c r="B686" s="26" t="s">
        <v>2454</v>
      </c>
      <c r="C686" s="102">
        <v>4.0</v>
      </c>
      <c r="D686" s="104">
        <v>0.0</v>
      </c>
      <c r="E686" s="29">
        <v>0.0</v>
      </c>
      <c r="F686" s="26" t="s">
        <v>1522</v>
      </c>
    </row>
    <row r="687">
      <c r="A687" s="26" t="s">
        <v>1480</v>
      </c>
      <c r="B687" s="26" t="s">
        <v>2474</v>
      </c>
      <c r="C687" s="102">
        <v>4.0</v>
      </c>
      <c r="D687" s="104">
        <v>0.0</v>
      </c>
      <c r="E687" s="29">
        <v>0.0</v>
      </c>
      <c r="F687" s="26" t="s">
        <v>1522</v>
      </c>
    </row>
    <row r="688">
      <c r="A688" s="26" t="s">
        <v>1480</v>
      </c>
      <c r="B688" s="26" t="s">
        <v>2435</v>
      </c>
      <c r="C688" s="102">
        <v>4.0</v>
      </c>
      <c r="D688" s="104">
        <v>0.0</v>
      </c>
      <c r="E688" s="29">
        <v>0.0</v>
      </c>
      <c r="F688" s="26" t="s">
        <v>1522</v>
      </c>
    </row>
    <row r="689">
      <c r="A689" s="26" t="s">
        <v>1480</v>
      </c>
      <c r="B689" s="26" t="s">
        <v>2426</v>
      </c>
      <c r="C689" s="102">
        <v>2.0</v>
      </c>
      <c r="D689" s="104">
        <v>0.0</v>
      </c>
      <c r="E689" s="29">
        <v>0.0</v>
      </c>
      <c r="F689" s="26" t="s">
        <v>1522</v>
      </c>
    </row>
    <row r="690">
      <c r="A690" s="26" t="s">
        <v>1480</v>
      </c>
      <c r="B690" s="26" t="s">
        <v>2430</v>
      </c>
      <c r="C690" s="102">
        <v>2.0</v>
      </c>
      <c r="D690" s="104">
        <v>0.0</v>
      </c>
      <c r="E690" s="29">
        <v>0.0</v>
      </c>
      <c r="F690" s="26" t="s">
        <v>1522</v>
      </c>
    </row>
    <row r="691">
      <c r="A691" s="26" t="s">
        <v>1480</v>
      </c>
      <c r="B691" s="26" t="s">
        <v>2429</v>
      </c>
      <c r="C691" s="102">
        <v>4.0</v>
      </c>
      <c r="D691" s="104">
        <v>0.0</v>
      </c>
      <c r="E691" s="29">
        <v>0.0</v>
      </c>
      <c r="F691" s="26" t="s">
        <v>1522</v>
      </c>
    </row>
    <row r="692">
      <c r="A692" s="26" t="s">
        <v>1480</v>
      </c>
      <c r="B692" s="26" t="s">
        <v>2471</v>
      </c>
      <c r="C692" s="102">
        <v>1.0</v>
      </c>
      <c r="D692" s="104">
        <v>0.0</v>
      </c>
      <c r="E692" s="29">
        <v>0.0</v>
      </c>
      <c r="F692" s="26" t="s">
        <v>2438</v>
      </c>
    </row>
    <row r="693">
      <c r="A693" s="26" t="s">
        <v>1481</v>
      </c>
      <c r="B693" s="26" t="s">
        <v>2429</v>
      </c>
      <c r="C693" s="102">
        <v>24.0</v>
      </c>
      <c r="D693" s="104">
        <v>45000.0</v>
      </c>
      <c r="E693" s="29">
        <v>0.0</v>
      </c>
    </row>
    <row r="694">
      <c r="A694" s="26" t="s">
        <v>1482</v>
      </c>
      <c r="B694" s="26" t="s">
        <v>2429</v>
      </c>
      <c r="C694" s="102">
        <v>48.0</v>
      </c>
      <c r="D694" s="104">
        <v>45000.0</v>
      </c>
      <c r="E694" s="29">
        <v>0.0</v>
      </c>
    </row>
    <row r="695">
      <c r="A695" s="26" t="s">
        <v>1483</v>
      </c>
      <c r="B695" s="26" t="s">
        <v>2425</v>
      </c>
      <c r="C695" s="102">
        <v>1.0</v>
      </c>
      <c r="D695" s="104">
        <v>1875000.0</v>
      </c>
      <c r="E695" s="29">
        <v>0.0</v>
      </c>
    </row>
    <row r="696">
      <c r="A696" s="26" t="s">
        <v>1483</v>
      </c>
      <c r="B696" s="26" t="s">
        <v>2429</v>
      </c>
      <c r="C696" s="102">
        <v>24.0</v>
      </c>
      <c r="D696" s="104">
        <v>45000.0</v>
      </c>
      <c r="E696" s="29">
        <v>0.0</v>
      </c>
    </row>
    <row r="697">
      <c r="A697" s="26" t="s">
        <v>1483</v>
      </c>
      <c r="B697" s="26" t="s">
        <v>2458</v>
      </c>
      <c r="C697" s="102">
        <v>24.0</v>
      </c>
      <c r="D697" s="104">
        <v>60000.0</v>
      </c>
      <c r="E697" s="29">
        <v>0.0</v>
      </c>
    </row>
    <row r="698">
      <c r="A698" s="26" t="s">
        <v>1483</v>
      </c>
      <c r="B698" s="26" t="s">
        <v>2458</v>
      </c>
      <c r="C698" s="102">
        <v>24.0</v>
      </c>
      <c r="D698" s="104">
        <v>0.0</v>
      </c>
      <c r="E698" s="29">
        <v>0.0</v>
      </c>
      <c r="F698" s="26" t="s">
        <v>2436</v>
      </c>
    </row>
    <row r="699">
      <c r="A699" s="26" t="s">
        <v>1483</v>
      </c>
      <c r="B699" s="26" t="s">
        <v>2441</v>
      </c>
      <c r="C699" s="102">
        <v>10.0</v>
      </c>
      <c r="D699" s="104">
        <v>32000.0</v>
      </c>
      <c r="E699" s="29">
        <v>0.0</v>
      </c>
    </row>
    <row r="700">
      <c r="A700" s="26" t="s">
        <v>1483</v>
      </c>
      <c r="B700" s="26" t="s">
        <v>2454</v>
      </c>
      <c r="C700" s="102">
        <v>2.0</v>
      </c>
      <c r="D700" s="104">
        <v>0.0</v>
      </c>
      <c r="E700" s="29">
        <v>0.0</v>
      </c>
      <c r="F700" s="26" t="s">
        <v>1522</v>
      </c>
    </row>
    <row r="701">
      <c r="A701" s="26" t="s">
        <v>1483</v>
      </c>
      <c r="B701" s="26" t="s">
        <v>2474</v>
      </c>
      <c r="C701" s="102">
        <v>2.0</v>
      </c>
      <c r="D701" s="104">
        <v>0.0</v>
      </c>
      <c r="E701" s="29">
        <v>0.0</v>
      </c>
      <c r="F701" s="26" t="s">
        <v>1522</v>
      </c>
    </row>
    <row r="702">
      <c r="A702" s="26" t="s">
        <v>1483</v>
      </c>
      <c r="B702" s="26" t="s">
        <v>2442</v>
      </c>
      <c r="C702" s="102">
        <v>100.0</v>
      </c>
      <c r="D702" s="104">
        <v>0.0</v>
      </c>
      <c r="E702" s="29">
        <v>0.0</v>
      </c>
      <c r="F702" s="26" t="s">
        <v>2438</v>
      </c>
    </row>
    <row r="703">
      <c r="A703" s="26" t="s">
        <v>1484</v>
      </c>
      <c r="B703" s="26" t="s">
        <v>2429</v>
      </c>
      <c r="C703" s="102">
        <v>24.0</v>
      </c>
      <c r="D703" s="103">
        <v>45000.0</v>
      </c>
      <c r="E703" s="29">
        <v>0.0</v>
      </c>
    </row>
    <row r="704">
      <c r="A704" s="26" t="s">
        <v>1485</v>
      </c>
      <c r="B704" s="26" t="s">
        <v>2426</v>
      </c>
      <c r="C704" s="102">
        <v>18.0</v>
      </c>
      <c r="D704" s="103">
        <v>80000.0</v>
      </c>
      <c r="E704" s="29">
        <v>0.0</v>
      </c>
    </row>
    <row r="705">
      <c r="A705" s="26" t="s">
        <v>1486</v>
      </c>
      <c r="B705" s="26" t="s">
        <v>2426</v>
      </c>
      <c r="C705" s="102">
        <v>12.0</v>
      </c>
      <c r="D705" s="103">
        <v>55000.0</v>
      </c>
      <c r="E705" s="29">
        <v>0.0</v>
      </c>
    </row>
    <row r="706">
      <c r="A706" s="26" t="s">
        <v>1486</v>
      </c>
      <c r="B706" s="26" t="s">
        <v>2427</v>
      </c>
      <c r="C706" s="102">
        <v>12.0</v>
      </c>
      <c r="D706" s="104">
        <v>60000.0</v>
      </c>
      <c r="E706" s="29">
        <v>0.0</v>
      </c>
    </row>
    <row r="707">
      <c r="A707" s="26" t="s">
        <v>1486</v>
      </c>
      <c r="B707" s="26" t="s">
        <v>2427</v>
      </c>
      <c r="C707" s="102">
        <v>2.0</v>
      </c>
      <c r="D707" s="103">
        <v>0.0</v>
      </c>
      <c r="E707" s="29">
        <v>0.0</v>
      </c>
      <c r="F707" s="26" t="s">
        <v>1522</v>
      </c>
    </row>
    <row r="708">
      <c r="A708" s="29" t="s">
        <v>1487</v>
      </c>
      <c r="B708" s="26" t="s">
        <v>2433</v>
      </c>
      <c r="C708" s="102">
        <v>1.0</v>
      </c>
      <c r="D708" s="104">
        <v>1450000.0</v>
      </c>
      <c r="E708" s="29">
        <v>290000.0</v>
      </c>
    </row>
    <row r="709">
      <c r="A709" s="29" t="s">
        <v>1487</v>
      </c>
      <c r="B709" s="26" t="s">
        <v>2432</v>
      </c>
      <c r="C709" s="102">
        <v>1.0</v>
      </c>
      <c r="D709" s="104">
        <v>1480000.0</v>
      </c>
      <c r="E709" s="29">
        <v>296000.0</v>
      </c>
    </row>
    <row r="710">
      <c r="A710" s="29" t="s">
        <v>1488</v>
      </c>
      <c r="B710" s="26" t="s">
        <v>2432</v>
      </c>
      <c r="C710" s="102">
        <v>1.0</v>
      </c>
      <c r="D710" s="103">
        <v>1480000.0</v>
      </c>
      <c r="E710" s="29">
        <v>296000.0</v>
      </c>
    </row>
    <row r="711">
      <c r="A711" s="26" t="s">
        <v>1489</v>
      </c>
      <c r="B711" s="26" t="s">
        <v>2429</v>
      </c>
      <c r="C711" s="102">
        <v>24.0</v>
      </c>
      <c r="D711" s="104">
        <v>45000.0</v>
      </c>
      <c r="E711" s="26">
        <v>0.0</v>
      </c>
    </row>
    <row r="712">
      <c r="A712" s="29" t="s">
        <v>1490</v>
      </c>
      <c r="B712" s="26" t="s">
        <v>2433</v>
      </c>
      <c r="C712" s="102">
        <v>1.0</v>
      </c>
      <c r="D712" s="103">
        <v>1450000.0</v>
      </c>
      <c r="E712" s="29">
        <v>290000.0</v>
      </c>
    </row>
    <row r="713">
      <c r="A713" s="26" t="s">
        <v>1491</v>
      </c>
      <c r="B713" s="26" t="s">
        <v>2433</v>
      </c>
      <c r="C713" s="102">
        <v>10.0</v>
      </c>
      <c r="D713" s="103">
        <v>1450000.0</v>
      </c>
      <c r="E713" s="29">
        <v>0.0</v>
      </c>
    </row>
    <row r="714">
      <c r="A714" s="26" t="s">
        <v>1491</v>
      </c>
      <c r="B714" s="26" t="s">
        <v>2431</v>
      </c>
      <c r="C714" s="102">
        <v>10.0</v>
      </c>
      <c r="D714" s="103">
        <v>2380000.0</v>
      </c>
      <c r="E714" s="29">
        <v>0.0</v>
      </c>
    </row>
    <row r="715">
      <c r="A715" s="26" t="s">
        <v>1491</v>
      </c>
      <c r="B715" s="26" t="s">
        <v>2432</v>
      </c>
      <c r="C715" s="102">
        <v>2.0</v>
      </c>
      <c r="D715" s="103">
        <v>1480000.0</v>
      </c>
      <c r="E715" s="29">
        <v>0.0</v>
      </c>
    </row>
    <row r="716">
      <c r="A716" s="26" t="s">
        <v>1491</v>
      </c>
      <c r="B716" s="26" t="s">
        <v>2440</v>
      </c>
      <c r="C716" s="102">
        <v>2.0</v>
      </c>
      <c r="D716" s="103">
        <v>2500000.0</v>
      </c>
      <c r="E716" s="29">
        <v>0.0</v>
      </c>
    </row>
    <row r="717">
      <c r="A717" s="26" t="s">
        <v>1491</v>
      </c>
      <c r="B717" s="26" t="s">
        <v>2429</v>
      </c>
      <c r="C717" s="102">
        <v>240.0</v>
      </c>
      <c r="D717" s="104">
        <v>45000.0</v>
      </c>
      <c r="E717" s="29">
        <v>0.0</v>
      </c>
    </row>
    <row r="718">
      <c r="A718" s="26" t="s">
        <v>1491</v>
      </c>
      <c r="B718" s="26" t="s">
        <v>2430</v>
      </c>
      <c r="C718" s="102">
        <v>24.0</v>
      </c>
      <c r="D718" s="104">
        <v>45000.0</v>
      </c>
      <c r="E718" s="29">
        <v>0.0</v>
      </c>
    </row>
    <row r="719">
      <c r="A719" s="26" t="s">
        <v>1491</v>
      </c>
      <c r="B719" s="26" t="s">
        <v>2426</v>
      </c>
      <c r="C719" s="102">
        <v>240.0</v>
      </c>
      <c r="D719" s="104">
        <v>55000.0</v>
      </c>
      <c r="E719" s="29">
        <v>0.0</v>
      </c>
    </row>
    <row r="720">
      <c r="A720" s="26" t="s">
        <v>1491</v>
      </c>
      <c r="B720" s="26" t="s">
        <v>2428</v>
      </c>
      <c r="C720" s="102">
        <v>24.0</v>
      </c>
      <c r="D720" s="104">
        <v>45000.0</v>
      </c>
      <c r="E720" s="29">
        <v>0.0</v>
      </c>
    </row>
    <row r="721">
      <c r="A721" s="26" t="s">
        <v>1491</v>
      </c>
      <c r="B721" s="26" t="s">
        <v>2427</v>
      </c>
      <c r="C721" s="102">
        <v>48.0</v>
      </c>
      <c r="D721" s="104">
        <v>60000.0</v>
      </c>
      <c r="E721" s="29">
        <v>0.0</v>
      </c>
    </row>
    <row r="722">
      <c r="A722" s="26" t="s">
        <v>1491</v>
      </c>
      <c r="B722" s="26" t="s">
        <v>2458</v>
      </c>
      <c r="C722" s="102">
        <v>48.0</v>
      </c>
      <c r="D722" s="104">
        <v>60000.0</v>
      </c>
      <c r="E722" s="29">
        <v>0.0</v>
      </c>
    </row>
    <row r="723">
      <c r="A723" s="26" t="s">
        <v>1491</v>
      </c>
      <c r="B723" s="26" t="s">
        <v>2442</v>
      </c>
      <c r="C723" s="102">
        <v>1000.0</v>
      </c>
      <c r="D723" s="103">
        <v>0.0</v>
      </c>
      <c r="E723" s="29">
        <v>0.0</v>
      </c>
      <c r="F723" s="26" t="s">
        <v>2438</v>
      </c>
    </row>
    <row r="724">
      <c r="A724" s="26" t="s">
        <v>1491</v>
      </c>
      <c r="B724" s="26" t="s">
        <v>2471</v>
      </c>
      <c r="C724" s="102">
        <v>3.0</v>
      </c>
      <c r="D724" s="103">
        <v>0.0</v>
      </c>
      <c r="E724" s="29">
        <v>0.0</v>
      </c>
      <c r="F724" s="26" t="s">
        <v>2438</v>
      </c>
    </row>
    <row r="725">
      <c r="A725" s="26" t="s">
        <v>1492</v>
      </c>
      <c r="B725" s="26" t="s">
        <v>2428</v>
      </c>
      <c r="C725" s="102">
        <v>2.0</v>
      </c>
      <c r="D725" s="104">
        <v>45000.0</v>
      </c>
      <c r="E725" s="29">
        <v>0.0</v>
      </c>
    </row>
    <row r="726">
      <c r="A726" s="26" t="s">
        <v>1492</v>
      </c>
      <c r="B726" s="26" t="s">
        <v>2430</v>
      </c>
      <c r="C726" s="102">
        <v>7.0</v>
      </c>
      <c r="D726" s="104">
        <v>45000.0</v>
      </c>
      <c r="E726" s="29">
        <v>0.0</v>
      </c>
    </row>
    <row r="727">
      <c r="A727" s="26" t="s">
        <v>1492</v>
      </c>
      <c r="B727" s="26" t="s">
        <v>2426</v>
      </c>
      <c r="C727" s="102">
        <v>3.0</v>
      </c>
      <c r="D727" s="103">
        <v>55000.0</v>
      </c>
      <c r="E727" s="29">
        <v>0.0</v>
      </c>
    </row>
    <row r="728">
      <c r="A728" s="26" t="s">
        <v>1492</v>
      </c>
      <c r="B728" s="26" t="s">
        <v>2429</v>
      </c>
      <c r="C728" s="102">
        <v>3.0</v>
      </c>
      <c r="D728" s="103">
        <v>45000.0</v>
      </c>
      <c r="E728" s="29">
        <v>0.0</v>
      </c>
    </row>
    <row r="729">
      <c r="A729" s="26" t="s">
        <v>1492</v>
      </c>
      <c r="B729" s="26" t="s">
        <v>2458</v>
      </c>
      <c r="C729" s="102">
        <v>2.0</v>
      </c>
      <c r="D729" s="104">
        <v>60000.0</v>
      </c>
      <c r="E729" s="29">
        <v>0.0</v>
      </c>
    </row>
    <row r="730">
      <c r="A730" s="26" t="s">
        <v>1492</v>
      </c>
      <c r="B730" s="26" t="s">
        <v>2435</v>
      </c>
      <c r="C730" s="102">
        <v>7.0</v>
      </c>
      <c r="D730" s="103">
        <v>40000.0</v>
      </c>
      <c r="E730" s="29">
        <v>0.0</v>
      </c>
    </row>
    <row r="731">
      <c r="A731" s="26" t="s">
        <v>1493</v>
      </c>
      <c r="B731" s="26" t="s">
        <v>2434</v>
      </c>
      <c r="C731" s="102">
        <v>1.0</v>
      </c>
      <c r="D731" s="104">
        <v>1350000.0</v>
      </c>
      <c r="E731" s="29">
        <v>0.0</v>
      </c>
    </row>
    <row r="732">
      <c r="A732" s="26" t="s">
        <v>1493</v>
      </c>
      <c r="B732" s="26" t="s">
        <v>2434</v>
      </c>
      <c r="C732" s="102">
        <v>1.0</v>
      </c>
      <c r="D732" s="104">
        <v>0.0</v>
      </c>
      <c r="E732" s="29">
        <v>0.0</v>
      </c>
      <c r="F732" s="26" t="s">
        <v>2436</v>
      </c>
    </row>
    <row r="733">
      <c r="A733" s="26" t="s">
        <v>1494</v>
      </c>
      <c r="B733" s="26" t="s">
        <v>2429</v>
      </c>
      <c r="C733" s="102">
        <v>240.0</v>
      </c>
      <c r="D733" s="104">
        <v>45000.0</v>
      </c>
      <c r="E733" s="29">
        <v>0.0</v>
      </c>
    </row>
    <row r="734">
      <c r="A734" s="26" t="s">
        <v>1494</v>
      </c>
      <c r="B734" s="26" t="s">
        <v>2430</v>
      </c>
      <c r="C734" s="102">
        <v>120.0</v>
      </c>
      <c r="D734" s="104">
        <v>45000.0</v>
      </c>
      <c r="E734" s="29">
        <v>0.0</v>
      </c>
    </row>
    <row r="735">
      <c r="A735" s="26" t="s">
        <v>1494</v>
      </c>
      <c r="B735" s="26" t="s">
        <v>2426</v>
      </c>
      <c r="C735" s="102">
        <v>120.0</v>
      </c>
      <c r="D735" s="103">
        <v>55000.0</v>
      </c>
      <c r="E735" s="29">
        <v>0.0</v>
      </c>
    </row>
    <row r="736">
      <c r="A736" s="26" t="s">
        <v>1494</v>
      </c>
      <c r="B736" s="26" t="s">
        <v>2425</v>
      </c>
      <c r="C736" s="102">
        <v>5.0</v>
      </c>
      <c r="D736" s="103">
        <v>1875000.0</v>
      </c>
      <c r="E736" s="29">
        <v>0.0</v>
      </c>
    </row>
    <row r="737">
      <c r="A737" s="26" t="s">
        <v>1494</v>
      </c>
      <c r="B737" s="26" t="s">
        <v>2432</v>
      </c>
      <c r="C737" s="102">
        <v>5.0</v>
      </c>
      <c r="D737" s="104">
        <v>1480000.0</v>
      </c>
      <c r="E737" s="29">
        <v>0.0</v>
      </c>
    </row>
    <row r="738">
      <c r="A738" s="26" t="s">
        <v>1494</v>
      </c>
      <c r="B738" s="26" t="s">
        <v>2433</v>
      </c>
      <c r="C738" s="102">
        <v>5.0</v>
      </c>
      <c r="D738" s="104">
        <v>1450000.0</v>
      </c>
      <c r="E738" s="29">
        <v>0.0</v>
      </c>
    </row>
    <row r="739">
      <c r="A739" s="26" t="s">
        <v>1494</v>
      </c>
      <c r="B739" s="26" t="s">
        <v>2431</v>
      </c>
      <c r="C739" s="102">
        <v>5.0</v>
      </c>
      <c r="D739" s="104">
        <v>2380000.0</v>
      </c>
      <c r="E739" s="29">
        <v>0.0</v>
      </c>
    </row>
    <row r="740">
      <c r="A740" s="26" t="s">
        <v>1494</v>
      </c>
      <c r="B740" s="26" t="s">
        <v>2440</v>
      </c>
      <c r="C740" s="102">
        <v>5.0</v>
      </c>
      <c r="D740" s="104">
        <v>2500000.0</v>
      </c>
      <c r="E740" s="29">
        <v>0.0</v>
      </c>
    </row>
    <row r="741">
      <c r="A741" s="26" t="s">
        <v>1495</v>
      </c>
      <c r="B741" s="26" t="s">
        <v>2439</v>
      </c>
      <c r="C741" s="102">
        <v>1.0</v>
      </c>
      <c r="D741" s="103">
        <v>0.0</v>
      </c>
      <c r="E741" s="29">
        <v>0.0</v>
      </c>
      <c r="F741" s="26" t="s">
        <v>2438</v>
      </c>
    </row>
    <row r="742">
      <c r="A742" s="29" t="s">
        <v>1496</v>
      </c>
      <c r="B742" s="26" t="s">
        <v>2428</v>
      </c>
      <c r="C742" s="102">
        <v>168.0</v>
      </c>
      <c r="D742" s="103">
        <v>45000.0</v>
      </c>
      <c r="E742" s="29">
        <v>15750.0</v>
      </c>
    </row>
    <row r="743">
      <c r="A743" s="29" t="s">
        <v>1496</v>
      </c>
      <c r="B743" s="26" t="s">
        <v>2430</v>
      </c>
      <c r="C743" s="102">
        <v>336.0</v>
      </c>
      <c r="D743" s="103">
        <v>45000.0</v>
      </c>
      <c r="E743" s="29">
        <v>15750.0</v>
      </c>
    </row>
    <row r="744">
      <c r="A744" s="29" t="s">
        <v>1496</v>
      </c>
      <c r="B744" s="26" t="s">
        <v>2426</v>
      </c>
      <c r="C744" s="102">
        <v>336.0</v>
      </c>
      <c r="D744" s="103">
        <v>55000.0</v>
      </c>
      <c r="E744" s="29">
        <v>19250.0</v>
      </c>
    </row>
    <row r="745">
      <c r="A745" s="29" t="s">
        <v>1496</v>
      </c>
      <c r="B745" s="26" t="s">
        <v>2435</v>
      </c>
      <c r="C745" s="102">
        <v>168.0</v>
      </c>
      <c r="D745" s="103">
        <v>40000.0</v>
      </c>
      <c r="E745" s="29">
        <v>14000.0</v>
      </c>
    </row>
    <row r="746">
      <c r="A746" s="29" t="s">
        <v>1496</v>
      </c>
      <c r="B746" s="26" t="s">
        <v>2427</v>
      </c>
      <c r="C746" s="102">
        <v>168.0</v>
      </c>
      <c r="D746" s="103">
        <v>60000.0</v>
      </c>
      <c r="E746" s="29">
        <v>21000.0</v>
      </c>
    </row>
    <row r="747">
      <c r="A747" s="29" t="s">
        <v>1496</v>
      </c>
      <c r="B747" s="26" t="s">
        <v>2432</v>
      </c>
      <c r="C747" s="102">
        <v>5.0</v>
      </c>
      <c r="D747" s="103">
        <v>1480000.0</v>
      </c>
      <c r="E747" s="29">
        <v>518000.0</v>
      </c>
    </row>
    <row r="748">
      <c r="A748" s="26" t="s">
        <v>1496</v>
      </c>
      <c r="B748" s="26" t="s">
        <v>2430</v>
      </c>
      <c r="C748" s="102">
        <v>12.0</v>
      </c>
      <c r="D748" s="103">
        <v>0.0</v>
      </c>
      <c r="E748" s="29">
        <v>0.0</v>
      </c>
      <c r="F748" s="26" t="s">
        <v>2436</v>
      </c>
    </row>
    <row r="749">
      <c r="A749" s="26" t="s">
        <v>1496</v>
      </c>
      <c r="B749" s="26" t="s">
        <v>2428</v>
      </c>
      <c r="C749" s="102">
        <v>12.0</v>
      </c>
      <c r="D749" s="103">
        <v>0.0</v>
      </c>
      <c r="E749" s="29">
        <v>0.0</v>
      </c>
      <c r="F749" s="26" t="s">
        <v>2436</v>
      </c>
    </row>
    <row r="750">
      <c r="A750" s="26" t="s">
        <v>1496</v>
      </c>
      <c r="B750" s="26" t="s">
        <v>2429</v>
      </c>
      <c r="C750" s="102">
        <v>12.0</v>
      </c>
      <c r="D750" s="103">
        <v>0.0</v>
      </c>
      <c r="E750" s="29">
        <v>0.0</v>
      </c>
      <c r="F750" s="26" t="s">
        <v>2436</v>
      </c>
    </row>
    <row r="751">
      <c r="A751" s="26" t="s">
        <v>1496</v>
      </c>
      <c r="B751" s="26" t="s">
        <v>2426</v>
      </c>
      <c r="C751" s="102">
        <v>12.0</v>
      </c>
      <c r="D751" s="104">
        <v>0.0</v>
      </c>
      <c r="E751" s="29">
        <v>0.0</v>
      </c>
      <c r="F751" s="26" t="s">
        <v>2436</v>
      </c>
    </row>
    <row r="752">
      <c r="A752" s="26" t="s">
        <v>1496</v>
      </c>
      <c r="B752" s="26" t="s">
        <v>2427</v>
      </c>
      <c r="C752" s="102">
        <v>12.0</v>
      </c>
      <c r="D752" s="103">
        <v>0.0</v>
      </c>
      <c r="E752" s="29">
        <v>0.0</v>
      </c>
      <c r="F752" s="26" t="s">
        <v>2436</v>
      </c>
    </row>
    <row r="753">
      <c r="A753" s="26" t="s">
        <v>1496</v>
      </c>
      <c r="B753" s="26" t="s">
        <v>2435</v>
      </c>
      <c r="C753" s="102">
        <v>12.0</v>
      </c>
      <c r="D753" s="104">
        <v>0.0</v>
      </c>
      <c r="E753" s="29">
        <v>0.0</v>
      </c>
      <c r="F753" s="26" t="s">
        <v>2436</v>
      </c>
    </row>
    <row r="754">
      <c r="A754" s="26" t="s">
        <v>1496</v>
      </c>
      <c r="B754" s="26" t="s">
        <v>2458</v>
      </c>
      <c r="C754" s="102">
        <v>12.0</v>
      </c>
      <c r="D754" s="103">
        <v>0.0</v>
      </c>
      <c r="E754" s="29">
        <v>0.0</v>
      </c>
      <c r="F754" s="26" t="s">
        <v>2436</v>
      </c>
    </row>
    <row r="755">
      <c r="A755" s="26" t="s">
        <v>1496</v>
      </c>
      <c r="B755" s="26" t="s">
        <v>2454</v>
      </c>
      <c r="C755" s="102">
        <v>12.0</v>
      </c>
      <c r="D755" s="103">
        <v>0.0</v>
      </c>
      <c r="E755" s="29">
        <v>0.0</v>
      </c>
      <c r="F755" s="26" t="s">
        <v>2436</v>
      </c>
    </row>
    <row r="756">
      <c r="A756" s="26" t="s">
        <v>1496</v>
      </c>
      <c r="B756" s="26" t="s">
        <v>2440</v>
      </c>
      <c r="C756" s="102">
        <v>2.0</v>
      </c>
      <c r="D756" s="104">
        <v>0.0</v>
      </c>
      <c r="E756" s="29">
        <v>0.0</v>
      </c>
      <c r="F756" s="26" t="s">
        <v>2436</v>
      </c>
    </row>
    <row r="757">
      <c r="A757" s="26" t="s">
        <v>1496</v>
      </c>
      <c r="B757" s="26" t="s">
        <v>2475</v>
      </c>
      <c r="C757" s="102">
        <v>50.0</v>
      </c>
      <c r="D757" s="103">
        <v>0.0</v>
      </c>
      <c r="E757" s="29">
        <v>0.0</v>
      </c>
      <c r="F757" s="26" t="s">
        <v>2438</v>
      </c>
    </row>
    <row r="758">
      <c r="A758" s="26" t="s">
        <v>1497</v>
      </c>
      <c r="B758" s="26" t="s">
        <v>2425</v>
      </c>
      <c r="C758" s="102">
        <v>1.0</v>
      </c>
      <c r="D758" s="103">
        <v>1875000.0</v>
      </c>
      <c r="E758" s="29">
        <v>0.0</v>
      </c>
    </row>
    <row r="759">
      <c r="A759" s="26" t="s">
        <v>1497</v>
      </c>
      <c r="B759" s="26" t="s">
        <v>2447</v>
      </c>
      <c r="C759" s="102">
        <v>1.0</v>
      </c>
      <c r="D759" s="103">
        <v>0.0</v>
      </c>
      <c r="E759" s="29">
        <v>0.0</v>
      </c>
      <c r="F759" s="26" t="s">
        <v>2438</v>
      </c>
    </row>
    <row r="760">
      <c r="A760" s="26" t="s">
        <v>1498</v>
      </c>
      <c r="B760" s="26" t="s">
        <v>2432</v>
      </c>
      <c r="C760" s="102">
        <v>1.0</v>
      </c>
      <c r="D760" s="103">
        <v>1480000.0</v>
      </c>
      <c r="E760" s="29">
        <v>0.0</v>
      </c>
    </row>
    <row r="761">
      <c r="A761" s="26" t="s">
        <v>1499</v>
      </c>
      <c r="B761" s="26" t="s">
        <v>2435</v>
      </c>
      <c r="C761" s="102">
        <v>48.0</v>
      </c>
      <c r="D761" s="103">
        <v>0.0</v>
      </c>
      <c r="E761" s="29">
        <v>0.0</v>
      </c>
      <c r="F761" s="26" t="s">
        <v>2436</v>
      </c>
    </row>
    <row r="762">
      <c r="A762" s="26" t="s">
        <v>1499</v>
      </c>
      <c r="B762" s="26" t="s">
        <v>2435</v>
      </c>
      <c r="C762" s="102">
        <v>48.0</v>
      </c>
      <c r="D762" s="103">
        <v>40000.0</v>
      </c>
      <c r="E762" s="29">
        <v>0.0</v>
      </c>
    </row>
    <row r="763">
      <c r="A763" s="26" t="s">
        <v>1500</v>
      </c>
      <c r="B763" s="26" t="s">
        <v>2425</v>
      </c>
      <c r="C763" s="102">
        <v>1.0</v>
      </c>
      <c r="D763" s="103">
        <v>1875000.0</v>
      </c>
      <c r="E763" s="29">
        <v>0.0</v>
      </c>
    </row>
    <row r="764">
      <c r="A764" s="26" t="s">
        <v>1501</v>
      </c>
      <c r="B764" s="26" t="s">
        <v>2433</v>
      </c>
      <c r="C764" s="102">
        <v>1.0</v>
      </c>
      <c r="D764" s="103">
        <v>1450000.0</v>
      </c>
      <c r="E764" s="29">
        <v>0.0</v>
      </c>
    </row>
    <row r="765">
      <c r="A765" s="26" t="s">
        <v>1502</v>
      </c>
      <c r="B765" s="26" t="s">
        <v>2429</v>
      </c>
      <c r="C765" s="102">
        <v>10.0</v>
      </c>
      <c r="D765" s="103">
        <v>45000.0</v>
      </c>
      <c r="E765" s="29">
        <v>0.0</v>
      </c>
    </row>
    <row r="766">
      <c r="A766" s="26" t="s">
        <v>1502</v>
      </c>
      <c r="B766" s="26" t="s">
        <v>2458</v>
      </c>
      <c r="C766" s="102">
        <v>4.0</v>
      </c>
      <c r="D766" s="103">
        <v>60000.0</v>
      </c>
      <c r="E766" s="29">
        <v>0.0</v>
      </c>
    </row>
    <row r="767">
      <c r="A767" s="26" t="s">
        <v>1502</v>
      </c>
      <c r="B767" s="26" t="s">
        <v>2427</v>
      </c>
      <c r="C767" s="102">
        <v>5.0</v>
      </c>
      <c r="D767" s="103">
        <v>60000.0</v>
      </c>
      <c r="E767" s="29">
        <v>0.0</v>
      </c>
    </row>
    <row r="768">
      <c r="A768" s="26" t="s">
        <v>1502</v>
      </c>
      <c r="B768" s="26" t="s">
        <v>2476</v>
      </c>
      <c r="C768" s="102">
        <v>5.0</v>
      </c>
      <c r="D768" s="104">
        <v>60000.0</v>
      </c>
      <c r="E768" s="29">
        <v>0.0</v>
      </c>
    </row>
    <row r="769">
      <c r="A769" s="26" t="s">
        <v>1503</v>
      </c>
      <c r="B769" s="26" t="s">
        <v>2435</v>
      </c>
      <c r="C769" s="102">
        <v>2.0</v>
      </c>
      <c r="D769" s="104">
        <v>0.0</v>
      </c>
      <c r="E769" s="29">
        <v>0.0</v>
      </c>
      <c r="F769" s="26" t="s">
        <v>1522</v>
      </c>
    </row>
    <row r="770">
      <c r="A770" s="26" t="s">
        <v>1503</v>
      </c>
      <c r="B770" s="26" t="s">
        <v>2428</v>
      </c>
      <c r="C770" s="102">
        <v>2.0</v>
      </c>
      <c r="D770" s="104">
        <v>0.0</v>
      </c>
      <c r="E770" s="29">
        <v>0.0</v>
      </c>
      <c r="F770" s="26" t="s">
        <v>1522</v>
      </c>
    </row>
    <row r="771">
      <c r="A771" s="26" t="s">
        <v>1503</v>
      </c>
      <c r="B771" s="26" t="s">
        <v>2430</v>
      </c>
      <c r="C771" s="102">
        <v>2.0</v>
      </c>
      <c r="D771" s="104">
        <v>0.0</v>
      </c>
      <c r="E771" s="29">
        <v>0.0</v>
      </c>
      <c r="F771" s="26" t="s">
        <v>1522</v>
      </c>
    </row>
    <row r="772">
      <c r="A772" s="26" t="s">
        <v>1503</v>
      </c>
      <c r="B772" s="26" t="s">
        <v>2429</v>
      </c>
      <c r="C772" s="105">
        <v>2.0</v>
      </c>
      <c r="D772" s="104">
        <v>0.0</v>
      </c>
      <c r="E772" s="29">
        <v>0.0</v>
      </c>
      <c r="F772" s="26" t="s">
        <v>1522</v>
      </c>
    </row>
    <row r="773">
      <c r="A773" s="26" t="s">
        <v>1503</v>
      </c>
      <c r="B773" s="26" t="s">
        <v>2427</v>
      </c>
      <c r="C773" s="102">
        <v>2.0</v>
      </c>
      <c r="D773" s="103">
        <v>0.0</v>
      </c>
      <c r="E773" s="29">
        <v>0.0</v>
      </c>
      <c r="F773" s="26" t="s">
        <v>1522</v>
      </c>
    </row>
    <row r="774">
      <c r="A774" s="29" t="s">
        <v>1504</v>
      </c>
      <c r="B774" s="26" t="s">
        <v>2431</v>
      </c>
      <c r="C774" s="102">
        <v>1.0</v>
      </c>
      <c r="D774" s="103">
        <v>2380000.0</v>
      </c>
      <c r="E774" s="29">
        <v>476000.0</v>
      </c>
    </row>
    <row r="775">
      <c r="A775" s="29" t="s">
        <v>1504</v>
      </c>
      <c r="B775" s="26" t="s">
        <v>2432</v>
      </c>
      <c r="C775" s="102">
        <v>1.0</v>
      </c>
      <c r="D775" s="103">
        <v>1480000.0</v>
      </c>
      <c r="E775" s="29">
        <v>296000.0</v>
      </c>
    </row>
    <row r="776">
      <c r="A776" s="26" t="s">
        <v>1505</v>
      </c>
      <c r="B776" s="26" t="s">
        <v>2430</v>
      </c>
      <c r="C776" s="102">
        <v>24.0</v>
      </c>
      <c r="D776" s="103">
        <v>45000.0</v>
      </c>
      <c r="E776" s="29">
        <v>0.0</v>
      </c>
    </row>
    <row r="777">
      <c r="A777" s="26" t="s">
        <v>1505</v>
      </c>
      <c r="B777" s="26" t="s">
        <v>2426</v>
      </c>
      <c r="C777" s="102">
        <v>24.0</v>
      </c>
      <c r="D777" s="103">
        <v>55000.0</v>
      </c>
      <c r="E777" s="29">
        <v>0.0</v>
      </c>
    </row>
    <row r="778">
      <c r="A778" s="26" t="s">
        <v>1506</v>
      </c>
      <c r="B778" s="26" t="s">
        <v>2425</v>
      </c>
      <c r="C778" s="102">
        <v>1.0</v>
      </c>
      <c r="D778" s="104">
        <v>1875000.0</v>
      </c>
      <c r="E778" s="29">
        <v>0.0</v>
      </c>
    </row>
    <row r="779">
      <c r="A779" s="26" t="s">
        <v>1506</v>
      </c>
      <c r="B779" s="26" t="s">
        <v>2435</v>
      </c>
      <c r="C779" s="102">
        <v>4.0</v>
      </c>
      <c r="D779" s="104">
        <v>0.0</v>
      </c>
      <c r="E779" s="29">
        <v>0.0</v>
      </c>
      <c r="F779" s="26" t="s">
        <v>1522</v>
      </c>
    </row>
    <row r="780">
      <c r="A780" s="26" t="s">
        <v>1506</v>
      </c>
      <c r="B780" s="26" t="s">
        <v>2458</v>
      </c>
      <c r="C780" s="102">
        <v>4.0</v>
      </c>
      <c r="D780" s="103">
        <v>0.0</v>
      </c>
      <c r="E780" s="29">
        <v>0.0</v>
      </c>
      <c r="F780" s="26" t="s">
        <v>1522</v>
      </c>
    </row>
    <row r="781">
      <c r="A781" s="26" t="s">
        <v>1506</v>
      </c>
      <c r="B781" s="26" t="s">
        <v>2427</v>
      </c>
      <c r="C781" s="102">
        <v>4.0</v>
      </c>
      <c r="D781" s="104">
        <v>0.0</v>
      </c>
      <c r="E781" s="29">
        <v>0.0</v>
      </c>
      <c r="F781" s="26" t="s">
        <v>1522</v>
      </c>
    </row>
    <row r="782">
      <c r="A782" s="26" t="s">
        <v>1507</v>
      </c>
      <c r="B782" s="26" t="s">
        <v>2429</v>
      </c>
      <c r="C782" s="102">
        <v>24.0</v>
      </c>
      <c r="D782" s="103">
        <v>45000.0</v>
      </c>
      <c r="E782" s="29">
        <v>0.0</v>
      </c>
    </row>
    <row r="783">
      <c r="A783" s="26" t="s">
        <v>1507</v>
      </c>
      <c r="B783" s="26" t="s">
        <v>2430</v>
      </c>
      <c r="C783" s="102">
        <v>12.0</v>
      </c>
      <c r="D783" s="103">
        <v>45000.0</v>
      </c>
      <c r="E783" s="29">
        <v>0.0</v>
      </c>
    </row>
    <row r="784">
      <c r="A784" s="26" t="s">
        <v>1507</v>
      </c>
      <c r="B784" s="26" t="s">
        <v>2426</v>
      </c>
      <c r="C784" s="102">
        <v>12.0</v>
      </c>
      <c r="D784" s="103">
        <v>55000.0</v>
      </c>
      <c r="E784" s="29">
        <v>0.0</v>
      </c>
    </row>
    <row r="785">
      <c r="A785" s="26" t="s">
        <v>1508</v>
      </c>
      <c r="B785" s="26" t="s">
        <v>2432</v>
      </c>
      <c r="C785" s="102">
        <v>1.0</v>
      </c>
      <c r="D785" s="103">
        <v>1480000.0</v>
      </c>
      <c r="E785" s="29">
        <v>0.0</v>
      </c>
    </row>
    <row r="786">
      <c r="A786" s="26" t="s">
        <v>1509</v>
      </c>
      <c r="B786" s="26" t="s">
        <v>2433</v>
      </c>
      <c r="C786" s="102">
        <v>1.0</v>
      </c>
      <c r="D786" s="103">
        <v>1450000.0</v>
      </c>
      <c r="E786" s="29">
        <v>0.0</v>
      </c>
    </row>
    <row r="787">
      <c r="A787" s="26" t="s">
        <v>1510</v>
      </c>
      <c r="B787" s="26" t="s">
        <v>2433</v>
      </c>
      <c r="C787" s="102">
        <v>1.0</v>
      </c>
      <c r="D787" s="103">
        <v>1450000.0</v>
      </c>
      <c r="E787" s="29">
        <v>0.0</v>
      </c>
    </row>
    <row r="788">
      <c r="A788" s="26" t="s">
        <v>1511</v>
      </c>
      <c r="B788" s="26" t="s">
        <v>2433</v>
      </c>
      <c r="C788" s="102">
        <v>10.0</v>
      </c>
      <c r="D788" s="103">
        <v>1450000.0</v>
      </c>
      <c r="E788" s="29">
        <v>0.0</v>
      </c>
    </row>
    <row r="789">
      <c r="A789" s="26" t="s">
        <v>1511</v>
      </c>
      <c r="B789" s="26" t="s">
        <v>2431</v>
      </c>
      <c r="C789" s="102">
        <v>10.0</v>
      </c>
      <c r="D789" s="103">
        <v>2380000.0</v>
      </c>
      <c r="E789" s="29">
        <v>0.0</v>
      </c>
    </row>
    <row r="790">
      <c r="A790" s="26" t="s">
        <v>1511</v>
      </c>
      <c r="B790" s="26" t="s">
        <v>2425</v>
      </c>
      <c r="C790" s="102">
        <v>5.0</v>
      </c>
      <c r="D790" s="104">
        <v>1875000.0</v>
      </c>
      <c r="E790" s="29">
        <v>0.0</v>
      </c>
    </row>
    <row r="791">
      <c r="A791" s="26" t="s">
        <v>1511</v>
      </c>
      <c r="B791" s="26" t="s">
        <v>2432</v>
      </c>
      <c r="C791" s="102">
        <v>5.0</v>
      </c>
      <c r="D791" s="103">
        <v>1480000.0</v>
      </c>
      <c r="E791" s="29">
        <v>0.0</v>
      </c>
    </row>
    <row r="792">
      <c r="A792" s="26" t="s">
        <v>1511</v>
      </c>
      <c r="B792" s="26" t="s">
        <v>2440</v>
      </c>
      <c r="C792" s="102">
        <v>5.0</v>
      </c>
      <c r="D792" s="103">
        <v>2500000.0</v>
      </c>
      <c r="E792" s="29">
        <v>0.0</v>
      </c>
    </row>
    <row r="793">
      <c r="A793" s="26" t="s">
        <v>1511</v>
      </c>
      <c r="B793" s="26" t="s">
        <v>2427</v>
      </c>
      <c r="C793" s="102">
        <v>240.0</v>
      </c>
      <c r="D793" s="103">
        <v>60000.0</v>
      </c>
      <c r="E793" s="29">
        <v>0.0</v>
      </c>
    </row>
    <row r="794">
      <c r="A794" s="26" t="s">
        <v>1512</v>
      </c>
      <c r="B794" s="26" t="s">
        <v>2477</v>
      </c>
      <c r="C794" s="102">
        <v>1.0</v>
      </c>
      <c r="D794" s="103">
        <v>0.0</v>
      </c>
      <c r="E794" s="29">
        <v>0.0</v>
      </c>
      <c r="F794" s="26" t="s">
        <v>1522</v>
      </c>
    </row>
    <row r="795">
      <c r="A795" s="26" t="s">
        <v>1513</v>
      </c>
      <c r="B795" s="26" t="s">
        <v>2428</v>
      </c>
      <c r="C795" s="102">
        <v>4.0</v>
      </c>
      <c r="D795" s="103">
        <v>45000.0</v>
      </c>
      <c r="E795" s="29">
        <v>0.0</v>
      </c>
    </row>
    <row r="796">
      <c r="A796" s="26" t="s">
        <v>1513</v>
      </c>
      <c r="B796" s="26" t="s">
        <v>2430</v>
      </c>
      <c r="C796" s="102">
        <v>4.0</v>
      </c>
      <c r="D796" s="103">
        <v>45000.0</v>
      </c>
      <c r="E796" s="29">
        <v>0.0</v>
      </c>
    </row>
    <row r="797">
      <c r="A797" s="26" t="s">
        <v>1513</v>
      </c>
      <c r="B797" s="26" t="s">
        <v>2426</v>
      </c>
      <c r="C797" s="102">
        <v>4.0</v>
      </c>
      <c r="D797" s="103">
        <v>55000.0</v>
      </c>
      <c r="E797" s="29">
        <v>0.0</v>
      </c>
    </row>
    <row r="798">
      <c r="A798" s="26" t="s">
        <v>1513</v>
      </c>
      <c r="B798" s="26" t="s">
        <v>2429</v>
      </c>
      <c r="C798" s="102">
        <v>4.0</v>
      </c>
      <c r="D798" s="104">
        <v>45000.0</v>
      </c>
      <c r="E798" s="29">
        <v>0.0</v>
      </c>
    </row>
    <row r="799">
      <c r="A799" s="26" t="s">
        <v>1513</v>
      </c>
      <c r="B799" s="26" t="s">
        <v>2458</v>
      </c>
      <c r="C799" s="102">
        <v>4.0</v>
      </c>
      <c r="D799" s="104">
        <v>60000.0</v>
      </c>
      <c r="E799" s="29">
        <v>0.0</v>
      </c>
    </row>
    <row r="800">
      <c r="A800" s="26" t="s">
        <v>1513</v>
      </c>
      <c r="B800" s="26" t="s">
        <v>2435</v>
      </c>
      <c r="C800" s="102">
        <v>4.0</v>
      </c>
      <c r="D800" s="103">
        <v>40000.0</v>
      </c>
      <c r="E800" s="29">
        <v>0.0</v>
      </c>
    </row>
    <row r="801">
      <c r="A801" s="26" t="s">
        <v>1514</v>
      </c>
      <c r="B801" s="26" t="s">
        <v>2429</v>
      </c>
      <c r="C801" s="102">
        <v>48.0</v>
      </c>
      <c r="D801" s="103">
        <v>45000.0</v>
      </c>
      <c r="E801" s="29">
        <v>0.0</v>
      </c>
    </row>
    <row r="802">
      <c r="A802" s="29" t="s">
        <v>1516</v>
      </c>
      <c r="B802" s="26" t="s">
        <v>2440</v>
      </c>
      <c r="C802" s="102">
        <v>3.0</v>
      </c>
      <c r="D802" s="104">
        <v>2500000.0</v>
      </c>
      <c r="E802" s="29">
        <v>875000.0</v>
      </c>
    </row>
    <row r="803">
      <c r="A803" s="26" t="s">
        <v>1516</v>
      </c>
      <c r="B803" s="26" t="s">
        <v>2440</v>
      </c>
      <c r="C803" s="102">
        <v>1.0</v>
      </c>
      <c r="D803" s="104">
        <v>0.0</v>
      </c>
      <c r="E803" s="26">
        <v>0.0</v>
      </c>
      <c r="F803" s="26" t="s">
        <v>2436</v>
      </c>
    </row>
    <row r="804">
      <c r="A804" s="29" t="s">
        <v>1516</v>
      </c>
      <c r="B804" s="26" t="s">
        <v>2431</v>
      </c>
      <c r="C804" s="102">
        <v>3.0</v>
      </c>
      <c r="D804" s="104">
        <v>2380000.0</v>
      </c>
      <c r="E804" s="29">
        <v>833000.0</v>
      </c>
    </row>
    <row r="805">
      <c r="A805" s="29" t="s">
        <v>1516</v>
      </c>
      <c r="B805" s="26" t="s">
        <v>2435</v>
      </c>
      <c r="C805" s="102">
        <v>48.0</v>
      </c>
      <c r="D805" s="104">
        <v>40000.0</v>
      </c>
      <c r="E805" s="29">
        <v>14000.0</v>
      </c>
    </row>
    <row r="806">
      <c r="A806" s="26" t="s">
        <v>1517</v>
      </c>
      <c r="B806" s="26" t="s">
        <v>2431</v>
      </c>
      <c r="C806" s="102">
        <v>1.0</v>
      </c>
      <c r="D806" s="103">
        <v>2380000.0</v>
      </c>
      <c r="E806" s="26">
        <v>0.0</v>
      </c>
    </row>
    <row r="807">
      <c r="A807" s="29" t="s">
        <v>1518</v>
      </c>
      <c r="B807" s="26" t="s">
        <v>2432</v>
      </c>
      <c r="C807" s="102">
        <v>1.0</v>
      </c>
      <c r="D807" s="103">
        <v>1480000.0</v>
      </c>
      <c r="E807" s="29">
        <v>296000.0</v>
      </c>
    </row>
    <row r="808">
      <c r="A808" s="29" t="s">
        <v>1518</v>
      </c>
      <c r="B808" s="26" t="s">
        <v>2433</v>
      </c>
      <c r="C808" s="102">
        <v>1.0</v>
      </c>
      <c r="D808" s="104">
        <v>1450000.0</v>
      </c>
      <c r="E808" s="29">
        <v>290000.0</v>
      </c>
    </row>
    <row r="809">
      <c r="A809" s="29" t="s">
        <v>1519</v>
      </c>
      <c r="B809" s="26" t="s">
        <v>2432</v>
      </c>
      <c r="C809" s="102">
        <v>1.0</v>
      </c>
      <c r="D809" s="104">
        <v>1480000.0</v>
      </c>
      <c r="E809" s="29">
        <v>296000.0</v>
      </c>
    </row>
    <row r="810">
      <c r="A810" s="29" t="s">
        <v>1519</v>
      </c>
      <c r="B810" s="26" t="s">
        <v>2425</v>
      </c>
      <c r="C810" s="102">
        <v>1.0</v>
      </c>
      <c r="D810" s="104">
        <v>1875000.0</v>
      </c>
      <c r="E810" s="29">
        <v>375000.0</v>
      </c>
    </row>
    <row r="811">
      <c r="A811" s="29" t="s">
        <v>1519</v>
      </c>
      <c r="B811" s="26" t="s">
        <v>2433</v>
      </c>
      <c r="C811" s="102">
        <v>1.0</v>
      </c>
      <c r="D811" s="104">
        <v>1450000.0</v>
      </c>
      <c r="E811" s="29">
        <v>290000.0</v>
      </c>
    </row>
    <row r="812">
      <c r="A812" s="26" t="s">
        <v>1520</v>
      </c>
      <c r="B812" s="26" t="s">
        <v>2477</v>
      </c>
      <c r="C812" s="102">
        <v>1.0</v>
      </c>
      <c r="D812" s="104">
        <v>0.0</v>
      </c>
      <c r="E812" s="26">
        <v>0.0</v>
      </c>
      <c r="F812" s="26" t="s">
        <v>1522</v>
      </c>
    </row>
    <row r="813">
      <c r="A813" s="26" t="s">
        <v>1521</v>
      </c>
      <c r="B813" s="26" t="s">
        <v>2429</v>
      </c>
      <c r="C813" s="102">
        <v>4.0</v>
      </c>
      <c r="D813" s="104">
        <v>0.0</v>
      </c>
      <c r="E813" s="26">
        <v>0.0</v>
      </c>
      <c r="F813" s="26" t="s">
        <v>1522</v>
      </c>
    </row>
    <row r="814">
      <c r="A814" s="26" t="s">
        <v>1521</v>
      </c>
      <c r="B814" s="26" t="s">
        <v>2426</v>
      </c>
      <c r="C814" s="102">
        <v>1.0</v>
      </c>
      <c r="D814" s="104">
        <v>0.0</v>
      </c>
      <c r="E814" s="26">
        <v>0.0</v>
      </c>
      <c r="F814" s="26" t="s">
        <v>1522</v>
      </c>
    </row>
    <row r="815">
      <c r="A815" s="26" t="s">
        <v>1521</v>
      </c>
      <c r="B815" s="26" t="s">
        <v>2435</v>
      </c>
      <c r="C815" s="102">
        <v>1.0</v>
      </c>
      <c r="D815" s="104">
        <v>0.0</v>
      </c>
      <c r="E815" s="26">
        <v>0.0</v>
      </c>
      <c r="F815" s="26" t="s">
        <v>1522</v>
      </c>
    </row>
    <row r="816">
      <c r="A816" s="26" t="s">
        <v>1521</v>
      </c>
      <c r="B816" s="26" t="s">
        <v>2455</v>
      </c>
      <c r="C816" s="102">
        <v>6.0</v>
      </c>
      <c r="D816" s="104">
        <v>0.0</v>
      </c>
      <c r="E816" s="26">
        <v>0.0</v>
      </c>
      <c r="F816" s="26" t="s">
        <v>1522</v>
      </c>
    </row>
    <row r="817">
      <c r="A817" s="26" t="s">
        <v>1523</v>
      </c>
      <c r="B817" s="26" t="s">
        <v>2426</v>
      </c>
      <c r="C817" s="102">
        <v>24.0</v>
      </c>
      <c r="D817" s="104">
        <v>55000.0</v>
      </c>
      <c r="E817" s="26">
        <v>0.0</v>
      </c>
    </row>
    <row r="818">
      <c r="A818" s="26" t="s">
        <v>1524</v>
      </c>
      <c r="B818" s="26" t="s">
        <v>2477</v>
      </c>
      <c r="C818" s="102">
        <v>1.0</v>
      </c>
      <c r="D818" s="104">
        <v>0.0</v>
      </c>
      <c r="E818" s="26">
        <v>0.0</v>
      </c>
      <c r="F818" s="26" t="s">
        <v>1522</v>
      </c>
    </row>
    <row r="819">
      <c r="A819" s="26" t="s">
        <v>1526</v>
      </c>
      <c r="B819" s="26" t="s">
        <v>2427</v>
      </c>
      <c r="C819" s="102">
        <v>3.0</v>
      </c>
      <c r="D819" s="104">
        <v>0.0</v>
      </c>
      <c r="E819" s="26">
        <v>0.0</v>
      </c>
      <c r="F819" s="26" t="s">
        <v>1522</v>
      </c>
    </row>
    <row r="820">
      <c r="A820" s="26" t="s">
        <v>1527</v>
      </c>
      <c r="B820" s="26" t="s">
        <v>2433</v>
      </c>
      <c r="C820" s="102">
        <v>1.0</v>
      </c>
      <c r="D820" s="103">
        <v>1450000.0</v>
      </c>
      <c r="E820" s="26">
        <v>0.0</v>
      </c>
    </row>
    <row r="821">
      <c r="A821" s="26" t="s">
        <v>1528</v>
      </c>
      <c r="B821" s="26" t="s">
        <v>2433</v>
      </c>
      <c r="C821" s="102">
        <v>1.0</v>
      </c>
      <c r="D821" s="104">
        <v>1450000.0</v>
      </c>
      <c r="E821" s="26">
        <v>0.0</v>
      </c>
    </row>
    <row r="822">
      <c r="A822" s="26" t="s">
        <v>1529</v>
      </c>
      <c r="B822" s="26" t="s">
        <v>2429</v>
      </c>
      <c r="C822" s="102">
        <v>48.0</v>
      </c>
      <c r="D822" s="104">
        <v>45000.0</v>
      </c>
      <c r="E822" s="26">
        <v>0.0</v>
      </c>
    </row>
    <row r="823">
      <c r="A823" s="26" t="s">
        <v>1530</v>
      </c>
      <c r="B823" s="26" t="s">
        <v>2429</v>
      </c>
      <c r="C823" s="102">
        <v>12.0</v>
      </c>
      <c r="D823" s="103">
        <v>45000.0</v>
      </c>
      <c r="E823" s="26">
        <v>0.0</v>
      </c>
    </row>
    <row r="824">
      <c r="A824" s="26" t="s">
        <v>1530</v>
      </c>
      <c r="B824" s="26" t="s">
        <v>2428</v>
      </c>
      <c r="C824" s="102">
        <v>12.0</v>
      </c>
      <c r="D824" s="104">
        <v>45000.0</v>
      </c>
      <c r="E824" s="26">
        <v>0.0</v>
      </c>
    </row>
    <row r="825">
      <c r="A825" s="26" t="s">
        <v>1531</v>
      </c>
      <c r="B825" s="26" t="s">
        <v>2429</v>
      </c>
      <c r="C825" s="102">
        <v>24.0</v>
      </c>
      <c r="D825" s="104">
        <v>45000.0</v>
      </c>
      <c r="E825" s="26">
        <v>0.0</v>
      </c>
    </row>
    <row r="826">
      <c r="A826" s="26" t="s">
        <v>1532</v>
      </c>
      <c r="B826" s="26" t="s">
        <v>2433</v>
      </c>
      <c r="C826" s="102">
        <v>1.0</v>
      </c>
      <c r="D826" s="103">
        <v>1450000.0</v>
      </c>
      <c r="E826" s="26">
        <v>0.0</v>
      </c>
    </row>
    <row r="827">
      <c r="A827" s="26" t="s">
        <v>1533</v>
      </c>
      <c r="B827" s="26" t="s">
        <v>2433</v>
      </c>
      <c r="C827" s="102">
        <v>1.0</v>
      </c>
      <c r="D827" s="103">
        <v>1450000.0</v>
      </c>
      <c r="E827" s="26">
        <v>0.0</v>
      </c>
    </row>
    <row r="828">
      <c r="A828" s="29" t="s">
        <v>1534</v>
      </c>
      <c r="B828" s="26" t="s">
        <v>2432</v>
      </c>
      <c r="C828" s="102">
        <v>1.0</v>
      </c>
      <c r="D828" s="103">
        <v>1480000.0</v>
      </c>
      <c r="E828" s="29">
        <v>296000.0</v>
      </c>
    </row>
    <row r="829">
      <c r="A829" s="29" t="s">
        <v>1534</v>
      </c>
      <c r="B829" s="26" t="s">
        <v>2433</v>
      </c>
      <c r="C829" s="102">
        <v>1.0</v>
      </c>
      <c r="D829" s="104">
        <v>1450000.0</v>
      </c>
      <c r="E829" s="29">
        <v>290000.0</v>
      </c>
    </row>
    <row r="830">
      <c r="A830" s="29" t="s">
        <v>1534</v>
      </c>
      <c r="B830" s="26" t="s">
        <v>2425</v>
      </c>
      <c r="C830" s="102">
        <v>1.0</v>
      </c>
      <c r="D830" s="103">
        <v>1875000.0</v>
      </c>
      <c r="E830" s="29">
        <v>375000.0</v>
      </c>
    </row>
    <row r="831">
      <c r="A831" s="26" t="s">
        <v>1535</v>
      </c>
      <c r="B831" s="26" t="s">
        <v>2430</v>
      </c>
      <c r="C831" s="102">
        <v>24.0</v>
      </c>
      <c r="D831" s="104">
        <v>45000.0</v>
      </c>
      <c r="E831" s="26">
        <v>0.0</v>
      </c>
    </row>
    <row r="832">
      <c r="A832" s="26" t="s">
        <v>1536</v>
      </c>
      <c r="B832" s="26" t="s">
        <v>2429</v>
      </c>
      <c r="C832" s="102">
        <v>24.0</v>
      </c>
      <c r="D832" s="104">
        <v>45000.0</v>
      </c>
      <c r="E832" s="26">
        <v>0.0</v>
      </c>
    </row>
    <row r="833">
      <c r="A833" s="26" t="s">
        <v>1537</v>
      </c>
      <c r="B833" s="26" t="s">
        <v>2429</v>
      </c>
      <c r="C833" s="102">
        <v>24.0</v>
      </c>
      <c r="D833" s="103">
        <v>45000.0</v>
      </c>
      <c r="E833" s="26">
        <v>0.0</v>
      </c>
    </row>
    <row r="834">
      <c r="A834" s="26" t="s">
        <v>1538</v>
      </c>
      <c r="B834" s="26" t="s">
        <v>2429</v>
      </c>
      <c r="C834" s="102">
        <v>24.0</v>
      </c>
      <c r="D834" s="103">
        <v>45000.0</v>
      </c>
      <c r="E834" s="26">
        <v>0.0</v>
      </c>
    </row>
    <row r="835">
      <c r="A835" s="26" t="s">
        <v>1539</v>
      </c>
      <c r="B835" s="26" t="s">
        <v>2478</v>
      </c>
      <c r="C835" s="102">
        <v>2.0</v>
      </c>
      <c r="D835" s="104">
        <v>45000.0</v>
      </c>
      <c r="E835" s="26">
        <v>0.0</v>
      </c>
    </row>
    <row r="836">
      <c r="A836" s="26" t="s">
        <v>1539</v>
      </c>
      <c r="B836" s="26" t="s">
        <v>2428</v>
      </c>
      <c r="C836" s="102">
        <v>2.0</v>
      </c>
      <c r="D836" s="104">
        <v>70000.0</v>
      </c>
      <c r="E836" s="26">
        <v>0.0</v>
      </c>
    </row>
    <row r="837">
      <c r="A837" s="26" t="s">
        <v>1539</v>
      </c>
      <c r="B837" s="26" t="s">
        <v>2426</v>
      </c>
      <c r="C837" s="102">
        <v>2.0</v>
      </c>
      <c r="D837" s="104">
        <v>80000.0</v>
      </c>
      <c r="E837" s="26">
        <v>0.0</v>
      </c>
    </row>
    <row r="838">
      <c r="A838" s="26" t="s">
        <v>1539</v>
      </c>
      <c r="B838" s="26" t="s">
        <v>2430</v>
      </c>
      <c r="C838" s="102">
        <v>2.0</v>
      </c>
      <c r="D838" s="104">
        <v>70000.0</v>
      </c>
      <c r="E838" s="26">
        <v>0.0</v>
      </c>
    </row>
    <row r="839">
      <c r="A839" s="26" t="s">
        <v>1540</v>
      </c>
      <c r="B839" s="26" t="s">
        <v>2437</v>
      </c>
      <c r="C839" s="102">
        <v>12.0</v>
      </c>
      <c r="D839" s="104">
        <v>0.0</v>
      </c>
      <c r="E839" s="26">
        <v>0.0</v>
      </c>
      <c r="F839" s="26" t="s">
        <v>2438</v>
      </c>
    </row>
    <row r="840">
      <c r="A840" s="26" t="s">
        <v>1541</v>
      </c>
      <c r="B840" s="26" t="s">
        <v>2430</v>
      </c>
      <c r="C840" s="102">
        <v>24.0</v>
      </c>
      <c r="D840" s="104">
        <v>45000.0</v>
      </c>
      <c r="E840" s="26">
        <v>0.0</v>
      </c>
    </row>
    <row r="841">
      <c r="A841" s="26" t="s">
        <v>1541</v>
      </c>
      <c r="B841" s="26" t="s">
        <v>2442</v>
      </c>
      <c r="C841" s="102">
        <v>50.0</v>
      </c>
      <c r="D841" s="104">
        <v>0.0</v>
      </c>
      <c r="E841" s="26">
        <v>0.0</v>
      </c>
      <c r="F841" s="26" t="s">
        <v>2438</v>
      </c>
    </row>
    <row r="842">
      <c r="A842" s="26" t="s">
        <v>1542</v>
      </c>
      <c r="B842" s="26" t="s">
        <v>2428</v>
      </c>
      <c r="C842" s="102">
        <v>4.0</v>
      </c>
      <c r="D842" s="104">
        <v>45000.0</v>
      </c>
      <c r="E842" s="26">
        <v>0.0</v>
      </c>
    </row>
    <row r="843">
      <c r="A843" s="26" t="s">
        <v>1542</v>
      </c>
      <c r="B843" s="26" t="s">
        <v>2430</v>
      </c>
      <c r="C843" s="102">
        <v>4.0</v>
      </c>
      <c r="D843" s="104">
        <v>45000.0</v>
      </c>
      <c r="E843" s="26">
        <v>0.0</v>
      </c>
    </row>
    <row r="844">
      <c r="A844" s="26" t="s">
        <v>1542</v>
      </c>
      <c r="B844" s="26" t="s">
        <v>2426</v>
      </c>
      <c r="C844" s="102">
        <v>4.0</v>
      </c>
      <c r="D844" s="104">
        <v>55000.0</v>
      </c>
      <c r="E844" s="26">
        <v>0.0</v>
      </c>
    </row>
    <row r="845">
      <c r="A845" s="26" t="s">
        <v>1542</v>
      </c>
      <c r="B845" s="26" t="s">
        <v>2429</v>
      </c>
      <c r="C845" s="102">
        <v>4.0</v>
      </c>
      <c r="D845" s="104">
        <v>45000.0</v>
      </c>
      <c r="E845" s="26">
        <v>0.0</v>
      </c>
    </row>
    <row r="846">
      <c r="A846" s="26" t="s">
        <v>1542</v>
      </c>
      <c r="B846" s="26" t="s">
        <v>2458</v>
      </c>
      <c r="C846" s="102">
        <v>4.0</v>
      </c>
      <c r="D846" s="104">
        <v>60000.0</v>
      </c>
      <c r="E846" s="26">
        <v>0.0</v>
      </c>
    </row>
    <row r="847">
      <c r="A847" s="26" t="s">
        <v>1542</v>
      </c>
      <c r="B847" s="26" t="s">
        <v>2435</v>
      </c>
      <c r="C847" s="102">
        <v>4.0</v>
      </c>
      <c r="D847" s="104">
        <v>40000.0</v>
      </c>
      <c r="E847" s="26">
        <v>0.0</v>
      </c>
    </row>
    <row r="848">
      <c r="A848" s="26" t="s">
        <v>1543</v>
      </c>
      <c r="B848" s="26" t="s">
        <v>2430</v>
      </c>
      <c r="C848" s="102">
        <v>24.0</v>
      </c>
      <c r="D848" s="104">
        <v>45000.0</v>
      </c>
      <c r="E848" s="26">
        <v>0.0</v>
      </c>
    </row>
    <row r="849">
      <c r="A849" s="26" t="s">
        <v>1543</v>
      </c>
      <c r="B849" s="26" t="s">
        <v>2429</v>
      </c>
      <c r="C849" s="102">
        <v>24.0</v>
      </c>
      <c r="D849" s="104">
        <v>45000.0</v>
      </c>
      <c r="E849" s="26">
        <v>0.0</v>
      </c>
    </row>
    <row r="850">
      <c r="A850" s="29" t="s">
        <v>1544</v>
      </c>
      <c r="B850" s="26" t="s">
        <v>2432</v>
      </c>
      <c r="C850" s="102">
        <v>12.0</v>
      </c>
      <c r="D850" s="103">
        <v>1480000.0</v>
      </c>
      <c r="E850" s="29">
        <v>518000.0</v>
      </c>
    </row>
    <row r="851">
      <c r="A851" s="29" t="s">
        <v>1544</v>
      </c>
      <c r="B851" s="26" t="s">
        <v>2434</v>
      </c>
      <c r="C851" s="102">
        <v>12.0</v>
      </c>
      <c r="D851" s="103">
        <v>1350000.0</v>
      </c>
      <c r="E851" s="29">
        <v>472500.0</v>
      </c>
    </row>
    <row r="852">
      <c r="A852" s="29" t="s">
        <v>1544</v>
      </c>
      <c r="B852" s="26" t="s">
        <v>2431</v>
      </c>
      <c r="C852" s="102">
        <v>5.0</v>
      </c>
      <c r="D852" s="103">
        <v>2380000.0</v>
      </c>
      <c r="E852" s="29">
        <v>833000.0</v>
      </c>
    </row>
    <row r="853">
      <c r="A853" s="29" t="s">
        <v>1544</v>
      </c>
      <c r="B853" s="26" t="s">
        <v>2433</v>
      </c>
      <c r="C853" s="102">
        <v>3.0</v>
      </c>
      <c r="D853" s="103">
        <v>1450000.0</v>
      </c>
      <c r="E853" s="29">
        <v>507500.0</v>
      </c>
    </row>
    <row r="854">
      <c r="A854" s="29" t="s">
        <v>1544</v>
      </c>
      <c r="B854" s="26" t="s">
        <v>2479</v>
      </c>
      <c r="C854" s="102">
        <v>2.0</v>
      </c>
      <c r="D854" s="103">
        <v>1900000.0</v>
      </c>
      <c r="E854" s="29">
        <v>665000.0</v>
      </c>
    </row>
    <row r="855">
      <c r="A855" s="26" t="s">
        <v>1544</v>
      </c>
      <c r="B855" s="26" t="s">
        <v>2430</v>
      </c>
      <c r="C855" s="102">
        <v>12.0</v>
      </c>
      <c r="D855" s="103">
        <v>0.0</v>
      </c>
      <c r="E855" s="26">
        <v>0.0</v>
      </c>
      <c r="F855" s="26" t="s">
        <v>2436</v>
      </c>
    </row>
    <row r="856">
      <c r="A856" s="26" t="s">
        <v>1544</v>
      </c>
      <c r="B856" s="26" t="s">
        <v>2428</v>
      </c>
      <c r="C856" s="102">
        <v>12.0</v>
      </c>
      <c r="D856" s="103">
        <v>0.0</v>
      </c>
      <c r="E856" s="29">
        <v>0.0</v>
      </c>
      <c r="F856" s="26" t="s">
        <v>2436</v>
      </c>
    </row>
    <row r="857">
      <c r="A857" s="26" t="s">
        <v>1544</v>
      </c>
      <c r="B857" s="26" t="s">
        <v>2429</v>
      </c>
      <c r="C857" s="102">
        <v>12.0</v>
      </c>
      <c r="D857" s="103">
        <v>0.0</v>
      </c>
      <c r="E857" s="26">
        <v>0.0</v>
      </c>
      <c r="F857" s="26" t="s">
        <v>2436</v>
      </c>
    </row>
    <row r="858">
      <c r="A858" s="26" t="s">
        <v>1544</v>
      </c>
      <c r="B858" s="26" t="s">
        <v>2426</v>
      </c>
      <c r="C858" s="102">
        <v>12.0</v>
      </c>
      <c r="D858" s="103">
        <v>0.0</v>
      </c>
      <c r="E858" s="29">
        <v>0.0</v>
      </c>
      <c r="F858" s="26" t="s">
        <v>2436</v>
      </c>
    </row>
    <row r="859">
      <c r="A859" s="26" t="s">
        <v>1544</v>
      </c>
      <c r="B859" s="26" t="s">
        <v>2458</v>
      </c>
      <c r="C859" s="102">
        <v>12.0</v>
      </c>
      <c r="D859" s="103">
        <v>0.0</v>
      </c>
      <c r="E859" s="26">
        <v>0.0</v>
      </c>
      <c r="F859" s="26" t="s">
        <v>2436</v>
      </c>
    </row>
    <row r="860">
      <c r="A860" s="26" t="s">
        <v>1544</v>
      </c>
      <c r="B860" s="26" t="s">
        <v>2435</v>
      </c>
      <c r="C860" s="102">
        <v>12.0</v>
      </c>
      <c r="D860" s="103">
        <v>0.0</v>
      </c>
      <c r="E860" s="29">
        <v>0.0</v>
      </c>
      <c r="F860" s="26" t="s">
        <v>2436</v>
      </c>
    </row>
    <row r="861">
      <c r="A861" s="26" t="s">
        <v>1544</v>
      </c>
      <c r="B861" s="26" t="s">
        <v>2442</v>
      </c>
      <c r="C861" s="102">
        <v>500.0</v>
      </c>
      <c r="D861" s="104">
        <v>0.0</v>
      </c>
      <c r="E861" s="26">
        <v>0.0</v>
      </c>
      <c r="F861" s="26" t="s">
        <v>2436</v>
      </c>
    </row>
    <row r="862">
      <c r="A862" s="26" t="s">
        <v>1544</v>
      </c>
      <c r="B862" s="26" t="s">
        <v>2437</v>
      </c>
      <c r="C862" s="102">
        <v>48.0</v>
      </c>
      <c r="D862" s="103">
        <v>0.0</v>
      </c>
      <c r="E862" s="29">
        <v>0.0</v>
      </c>
      <c r="F862" s="26" t="s">
        <v>2438</v>
      </c>
    </row>
    <row r="863">
      <c r="A863" s="26" t="s">
        <v>1544</v>
      </c>
      <c r="B863" s="26" t="s">
        <v>2472</v>
      </c>
      <c r="C863" s="102">
        <v>5.0</v>
      </c>
      <c r="D863" s="104">
        <v>0.0</v>
      </c>
      <c r="E863" s="26">
        <v>0.0</v>
      </c>
      <c r="F863" s="26" t="s">
        <v>2438</v>
      </c>
    </row>
    <row r="864">
      <c r="A864" s="29" t="s">
        <v>1545</v>
      </c>
      <c r="B864" s="26" t="s">
        <v>2432</v>
      </c>
      <c r="C864" s="102">
        <v>1.0</v>
      </c>
      <c r="D864" s="103">
        <v>1480000.0</v>
      </c>
      <c r="E864" s="29">
        <v>296000.0</v>
      </c>
    </row>
    <row r="865">
      <c r="A865" s="26" t="s">
        <v>1546</v>
      </c>
      <c r="B865" s="26" t="s">
        <v>2431</v>
      </c>
      <c r="C865" s="102">
        <v>1.0</v>
      </c>
      <c r="D865" s="103">
        <v>2380000.0</v>
      </c>
      <c r="E865" s="26">
        <v>0.0</v>
      </c>
    </row>
    <row r="866">
      <c r="A866" s="29" t="s">
        <v>1547</v>
      </c>
      <c r="B866" s="26" t="s">
        <v>2433</v>
      </c>
      <c r="C866" s="102">
        <v>1.0</v>
      </c>
      <c r="D866" s="103">
        <v>1450000.0</v>
      </c>
      <c r="E866" s="29">
        <v>290000.0</v>
      </c>
    </row>
    <row r="867">
      <c r="A867" s="29" t="s">
        <v>1547</v>
      </c>
      <c r="B867" s="26" t="s">
        <v>2432</v>
      </c>
      <c r="C867" s="102">
        <v>1.0</v>
      </c>
      <c r="D867" s="103">
        <v>1480000.0</v>
      </c>
      <c r="E867" s="29">
        <v>296000.0</v>
      </c>
    </row>
    <row r="868">
      <c r="A868" s="26" t="s">
        <v>1547</v>
      </c>
      <c r="B868" s="26" t="s">
        <v>2446</v>
      </c>
      <c r="C868" s="102">
        <v>1.0</v>
      </c>
      <c r="D868" s="103">
        <v>0.0</v>
      </c>
      <c r="E868" s="26">
        <v>0.0</v>
      </c>
      <c r="F868" s="26" t="s">
        <v>2438</v>
      </c>
    </row>
    <row r="869">
      <c r="A869" s="26" t="s">
        <v>1547</v>
      </c>
      <c r="B869" s="26" t="s">
        <v>2447</v>
      </c>
      <c r="C869" s="102">
        <v>2.0</v>
      </c>
      <c r="D869" s="103">
        <v>0.0</v>
      </c>
      <c r="E869" s="26">
        <v>0.0</v>
      </c>
      <c r="F869" s="26" t="s">
        <v>2438</v>
      </c>
    </row>
    <row r="870">
      <c r="A870" s="26" t="s">
        <v>1547</v>
      </c>
      <c r="B870" s="26" t="s">
        <v>2439</v>
      </c>
      <c r="C870" s="102">
        <v>1.0</v>
      </c>
      <c r="D870" s="103">
        <v>0.0</v>
      </c>
      <c r="E870" s="26">
        <v>0.0</v>
      </c>
      <c r="F870" s="26" t="s">
        <v>2438</v>
      </c>
    </row>
    <row r="871">
      <c r="A871" s="26" t="s">
        <v>1547</v>
      </c>
      <c r="B871" s="26" t="s">
        <v>2480</v>
      </c>
      <c r="C871" s="102">
        <v>1.0</v>
      </c>
      <c r="D871" s="103">
        <v>0.0</v>
      </c>
      <c r="E871" s="26">
        <v>0.0</v>
      </c>
      <c r="F871" s="26" t="s">
        <v>2438</v>
      </c>
    </row>
    <row r="872">
      <c r="A872" s="26" t="s">
        <v>1547</v>
      </c>
      <c r="B872" s="26" t="s">
        <v>2437</v>
      </c>
      <c r="C872" s="102">
        <v>12.0</v>
      </c>
      <c r="D872" s="103">
        <v>0.0</v>
      </c>
      <c r="E872" s="26">
        <v>0.0</v>
      </c>
      <c r="F872" s="26" t="s">
        <v>2438</v>
      </c>
    </row>
    <row r="873">
      <c r="A873" s="26" t="s">
        <v>1547</v>
      </c>
      <c r="B873" s="26" t="s">
        <v>2442</v>
      </c>
      <c r="C873" s="102">
        <v>100.0</v>
      </c>
      <c r="D873" s="103">
        <v>0.0</v>
      </c>
      <c r="E873" s="26">
        <v>0.0</v>
      </c>
      <c r="F873" s="26" t="s">
        <v>2438</v>
      </c>
    </row>
    <row r="874">
      <c r="A874" s="26" t="s">
        <v>1548</v>
      </c>
      <c r="B874" s="26" t="s">
        <v>2426</v>
      </c>
      <c r="C874" s="102">
        <v>24.0</v>
      </c>
      <c r="D874" s="104">
        <v>55000.0</v>
      </c>
      <c r="E874" s="26">
        <v>0.0</v>
      </c>
    </row>
    <row r="875">
      <c r="A875" s="29" t="s">
        <v>1549</v>
      </c>
      <c r="B875" s="26" t="s">
        <v>2433</v>
      </c>
      <c r="C875" s="102">
        <v>1.0</v>
      </c>
      <c r="D875" s="104">
        <v>1450000.0</v>
      </c>
      <c r="E875" s="29">
        <v>290000.0</v>
      </c>
    </row>
    <row r="876">
      <c r="A876" s="26" t="s">
        <v>1550</v>
      </c>
      <c r="B876" s="26" t="s">
        <v>2433</v>
      </c>
      <c r="C876" s="102">
        <v>1.0</v>
      </c>
      <c r="D876" s="103">
        <v>1450000.0</v>
      </c>
      <c r="E876" s="29">
        <v>0.0</v>
      </c>
    </row>
    <row r="877">
      <c r="A877" s="26" t="s">
        <v>1551</v>
      </c>
      <c r="B877" s="26" t="s">
        <v>2429</v>
      </c>
      <c r="C877" s="102">
        <v>24.0</v>
      </c>
      <c r="D877" s="103">
        <v>45000.0</v>
      </c>
      <c r="E877" s="29">
        <v>0.0</v>
      </c>
    </row>
    <row r="878">
      <c r="A878" s="26" t="s">
        <v>1552</v>
      </c>
      <c r="B878" s="26" t="s">
        <v>2433</v>
      </c>
      <c r="C878" s="102">
        <v>1.0</v>
      </c>
      <c r="D878" s="103">
        <v>1450000.0</v>
      </c>
      <c r="E878" s="29">
        <v>0.0</v>
      </c>
    </row>
    <row r="879">
      <c r="A879" s="26" t="s">
        <v>1553</v>
      </c>
      <c r="B879" s="26" t="s">
        <v>2440</v>
      </c>
      <c r="C879" s="102">
        <v>2.0</v>
      </c>
      <c r="D879" s="104">
        <v>2500000.0</v>
      </c>
      <c r="E879" s="29">
        <v>0.0</v>
      </c>
    </row>
    <row r="880">
      <c r="A880" s="26" t="s">
        <v>1553</v>
      </c>
      <c r="B880" s="26" t="s">
        <v>2433</v>
      </c>
      <c r="C880" s="102">
        <v>6.0</v>
      </c>
      <c r="D880" s="104">
        <v>1450000.0</v>
      </c>
      <c r="E880" s="29">
        <v>0.0</v>
      </c>
    </row>
    <row r="881">
      <c r="A881" s="26" t="s">
        <v>1553</v>
      </c>
      <c r="B881" s="26" t="s">
        <v>2432</v>
      </c>
      <c r="C881" s="102">
        <v>10.0</v>
      </c>
      <c r="D881" s="104">
        <v>1480000.0</v>
      </c>
      <c r="E881" s="29">
        <v>0.0</v>
      </c>
    </row>
    <row r="882">
      <c r="A882" s="26" t="s">
        <v>1553</v>
      </c>
      <c r="B882" s="26" t="s">
        <v>2431</v>
      </c>
      <c r="C882" s="102">
        <v>10.0</v>
      </c>
      <c r="D882" s="104">
        <v>2380000.0</v>
      </c>
      <c r="E882" s="29">
        <v>0.0</v>
      </c>
    </row>
    <row r="883">
      <c r="A883" s="26" t="s">
        <v>1553</v>
      </c>
      <c r="B883" s="26" t="s">
        <v>2426</v>
      </c>
      <c r="C883" s="102">
        <v>120.0</v>
      </c>
      <c r="D883" s="104">
        <v>55000.0</v>
      </c>
      <c r="E883" s="29">
        <v>0.0</v>
      </c>
    </row>
    <row r="884">
      <c r="A884" s="26" t="s">
        <v>1553</v>
      </c>
      <c r="B884" s="26" t="s">
        <v>2429</v>
      </c>
      <c r="C884" s="102">
        <v>360.0</v>
      </c>
      <c r="D884" s="103">
        <v>45000.0</v>
      </c>
      <c r="E884" s="29">
        <v>0.0</v>
      </c>
    </row>
    <row r="885">
      <c r="A885" s="26" t="s">
        <v>1553</v>
      </c>
      <c r="B885" s="26" t="s">
        <v>2427</v>
      </c>
      <c r="C885" s="102">
        <v>48.0</v>
      </c>
      <c r="D885" s="103">
        <v>600000.0</v>
      </c>
      <c r="E885" s="29">
        <v>0.0</v>
      </c>
    </row>
    <row r="886">
      <c r="A886" s="29" t="s">
        <v>1554</v>
      </c>
      <c r="B886" s="26" t="s">
        <v>2425</v>
      </c>
      <c r="C886" s="102">
        <v>1.0</v>
      </c>
      <c r="D886" s="103">
        <v>1875000.0</v>
      </c>
      <c r="E886" s="29">
        <v>281250.0</v>
      </c>
    </row>
    <row r="887">
      <c r="A887" s="26" t="s">
        <v>1555</v>
      </c>
      <c r="B887" s="26" t="s">
        <v>2426</v>
      </c>
      <c r="C887" s="102">
        <v>24.0</v>
      </c>
      <c r="D887" s="103">
        <v>55000.0</v>
      </c>
      <c r="E887" s="26">
        <v>0.0</v>
      </c>
    </row>
    <row r="888">
      <c r="A888" s="26" t="s">
        <v>1555</v>
      </c>
      <c r="B888" s="26" t="s">
        <v>2429</v>
      </c>
      <c r="C888" s="102">
        <v>24.0</v>
      </c>
      <c r="D888" s="103">
        <v>45000.0</v>
      </c>
      <c r="E888" s="26">
        <v>0.0</v>
      </c>
    </row>
    <row r="889">
      <c r="A889" s="26" t="s">
        <v>1556</v>
      </c>
      <c r="B889" s="26" t="s">
        <v>2433</v>
      </c>
      <c r="C889" s="102">
        <v>1.0</v>
      </c>
      <c r="D889" s="104">
        <v>1450000.0</v>
      </c>
      <c r="E889" s="26">
        <v>0.0</v>
      </c>
    </row>
    <row r="890">
      <c r="A890" s="29" t="s">
        <v>1557</v>
      </c>
      <c r="B890" s="26" t="s">
        <v>2432</v>
      </c>
      <c r="C890" s="102">
        <v>1.0</v>
      </c>
      <c r="D890" s="104">
        <v>1480000.0</v>
      </c>
      <c r="E890" s="29">
        <v>296000.0</v>
      </c>
    </row>
    <row r="891">
      <c r="A891" s="29" t="s">
        <v>1557</v>
      </c>
      <c r="B891" s="26" t="s">
        <v>2431</v>
      </c>
      <c r="C891" s="102">
        <v>1.0</v>
      </c>
      <c r="D891" s="103">
        <v>2380000.0</v>
      </c>
      <c r="E891" s="29">
        <v>476000.0</v>
      </c>
    </row>
    <row r="892">
      <c r="A892" s="26" t="s">
        <v>1557</v>
      </c>
      <c r="B892" s="26" t="s">
        <v>2437</v>
      </c>
      <c r="C892" s="102">
        <v>12.0</v>
      </c>
      <c r="D892" s="103">
        <v>0.0</v>
      </c>
      <c r="E892" s="26">
        <v>0.0</v>
      </c>
      <c r="F892" s="26" t="s">
        <v>2438</v>
      </c>
    </row>
    <row r="893">
      <c r="A893" s="26" t="s">
        <v>1558</v>
      </c>
      <c r="B893" s="26" t="s">
        <v>2429</v>
      </c>
      <c r="C893" s="102">
        <v>24.0</v>
      </c>
      <c r="D893" s="103">
        <v>45000.0</v>
      </c>
      <c r="E893" s="26">
        <v>0.0</v>
      </c>
    </row>
    <row r="894">
      <c r="A894" s="26" t="s">
        <v>1560</v>
      </c>
      <c r="B894" s="26" t="s">
        <v>2426</v>
      </c>
      <c r="C894" s="102">
        <v>96.0</v>
      </c>
      <c r="D894" s="104">
        <v>55000.0</v>
      </c>
      <c r="E894" s="26">
        <v>0.0</v>
      </c>
    </row>
    <row r="895">
      <c r="A895" s="26" t="s">
        <v>1560</v>
      </c>
      <c r="B895" s="26" t="s">
        <v>2426</v>
      </c>
      <c r="C895" s="102">
        <v>24.0</v>
      </c>
      <c r="D895" s="104">
        <v>0.0</v>
      </c>
      <c r="E895" s="26">
        <v>0.0</v>
      </c>
      <c r="F895" s="26" t="s">
        <v>2436</v>
      </c>
    </row>
    <row r="896">
      <c r="A896" s="26" t="s">
        <v>1561</v>
      </c>
      <c r="B896" s="26" t="s">
        <v>2429</v>
      </c>
      <c r="C896" s="102">
        <v>24.0</v>
      </c>
      <c r="D896" s="104">
        <v>45000.0</v>
      </c>
      <c r="E896" s="26">
        <v>0.0</v>
      </c>
    </row>
    <row r="897">
      <c r="A897" s="26" t="s">
        <v>1562</v>
      </c>
      <c r="B897" s="26" t="s">
        <v>2433</v>
      </c>
      <c r="C897" s="102">
        <v>1.0</v>
      </c>
      <c r="D897" s="104">
        <v>1450000.0</v>
      </c>
      <c r="E897" s="26">
        <v>0.0</v>
      </c>
    </row>
    <row r="898">
      <c r="A898" s="26" t="s">
        <v>1563</v>
      </c>
      <c r="B898" s="26" t="s">
        <v>2429</v>
      </c>
      <c r="C898" s="102">
        <v>120.0</v>
      </c>
      <c r="D898" s="104">
        <v>70000.0</v>
      </c>
      <c r="E898" s="26">
        <v>0.0</v>
      </c>
    </row>
    <row r="899">
      <c r="A899" s="26" t="s">
        <v>1563</v>
      </c>
      <c r="B899" s="26" t="s">
        <v>2429</v>
      </c>
      <c r="C899" s="102">
        <v>24.0</v>
      </c>
      <c r="D899" s="104">
        <v>0.0</v>
      </c>
      <c r="E899" s="26">
        <v>0.0</v>
      </c>
      <c r="F899" s="26" t="s">
        <v>2436</v>
      </c>
    </row>
    <row r="900">
      <c r="A900" s="26" t="s">
        <v>1564</v>
      </c>
      <c r="B900" s="26" t="s">
        <v>2433</v>
      </c>
      <c r="C900" s="102">
        <v>1.0</v>
      </c>
      <c r="D900" s="104">
        <v>1450000.0</v>
      </c>
      <c r="E900" s="26">
        <v>0.0</v>
      </c>
    </row>
    <row r="901">
      <c r="A901" s="26" t="s">
        <v>1564</v>
      </c>
      <c r="B901" s="26" t="s">
        <v>2425</v>
      </c>
      <c r="C901" s="102">
        <v>1.0</v>
      </c>
      <c r="D901" s="104">
        <v>1875000.0</v>
      </c>
      <c r="E901" s="26">
        <v>0.0</v>
      </c>
    </row>
    <row r="902">
      <c r="A902" s="26" t="s">
        <v>1565</v>
      </c>
      <c r="B902" s="26" t="s">
        <v>2429</v>
      </c>
      <c r="C902" s="102">
        <v>24.0</v>
      </c>
      <c r="D902" s="104">
        <v>45000.0</v>
      </c>
      <c r="E902" s="26">
        <v>0.0</v>
      </c>
    </row>
    <row r="903">
      <c r="A903" s="26" t="s">
        <v>1566</v>
      </c>
      <c r="B903" s="26" t="s">
        <v>2439</v>
      </c>
      <c r="C903" s="102">
        <v>1.0</v>
      </c>
      <c r="D903" s="104">
        <v>0.0</v>
      </c>
      <c r="E903" s="26">
        <v>0.0</v>
      </c>
      <c r="F903" s="26" t="s">
        <v>2438</v>
      </c>
    </row>
    <row r="904">
      <c r="A904" s="26" t="s">
        <v>1567</v>
      </c>
      <c r="B904" s="26" t="s">
        <v>2481</v>
      </c>
      <c r="C904" s="102">
        <v>1000.0</v>
      </c>
      <c r="D904" s="104">
        <v>3616.0</v>
      </c>
      <c r="E904" s="26">
        <v>0.0</v>
      </c>
    </row>
    <row r="905">
      <c r="A905" s="26" t="s">
        <v>1568</v>
      </c>
      <c r="B905" s="26" t="s">
        <v>2433</v>
      </c>
      <c r="C905" s="102">
        <v>2.0</v>
      </c>
      <c r="D905" s="103">
        <v>0.0</v>
      </c>
      <c r="E905" s="26">
        <v>0.0</v>
      </c>
      <c r="F905" s="26" t="s">
        <v>2482</v>
      </c>
    </row>
    <row r="906">
      <c r="A906" s="26" t="s">
        <v>1568</v>
      </c>
      <c r="B906" s="26" t="s">
        <v>2425</v>
      </c>
      <c r="C906" s="102">
        <v>1.0</v>
      </c>
      <c r="D906" s="103">
        <v>0.0</v>
      </c>
      <c r="E906" s="26">
        <v>0.0</v>
      </c>
      <c r="F906" s="26" t="s">
        <v>2482</v>
      </c>
    </row>
    <row r="907">
      <c r="A907" s="26" t="s">
        <v>1568</v>
      </c>
      <c r="B907" s="26" t="s">
        <v>2431</v>
      </c>
      <c r="C907" s="102">
        <v>2.0</v>
      </c>
      <c r="D907" s="103">
        <v>0.0</v>
      </c>
      <c r="E907" s="26">
        <v>0.0</v>
      </c>
      <c r="F907" s="26" t="s">
        <v>2482</v>
      </c>
    </row>
    <row r="908">
      <c r="A908" s="26" t="s">
        <v>1568</v>
      </c>
      <c r="B908" s="26" t="s">
        <v>2440</v>
      </c>
      <c r="C908" s="102">
        <v>2.0</v>
      </c>
      <c r="D908" s="103">
        <v>0.0</v>
      </c>
      <c r="E908" s="26">
        <v>0.0</v>
      </c>
      <c r="F908" s="26" t="s">
        <v>2482</v>
      </c>
    </row>
    <row r="909">
      <c r="A909" s="26" t="s">
        <v>1568</v>
      </c>
      <c r="B909" s="26" t="s">
        <v>2434</v>
      </c>
      <c r="C909" s="102">
        <v>2.0</v>
      </c>
      <c r="D909" s="103">
        <v>0.0</v>
      </c>
      <c r="E909" s="26">
        <v>0.0</v>
      </c>
      <c r="F909" s="26" t="s">
        <v>2482</v>
      </c>
    </row>
    <row r="910">
      <c r="A910" s="26" t="s">
        <v>1568</v>
      </c>
      <c r="B910" s="26" t="s">
        <v>2429</v>
      </c>
      <c r="C910" s="102">
        <v>48.0</v>
      </c>
      <c r="D910" s="103">
        <v>0.0</v>
      </c>
      <c r="E910" s="26">
        <v>0.0</v>
      </c>
      <c r="F910" s="26" t="s">
        <v>2482</v>
      </c>
    </row>
    <row r="911">
      <c r="A911" s="26" t="s">
        <v>1568</v>
      </c>
      <c r="B911" s="26" t="s">
        <v>2428</v>
      </c>
      <c r="C911" s="102">
        <v>48.0</v>
      </c>
      <c r="D911" s="103">
        <v>0.0</v>
      </c>
      <c r="E911" s="26">
        <v>0.0</v>
      </c>
      <c r="F911" s="26" t="s">
        <v>2482</v>
      </c>
    </row>
    <row r="912">
      <c r="A912" s="26" t="s">
        <v>1568</v>
      </c>
      <c r="B912" s="26" t="s">
        <v>2426</v>
      </c>
      <c r="C912" s="102">
        <v>24.0</v>
      </c>
      <c r="D912" s="103">
        <v>0.0</v>
      </c>
      <c r="E912" s="26">
        <v>0.0</v>
      </c>
      <c r="F912" s="26" t="s">
        <v>2482</v>
      </c>
    </row>
    <row r="913">
      <c r="A913" s="26" t="s">
        <v>1568</v>
      </c>
      <c r="B913" s="26" t="s">
        <v>2476</v>
      </c>
      <c r="C913" s="102">
        <v>19.0</v>
      </c>
      <c r="D913" s="103">
        <v>0.0</v>
      </c>
      <c r="E913" s="26">
        <v>0.0</v>
      </c>
      <c r="F913" s="26" t="s">
        <v>2482</v>
      </c>
    </row>
    <row r="914">
      <c r="A914" s="26" t="s">
        <v>1568</v>
      </c>
      <c r="B914" s="26" t="s">
        <v>2483</v>
      </c>
      <c r="C914" s="102">
        <v>6.0</v>
      </c>
      <c r="D914" s="103">
        <v>0.0</v>
      </c>
      <c r="E914" s="26">
        <v>0.0</v>
      </c>
      <c r="F914" s="26" t="s">
        <v>2482</v>
      </c>
    </row>
    <row r="915">
      <c r="A915" s="26" t="s">
        <v>1568</v>
      </c>
      <c r="B915" s="26" t="s">
        <v>2458</v>
      </c>
      <c r="C915" s="102">
        <v>24.0</v>
      </c>
      <c r="D915" s="103">
        <v>0.0</v>
      </c>
      <c r="E915" s="26">
        <v>0.0</v>
      </c>
      <c r="F915" s="26" t="s">
        <v>2482</v>
      </c>
    </row>
    <row r="916">
      <c r="A916" s="26" t="s">
        <v>1568</v>
      </c>
      <c r="B916" s="26" t="s">
        <v>2427</v>
      </c>
      <c r="C916" s="102">
        <v>24.0</v>
      </c>
      <c r="D916" s="103">
        <v>0.0</v>
      </c>
      <c r="E916" s="26">
        <v>0.0</v>
      </c>
      <c r="F916" s="26" t="s">
        <v>2482</v>
      </c>
    </row>
    <row r="917">
      <c r="A917" s="26" t="s">
        <v>1568</v>
      </c>
      <c r="B917" s="26" t="s">
        <v>2435</v>
      </c>
      <c r="C917" s="102">
        <v>24.0</v>
      </c>
      <c r="D917" s="103">
        <v>0.0</v>
      </c>
      <c r="E917" s="26">
        <v>0.0</v>
      </c>
      <c r="F917" s="26" t="s">
        <v>2482</v>
      </c>
    </row>
    <row r="918">
      <c r="A918" s="26" t="s">
        <v>1568</v>
      </c>
      <c r="B918" s="26" t="s">
        <v>2437</v>
      </c>
      <c r="C918" s="102">
        <v>144.0</v>
      </c>
      <c r="D918" s="103">
        <v>0.0</v>
      </c>
      <c r="E918" s="26">
        <v>0.0</v>
      </c>
      <c r="F918" s="26" t="s">
        <v>2482</v>
      </c>
    </row>
    <row r="919">
      <c r="A919" s="26" t="s">
        <v>1568</v>
      </c>
      <c r="B919" s="26" t="s">
        <v>2484</v>
      </c>
      <c r="C919" s="102">
        <v>1.0</v>
      </c>
      <c r="D919" s="103">
        <v>0.0</v>
      </c>
      <c r="E919" s="26">
        <v>0.0</v>
      </c>
      <c r="F919" s="26" t="s">
        <v>2482</v>
      </c>
    </row>
    <row r="920">
      <c r="A920" s="26" t="s">
        <v>1568</v>
      </c>
      <c r="B920" s="26" t="s">
        <v>2461</v>
      </c>
      <c r="C920" s="102">
        <v>1.0</v>
      </c>
      <c r="D920" s="103">
        <v>0.0</v>
      </c>
      <c r="E920" s="26">
        <v>0.0</v>
      </c>
      <c r="F920" s="26" t="s">
        <v>2482</v>
      </c>
    </row>
    <row r="921">
      <c r="A921" s="26" t="s">
        <v>1568</v>
      </c>
      <c r="B921" s="26" t="s">
        <v>2445</v>
      </c>
      <c r="C921" s="102">
        <v>2.0</v>
      </c>
      <c r="D921" s="103">
        <v>0.0</v>
      </c>
      <c r="E921" s="26">
        <v>0.0</v>
      </c>
      <c r="F921" s="26" t="s">
        <v>2482</v>
      </c>
    </row>
    <row r="922">
      <c r="A922" s="26" t="s">
        <v>1568</v>
      </c>
      <c r="B922" s="26" t="s">
        <v>2485</v>
      </c>
      <c r="C922" s="102">
        <v>2.0</v>
      </c>
      <c r="D922" s="103">
        <v>0.0</v>
      </c>
      <c r="E922" s="26">
        <v>0.0</v>
      </c>
      <c r="F922" s="26" t="s">
        <v>2482</v>
      </c>
    </row>
    <row r="923">
      <c r="A923" s="26" t="s">
        <v>1568</v>
      </c>
      <c r="B923" s="26" t="s">
        <v>2462</v>
      </c>
      <c r="C923" s="102">
        <v>400.0</v>
      </c>
      <c r="D923" s="103">
        <v>0.0</v>
      </c>
      <c r="E923" s="26">
        <v>0.0</v>
      </c>
      <c r="F923" s="26" t="s">
        <v>2482</v>
      </c>
    </row>
    <row r="924">
      <c r="A924" s="26" t="s">
        <v>1568</v>
      </c>
      <c r="B924" s="26" t="s">
        <v>2466</v>
      </c>
      <c r="C924" s="102">
        <v>6.0</v>
      </c>
      <c r="D924" s="103">
        <v>0.0</v>
      </c>
      <c r="E924" s="26">
        <v>0.0</v>
      </c>
      <c r="F924" s="26" t="s">
        <v>2482</v>
      </c>
    </row>
    <row r="925">
      <c r="A925" s="26" t="s">
        <v>1568</v>
      </c>
      <c r="B925" s="26" t="s">
        <v>2467</v>
      </c>
      <c r="C925" s="102">
        <v>1.0</v>
      </c>
      <c r="D925" s="103">
        <v>0.0</v>
      </c>
      <c r="E925" s="26">
        <v>0.0</v>
      </c>
      <c r="F925" s="26" t="s">
        <v>2482</v>
      </c>
    </row>
    <row r="926">
      <c r="A926" s="26" t="s">
        <v>1568</v>
      </c>
      <c r="B926" s="26" t="s">
        <v>2468</v>
      </c>
      <c r="C926" s="102">
        <v>1.0</v>
      </c>
      <c r="D926" s="103">
        <v>0.0</v>
      </c>
      <c r="E926" s="26">
        <v>0.0</v>
      </c>
      <c r="F926" s="26" t="s">
        <v>2482</v>
      </c>
    </row>
    <row r="927">
      <c r="A927" s="26" t="s">
        <v>1568</v>
      </c>
      <c r="B927" s="26" t="s">
        <v>2442</v>
      </c>
      <c r="C927" s="102">
        <v>500.0</v>
      </c>
      <c r="D927" s="103">
        <v>0.0</v>
      </c>
      <c r="E927" s="26">
        <v>0.0</v>
      </c>
      <c r="F927" s="26" t="s">
        <v>2482</v>
      </c>
    </row>
    <row r="928">
      <c r="A928" s="26" t="s">
        <v>1568</v>
      </c>
      <c r="B928" s="26" t="s">
        <v>2486</v>
      </c>
      <c r="C928" s="102">
        <v>500.0</v>
      </c>
      <c r="D928" s="103">
        <v>0.0</v>
      </c>
      <c r="E928" s="26">
        <v>0.0</v>
      </c>
      <c r="F928" s="26" t="s">
        <v>2482</v>
      </c>
    </row>
    <row r="929">
      <c r="A929" s="26" t="s">
        <v>1568</v>
      </c>
      <c r="B929" s="26" t="s">
        <v>2469</v>
      </c>
      <c r="C929" s="102">
        <v>1.0</v>
      </c>
      <c r="D929" s="103">
        <v>0.0</v>
      </c>
      <c r="E929" s="26">
        <v>0.0</v>
      </c>
      <c r="F929" s="26" t="s">
        <v>2482</v>
      </c>
    </row>
    <row r="930">
      <c r="A930" s="26" t="s">
        <v>1568</v>
      </c>
      <c r="B930" s="26" t="s">
        <v>2470</v>
      </c>
      <c r="C930" s="102">
        <v>5.0</v>
      </c>
      <c r="D930" s="103">
        <v>0.0</v>
      </c>
      <c r="E930" s="26">
        <v>0.0</v>
      </c>
      <c r="F930" s="26" t="s">
        <v>2482</v>
      </c>
    </row>
    <row r="931">
      <c r="A931" s="26" t="s">
        <v>1568</v>
      </c>
      <c r="B931" s="26" t="s">
        <v>2471</v>
      </c>
      <c r="C931" s="102">
        <v>10.0</v>
      </c>
      <c r="D931" s="103">
        <v>0.0</v>
      </c>
      <c r="E931" s="26">
        <v>0.0</v>
      </c>
      <c r="F931" s="26" t="s">
        <v>2482</v>
      </c>
    </row>
    <row r="932">
      <c r="A932" s="26" t="s">
        <v>1568</v>
      </c>
      <c r="B932" s="26" t="s">
        <v>2472</v>
      </c>
      <c r="C932" s="102">
        <v>10.0</v>
      </c>
      <c r="D932" s="103">
        <v>0.0</v>
      </c>
      <c r="E932" s="26">
        <v>0.0</v>
      </c>
      <c r="F932" s="26" t="s">
        <v>2482</v>
      </c>
    </row>
    <row r="933">
      <c r="A933" s="26" t="s">
        <v>1568</v>
      </c>
      <c r="B933" s="26" t="s">
        <v>2457</v>
      </c>
      <c r="C933" s="102">
        <v>200.0</v>
      </c>
      <c r="D933" s="103">
        <v>0.0</v>
      </c>
      <c r="E933" s="26">
        <v>0.0</v>
      </c>
      <c r="F933" s="26" t="s">
        <v>2482</v>
      </c>
    </row>
    <row r="934">
      <c r="A934" s="26" t="s">
        <v>1570</v>
      </c>
      <c r="B934" s="26" t="s">
        <v>2425</v>
      </c>
      <c r="C934" s="102">
        <v>1.0</v>
      </c>
      <c r="D934" s="104">
        <v>1875000.0</v>
      </c>
      <c r="E934" s="26">
        <v>0.0</v>
      </c>
    </row>
    <row r="935">
      <c r="A935" s="26" t="s">
        <v>1571</v>
      </c>
      <c r="B935" s="26" t="s">
        <v>2429</v>
      </c>
      <c r="C935" s="102">
        <v>24.0</v>
      </c>
      <c r="D935" s="104">
        <v>45000.0</v>
      </c>
      <c r="E935" s="26">
        <v>0.0</v>
      </c>
    </row>
    <row r="936">
      <c r="A936" s="26" t="s">
        <v>1571</v>
      </c>
      <c r="B936" s="26" t="s">
        <v>2427</v>
      </c>
      <c r="C936" s="102">
        <v>2.0</v>
      </c>
      <c r="D936" s="103">
        <v>0.0</v>
      </c>
      <c r="E936" s="26">
        <v>0.0</v>
      </c>
      <c r="F936" s="26" t="s">
        <v>1522</v>
      </c>
    </row>
    <row r="937">
      <c r="A937" s="26" t="s">
        <v>1571</v>
      </c>
      <c r="B937" s="26" t="s">
        <v>2458</v>
      </c>
      <c r="C937" s="102">
        <v>2.0</v>
      </c>
      <c r="D937" s="104">
        <v>0.0</v>
      </c>
      <c r="E937" s="26">
        <v>0.0</v>
      </c>
      <c r="F937" s="26" t="s">
        <v>1522</v>
      </c>
    </row>
    <row r="938">
      <c r="A938" s="29" t="s">
        <v>1572</v>
      </c>
      <c r="B938" s="26" t="s">
        <v>2432</v>
      </c>
      <c r="C938" s="102">
        <v>1.0</v>
      </c>
      <c r="D938" s="104">
        <v>1480000.0</v>
      </c>
      <c r="E938" s="29">
        <v>296000.0</v>
      </c>
    </row>
    <row r="939">
      <c r="A939" s="29" t="s">
        <v>1572</v>
      </c>
      <c r="B939" s="26" t="s">
        <v>2433</v>
      </c>
      <c r="C939" s="102">
        <v>1.0</v>
      </c>
      <c r="D939" s="104">
        <v>1450000.0</v>
      </c>
      <c r="E939" s="29">
        <v>290000.0</v>
      </c>
    </row>
    <row r="940">
      <c r="A940" s="29" t="s">
        <v>1572</v>
      </c>
      <c r="B940" s="26" t="s">
        <v>2425</v>
      </c>
      <c r="C940" s="102">
        <v>1.0</v>
      </c>
      <c r="D940" s="104">
        <v>1875000.0</v>
      </c>
      <c r="E940" s="29">
        <v>375000.0</v>
      </c>
    </row>
    <row r="941">
      <c r="A941" s="26" t="s">
        <v>1573</v>
      </c>
      <c r="B941" s="26" t="s">
        <v>2427</v>
      </c>
      <c r="C941" s="102">
        <v>3.0</v>
      </c>
      <c r="D941" s="104">
        <v>0.0</v>
      </c>
      <c r="E941" s="26">
        <v>0.0</v>
      </c>
      <c r="F941" s="26" t="s">
        <v>1522</v>
      </c>
    </row>
    <row r="942">
      <c r="A942" s="26" t="s">
        <v>1575</v>
      </c>
      <c r="B942" s="26" t="s">
        <v>2429</v>
      </c>
      <c r="C942" s="102">
        <v>24.0</v>
      </c>
      <c r="D942" s="104">
        <v>70000.0</v>
      </c>
      <c r="E942" s="26">
        <v>0.0</v>
      </c>
    </row>
    <row r="943">
      <c r="A943" s="26" t="s">
        <v>1576</v>
      </c>
      <c r="B943" s="26" t="s">
        <v>2426</v>
      </c>
      <c r="C943" s="102">
        <v>24.0</v>
      </c>
      <c r="D943" s="104">
        <v>55000.0</v>
      </c>
      <c r="E943" s="26">
        <v>0.0</v>
      </c>
    </row>
    <row r="944">
      <c r="A944" s="26" t="s">
        <v>1577</v>
      </c>
      <c r="B944" s="26" t="s">
        <v>2428</v>
      </c>
      <c r="C944" s="102">
        <v>3.0</v>
      </c>
      <c r="D944" s="104">
        <v>0.0</v>
      </c>
      <c r="E944" s="26">
        <v>0.0</v>
      </c>
      <c r="F944" s="26" t="s">
        <v>1522</v>
      </c>
    </row>
    <row r="945">
      <c r="A945" s="26" t="s">
        <v>1577</v>
      </c>
      <c r="B945" s="26" t="s">
        <v>2430</v>
      </c>
      <c r="C945" s="102">
        <v>3.0</v>
      </c>
      <c r="D945" s="104">
        <v>0.0</v>
      </c>
      <c r="E945" s="26">
        <v>0.0</v>
      </c>
      <c r="F945" s="26" t="s">
        <v>1522</v>
      </c>
    </row>
    <row r="946">
      <c r="A946" s="26" t="s">
        <v>1577</v>
      </c>
      <c r="B946" s="26" t="s">
        <v>2426</v>
      </c>
      <c r="C946" s="102">
        <v>3.0</v>
      </c>
      <c r="D946" s="104">
        <v>0.0</v>
      </c>
      <c r="E946" s="26">
        <v>0.0</v>
      </c>
      <c r="F946" s="26" t="s">
        <v>1522</v>
      </c>
    </row>
    <row r="947">
      <c r="A947" s="26" t="s">
        <v>1577</v>
      </c>
      <c r="B947" s="26" t="s">
        <v>2429</v>
      </c>
      <c r="C947" s="102">
        <v>3.0</v>
      </c>
      <c r="D947" s="104">
        <v>0.0</v>
      </c>
      <c r="E947" s="26">
        <v>0.0</v>
      </c>
      <c r="F947" s="26" t="s">
        <v>1522</v>
      </c>
    </row>
    <row r="948">
      <c r="A948" s="26" t="s">
        <v>1577</v>
      </c>
      <c r="B948" s="26" t="s">
        <v>2435</v>
      </c>
      <c r="C948" s="102">
        <v>3.0</v>
      </c>
      <c r="D948" s="104">
        <v>0.0</v>
      </c>
      <c r="E948" s="26">
        <v>0.0</v>
      </c>
      <c r="F948" s="26" t="s">
        <v>1522</v>
      </c>
    </row>
    <row r="949">
      <c r="A949" s="26" t="s">
        <v>1577</v>
      </c>
      <c r="B949" s="26" t="s">
        <v>2458</v>
      </c>
      <c r="C949" s="102">
        <v>3.0</v>
      </c>
      <c r="D949" s="104">
        <v>0.0</v>
      </c>
      <c r="E949" s="26">
        <v>0.0</v>
      </c>
      <c r="F949" s="26" t="s">
        <v>1522</v>
      </c>
    </row>
    <row r="950">
      <c r="A950" s="26" t="s">
        <v>1577</v>
      </c>
      <c r="B950" s="26" t="s">
        <v>2427</v>
      </c>
      <c r="C950" s="102">
        <v>3.0</v>
      </c>
      <c r="D950" s="104">
        <v>0.0</v>
      </c>
      <c r="E950" s="26">
        <v>0.0</v>
      </c>
      <c r="F950" s="26" t="s">
        <v>1522</v>
      </c>
    </row>
    <row r="951">
      <c r="A951" s="26" t="s">
        <v>1577</v>
      </c>
      <c r="B951" s="26" t="s">
        <v>2483</v>
      </c>
      <c r="C951" s="102">
        <v>3.0</v>
      </c>
      <c r="D951" s="104">
        <v>0.0</v>
      </c>
      <c r="E951" s="26">
        <v>0.0</v>
      </c>
      <c r="F951" s="26" t="s">
        <v>1522</v>
      </c>
    </row>
    <row r="952">
      <c r="A952" s="26" t="s">
        <v>1578</v>
      </c>
      <c r="B952" s="26" t="s">
        <v>2430</v>
      </c>
      <c r="C952" s="102">
        <v>1.0</v>
      </c>
      <c r="D952" s="104">
        <v>0.0</v>
      </c>
      <c r="E952" s="26">
        <v>0.0</v>
      </c>
      <c r="F952" s="26" t="s">
        <v>1522</v>
      </c>
    </row>
    <row r="953">
      <c r="A953" s="26" t="s">
        <v>1578</v>
      </c>
      <c r="B953" s="26" t="s">
        <v>2426</v>
      </c>
      <c r="C953" s="102">
        <v>1.0</v>
      </c>
      <c r="D953" s="104">
        <v>0.0</v>
      </c>
      <c r="E953" s="26">
        <v>0.0</v>
      </c>
      <c r="F953" s="26" t="s">
        <v>1522</v>
      </c>
    </row>
    <row r="954">
      <c r="A954" s="26" t="s">
        <v>1578</v>
      </c>
      <c r="B954" s="26" t="s">
        <v>2435</v>
      </c>
      <c r="C954" s="102">
        <v>1.0</v>
      </c>
      <c r="D954" s="104">
        <v>0.0</v>
      </c>
      <c r="E954" s="26">
        <v>0.0</v>
      </c>
      <c r="F954" s="26" t="s">
        <v>1522</v>
      </c>
    </row>
    <row r="955">
      <c r="A955" s="26" t="s">
        <v>1578</v>
      </c>
      <c r="B955" s="26" t="s">
        <v>2458</v>
      </c>
      <c r="C955" s="102">
        <v>1.0</v>
      </c>
      <c r="D955" s="104">
        <v>0.0</v>
      </c>
      <c r="E955" s="26">
        <v>0.0</v>
      </c>
      <c r="F955" s="26" t="s">
        <v>1522</v>
      </c>
    </row>
    <row r="956">
      <c r="A956" s="26" t="s">
        <v>1578</v>
      </c>
      <c r="B956" s="26" t="s">
        <v>2483</v>
      </c>
      <c r="C956" s="102">
        <v>1.0</v>
      </c>
      <c r="D956" s="104">
        <v>0.0</v>
      </c>
      <c r="E956" s="26">
        <v>0.0</v>
      </c>
      <c r="F956" s="26" t="s">
        <v>1522</v>
      </c>
    </row>
    <row r="957">
      <c r="A957" s="26" t="s">
        <v>1578</v>
      </c>
      <c r="B957" s="26" t="s">
        <v>2427</v>
      </c>
      <c r="C957" s="102">
        <v>1.0</v>
      </c>
      <c r="D957" s="104">
        <v>0.0</v>
      </c>
      <c r="E957" s="26">
        <v>0.0</v>
      </c>
      <c r="F957" s="26" t="s">
        <v>1522</v>
      </c>
    </row>
    <row r="958">
      <c r="A958" s="26" t="s">
        <v>1579</v>
      </c>
      <c r="B958" s="26" t="s">
        <v>2430</v>
      </c>
      <c r="C958" s="102">
        <v>12.0</v>
      </c>
      <c r="D958" s="104">
        <v>45000.0</v>
      </c>
      <c r="E958" s="26">
        <v>0.0</v>
      </c>
    </row>
    <row r="959">
      <c r="A959" s="26" t="s">
        <v>1579</v>
      </c>
      <c r="B959" s="26" t="s">
        <v>2426</v>
      </c>
      <c r="C959" s="102">
        <v>12.0</v>
      </c>
      <c r="D959" s="104">
        <v>55000.0</v>
      </c>
      <c r="E959" s="26">
        <v>0.0</v>
      </c>
    </row>
    <row r="960">
      <c r="A960" s="29" t="s">
        <v>1580</v>
      </c>
      <c r="B960" s="26" t="s">
        <v>2432</v>
      </c>
      <c r="C960" s="102">
        <v>1.0</v>
      </c>
      <c r="D960" s="104">
        <v>1480000.0</v>
      </c>
      <c r="E960" s="29">
        <v>296000.0</v>
      </c>
    </row>
    <row r="961">
      <c r="A961" s="29" t="s">
        <v>1580</v>
      </c>
      <c r="B961" s="26" t="s">
        <v>2433</v>
      </c>
      <c r="C961" s="102">
        <v>1.0</v>
      </c>
      <c r="D961" s="104">
        <v>1450000.0</v>
      </c>
      <c r="E961" s="29">
        <v>290000.0</v>
      </c>
    </row>
    <row r="962">
      <c r="A962" s="29" t="s">
        <v>1580</v>
      </c>
      <c r="B962" s="26" t="s">
        <v>2431</v>
      </c>
      <c r="C962" s="102">
        <v>1.0</v>
      </c>
      <c r="D962" s="104">
        <v>2380000.0</v>
      </c>
      <c r="E962" s="29">
        <v>476000.0</v>
      </c>
    </row>
    <row r="963">
      <c r="A963" s="26" t="s">
        <v>1581</v>
      </c>
      <c r="B963" s="26" t="s">
        <v>2433</v>
      </c>
      <c r="C963" s="102">
        <v>1.0</v>
      </c>
      <c r="D963" s="103">
        <v>1450000.0</v>
      </c>
      <c r="E963" s="29">
        <v>0.0</v>
      </c>
    </row>
    <row r="964">
      <c r="A964" s="26" t="s">
        <v>1582</v>
      </c>
      <c r="B964" s="26" t="s">
        <v>2433</v>
      </c>
      <c r="C964" s="102">
        <v>1.0</v>
      </c>
      <c r="D964" s="104">
        <v>1450000.0</v>
      </c>
      <c r="E964" s="29">
        <v>0.0</v>
      </c>
    </row>
    <row r="965">
      <c r="A965" s="26" t="s">
        <v>1583</v>
      </c>
      <c r="B965" s="26" t="s">
        <v>2431</v>
      </c>
      <c r="C965" s="102">
        <v>1.0</v>
      </c>
      <c r="D965" s="104">
        <v>2380000.0</v>
      </c>
      <c r="E965" s="29">
        <v>0.0</v>
      </c>
    </row>
    <row r="966">
      <c r="A966" s="26" t="s">
        <v>1584</v>
      </c>
      <c r="B966" s="26" t="s">
        <v>2433</v>
      </c>
      <c r="C966" s="102">
        <v>1.0</v>
      </c>
      <c r="D966" s="104">
        <v>1450000.0</v>
      </c>
      <c r="E966" s="29">
        <v>0.0</v>
      </c>
    </row>
    <row r="967">
      <c r="A967" s="29" t="s">
        <v>1585</v>
      </c>
      <c r="B967" s="26" t="s">
        <v>2432</v>
      </c>
      <c r="C967" s="102">
        <v>1.0</v>
      </c>
      <c r="D967" s="104">
        <v>1480000.0</v>
      </c>
      <c r="E967" s="29">
        <v>296000.0</v>
      </c>
    </row>
    <row r="968">
      <c r="A968" s="29" t="s">
        <v>1585</v>
      </c>
      <c r="B968" s="26" t="s">
        <v>2433</v>
      </c>
      <c r="C968" s="102">
        <v>1.0</v>
      </c>
      <c r="D968" s="104">
        <v>1450000.0</v>
      </c>
      <c r="E968" s="29">
        <v>290000.0</v>
      </c>
    </row>
    <row r="969">
      <c r="A969" s="29" t="s">
        <v>1585</v>
      </c>
      <c r="B969" s="26" t="s">
        <v>2431</v>
      </c>
      <c r="C969" s="102">
        <v>1.0</v>
      </c>
      <c r="D969" s="104">
        <v>2380000.0</v>
      </c>
      <c r="E969" s="29">
        <v>476000.0</v>
      </c>
    </row>
    <row r="970">
      <c r="A970" s="29" t="s">
        <v>1585</v>
      </c>
      <c r="B970" s="26" t="s">
        <v>2425</v>
      </c>
      <c r="C970" s="102">
        <v>1.0</v>
      </c>
      <c r="D970" s="103">
        <v>1875000.0</v>
      </c>
      <c r="E970" s="29">
        <v>375000.0</v>
      </c>
    </row>
    <row r="971">
      <c r="A971" s="26" t="s">
        <v>1586</v>
      </c>
      <c r="B971" s="26" t="s">
        <v>2429</v>
      </c>
      <c r="C971" s="102">
        <v>48.0</v>
      </c>
      <c r="D971" s="103">
        <v>45000.0</v>
      </c>
      <c r="E971" s="26">
        <v>0.0</v>
      </c>
    </row>
    <row r="972">
      <c r="A972" s="26" t="s">
        <v>1587</v>
      </c>
      <c r="B972" s="26" t="s">
        <v>2431</v>
      </c>
      <c r="C972" s="102">
        <v>1.0</v>
      </c>
      <c r="D972" s="103">
        <v>2380000.0</v>
      </c>
      <c r="E972" s="26">
        <v>0.0</v>
      </c>
    </row>
    <row r="973">
      <c r="A973" s="26" t="s">
        <v>1588</v>
      </c>
      <c r="B973" s="26" t="s">
        <v>2432</v>
      </c>
      <c r="C973" s="102">
        <v>1.0</v>
      </c>
      <c r="D973" s="103">
        <v>1480000.0</v>
      </c>
      <c r="E973" s="26">
        <v>0.0</v>
      </c>
    </row>
    <row r="974">
      <c r="A974" s="26" t="s">
        <v>1589</v>
      </c>
      <c r="B974" s="26" t="s">
        <v>2429</v>
      </c>
      <c r="C974" s="102">
        <v>48.0</v>
      </c>
      <c r="D974" s="103">
        <v>45000.0</v>
      </c>
      <c r="E974" s="26">
        <v>0.0</v>
      </c>
    </row>
    <row r="975">
      <c r="A975" s="26" t="s">
        <v>1590</v>
      </c>
      <c r="B975" s="26" t="s">
        <v>2429</v>
      </c>
      <c r="C975" s="102">
        <v>6.0</v>
      </c>
      <c r="D975" s="104">
        <v>70000.0</v>
      </c>
      <c r="E975" s="26">
        <v>0.0</v>
      </c>
    </row>
    <row r="976">
      <c r="A976" s="26" t="s">
        <v>1590</v>
      </c>
      <c r="B976" s="26" t="s">
        <v>2426</v>
      </c>
      <c r="C976" s="102">
        <v>6.0</v>
      </c>
      <c r="D976" s="104">
        <v>80000.0</v>
      </c>
      <c r="E976" s="26">
        <v>0.0</v>
      </c>
    </row>
    <row r="977">
      <c r="A977" s="26" t="s">
        <v>1591</v>
      </c>
      <c r="B977" s="26" t="s">
        <v>2426</v>
      </c>
      <c r="C977" s="102">
        <v>24.0</v>
      </c>
      <c r="D977" s="104">
        <v>55000.0</v>
      </c>
      <c r="E977" s="26">
        <v>0.0</v>
      </c>
    </row>
    <row r="978">
      <c r="A978" s="26" t="s">
        <v>1591</v>
      </c>
      <c r="B978" s="26" t="s">
        <v>2429</v>
      </c>
      <c r="C978" s="102">
        <v>24.0</v>
      </c>
      <c r="D978" s="103">
        <v>45000.0</v>
      </c>
      <c r="E978" s="26">
        <v>0.0</v>
      </c>
    </row>
    <row r="979">
      <c r="A979" s="26" t="s">
        <v>1592</v>
      </c>
      <c r="B979" s="26" t="s">
        <v>2425</v>
      </c>
      <c r="C979" s="102">
        <v>2.0</v>
      </c>
      <c r="D979" s="103">
        <v>1875000.0</v>
      </c>
      <c r="E979" s="26">
        <v>0.0</v>
      </c>
    </row>
    <row r="980">
      <c r="A980" s="26" t="s">
        <v>1592</v>
      </c>
      <c r="B980" s="26" t="s">
        <v>2429</v>
      </c>
      <c r="C980" s="102">
        <v>24.0</v>
      </c>
      <c r="D980" s="104">
        <v>45000.0</v>
      </c>
      <c r="E980" s="26">
        <v>0.0</v>
      </c>
    </row>
    <row r="981">
      <c r="A981" s="26" t="s">
        <v>1592</v>
      </c>
      <c r="B981" s="26" t="s">
        <v>2487</v>
      </c>
      <c r="C981" s="102">
        <v>10.0</v>
      </c>
      <c r="D981" s="104">
        <v>32000.0</v>
      </c>
      <c r="E981" s="26">
        <v>0.0</v>
      </c>
    </row>
    <row r="982">
      <c r="A982" s="26" t="s">
        <v>1593</v>
      </c>
      <c r="B982" s="26" t="s">
        <v>2429</v>
      </c>
      <c r="C982" s="102">
        <v>240.0</v>
      </c>
      <c r="D982" s="104">
        <v>45000.0</v>
      </c>
      <c r="E982" s="26">
        <v>0.0</v>
      </c>
    </row>
    <row r="983">
      <c r="A983" s="26" t="s">
        <v>1593</v>
      </c>
      <c r="B983" s="26" t="s">
        <v>2430</v>
      </c>
      <c r="C983" s="102">
        <v>240.0</v>
      </c>
      <c r="D983" s="104">
        <v>45000.0</v>
      </c>
      <c r="E983" s="26">
        <v>0.0</v>
      </c>
    </row>
    <row r="984">
      <c r="A984" s="26" t="s">
        <v>1593</v>
      </c>
      <c r="B984" s="26" t="s">
        <v>2476</v>
      </c>
      <c r="C984" s="102">
        <v>48.0</v>
      </c>
      <c r="D984" s="104">
        <v>60000.0</v>
      </c>
      <c r="E984" s="26">
        <v>0.0</v>
      </c>
    </row>
    <row r="985">
      <c r="A985" s="26" t="s">
        <v>1593</v>
      </c>
      <c r="B985" s="26" t="s">
        <v>2426</v>
      </c>
      <c r="C985" s="102">
        <v>120.0</v>
      </c>
      <c r="D985" s="104">
        <v>55000.0</v>
      </c>
      <c r="E985" s="26">
        <v>0.0</v>
      </c>
    </row>
    <row r="986">
      <c r="A986" s="26" t="s">
        <v>1593</v>
      </c>
      <c r="B986" s="26" t="s">
        <v>2483</v>
      </c>
      <c r="C986" s="102">
        <v>96.0</v>
      </c>
      <c r="D986" s="104">
        <v>60000.0</v>
      </c>
      <c r="E986" s="26">
        <v>0.0</v>
      </c>
    </row>
    <row r="987">
      <c r="A987" s="26" t="s">
        <v>1593</v>
      </c>
      <c r="B987" s="26" t="s">
        <v>2427</v>
      </c>
      <c r="C987" s="102">
        <v>120.0</v>
      </c>
      <c r="D987" s="103">
        <v>60000.0</v>
      </c>
      <c r="E987" s="26">
        <v>0.0</v>
      </c>
    </row>
    <row r="988">
      <c r="A988" s="26" t="s">
        <v>1593</v>
      </c>
      <c r="B988" s="26" t="s">
        <v>2425</v>
      </c>
      <c r="C988" s="102">
        <v>10.0</v>
      </c>
      <c r="D988" s="103">
        <v>1875000.0</v>
      </c>
      <c r="E988" s="26">
        <v>0.0</v>
      </c>
    </row>
    <row r="989">
      <c r="A989" s="26" t="s">
        <v>1593</v>
      </c>
      <c r="B989" s="26" t="s">
        <v>2432</v>
      </c>
      <c r="C989" s="102">
        <v>12.0</v>
      </c>
      <c r="D989" s="103">
        <v>1480000.0</v>
      </c>
      <c r="E989" s="26">
        <v>0.0</v>
      </c>
    </row>
    <row r="990">
      <c r="A990" s="26" t="s">
        <v>1593</v>
      </c>
      <c r="B990" s="26" t="s">
        <v>2440</v>
      </c>
      <c r="C990" s="102">
        <v>2.0</v>
      </c>
      <c r="D990" s="103">
        <v>2500000.0</v>
      </c>
      <c r="E990" s="26">
        <v>0.0</v>
      </c>
    </row>
    <row r="991">
      <c r="A991" s="26" t="s">
        <v>1594</v>
      </c>
      <c r="B991" s="26" t="s">
        <v>2429</v>
      </c>
      <c r="C991" s="102">
        <v>24.0</v>
      </c>
      <c r="D991" s="103">
        <v>45000.0</v>
      </c>
      <c r="E991" s="26">
        <v>0.0</v>
      </c>
    </row>
    <row r="992">
      <c r="A992" s="26" t="s">
        <v>1595</v>
      </c>
      <c r="B992" s="26" t="s">
        <v>2429</v>
      </c>
      <c r="C992" s="102">
        <v>24.0</v>
      </c>
      <c r="D992" s="103">
        <v>45000.0</v>
      </c>
      <c r="E992" s="26">
        <v>0.0</v>
      </c>
    </row>
    <row r="993">
      <c r="A993" s="29" t="s">
        <v>1596</v>
      </c>
      <c r="B993" s="26" t="s">
        <v>2432</v>
      </c>
      <c r="C993" s="102">
        <v>1.0</v>
      </c>
      <c r="D993" s="103">
        <v>1480000.0</v>
      </c>
      <c r="E993" s="29">
        <v>296000.0</v>
      </c>
    </row>
    <row r="994">
      <c r="A994" s="29" t="s">
        <v>1596</v>
      </c>
      <c r="B994" s="26" t="s">
        <v>2433</v>
      </c>
      <c r="C994" s="102">
        <v>1.0</v>
      </c>
      <c r="D994" s="103">
        <v>1450000.0</v>
      </c>
      <c r="E994" s="29">
        <v>290000.0</v>
      </c>
    </row>
    <row r="995">
      <c r="A995" s="29" t="s">
        <v>1596</v>
      </c>
      <c r="B995" s="26" t="s">
        <v>2431</v>
      </c>
      <c r="C995" s="102">
        <v>1.0</v>
      </c>
      <c r="D995" s="103">
        <v>2380000.0</v>
      </c>
      <c r="E995" s="29">
        <v>476000.0</v>
      </c>
    </row>
    <row r="996">
      <c r="A996" s="26" t="s">
        <v>1597</v>
      </c>
      <c r="B996" s="26" t="s">
        <v>2429</v>
      </c>
      <c r="C996" s="102">
        <v>24.0</v>
      </c>
      <c r="D996" s="104">
        <v>45000.0</v>
      </c>
      <c r="E996" s="26">
        <v>0.0</v>
      </c>
    </row>
    <row r="997">
      <c r="A997" s="26" t="s">
        <v>1599</v>
      </c>
      <c r="B997" s="26" t="s">
        <v>2433</v>
      </c>
      <c r="C997" s="102">
        <v>1.0</v>
      </c>
      <c r="D997" s="104">
        <v>1450000.0</v>
      </c>
      <c r="E997" s="26">
        <v>0.0</v>
      </c>
    </row>
    <row r="998">
      <c r="A998" s="26" t="s">
        <v>1600</v>
      </c>
      <c r="B998" s="26" t="s">
        <v>2429</v>
      </c>
      <c r="C998" s="102">
        <v>48.0</v>
      </c>
      <c r="D998" s="103">
        <v>45000.0</v>
      </c>
      <c r="E998" s="26">
        <v>0.0</v>
      </c>
    </row>
    <row r="999">
      <c r="A999" s="26" t="s">
        <v>1601</v>
      </c>
      <c r="B999" s="26" t="s">
        <v>2426</v>
      </c>
      <c r="C999" s="102">
        <v>96.0</v>
      </c>
      <c r="D999" s="104">
        <v>55000.0</v>
      </c>
      <c r="E999" s="26">
        <v>0.0</v>
      </c>
    </row>
    <row r="1000">
      <c r="A1000" s="26" t="s">
        <v>1601</v>
      </c>
      <c r="B1000" s="26" t="s">
        <v>2426</v>
      </c>
      <c r="C1000" s="102">
        <v>24.0</v>
      </c>
      <c r="D1000" s="103">
        <v>0.0</v>
      </c>
      <c r="E1000" s="26">
        <v>0.0</v>
      </c>
      <c r="F1000" s="26" t="s">
        <v>2436</v>
      </c>
    </row>
    <row r="1001">
      <c r="A1001" s="26" t="s">
        <v>1602</v>
      </c>
      <c r="B1001" s="26" t="s">
        <v>2429</v>
      </c>
      <c r="C1001" s="102">
        <v>24.0</v>
      </c>
      <c r="D1001" s="103">
        <v>70000.0</v>
      </c>
      <c r="E1001" s="26">
        <v>0.0</v>
      </c>
    </row>
    <row r="1002">
      <c r="A1002" s="26" t="s">
        <v>1603</v>
      </c>
      <c r="B1002" s="26" t="s">
        <v>2477</v>
      </c>
      <c r="C1002" s="102">
        <v>1.0</v>
      </c>
      <c r="D1002" s="104">
        <v>0.0</v>
      </c>
      <c r="E1002" s="26">
        <v>0.0</v>
      </c>
      <c r="F1002" s="26" t="s">
        <v>1522</v>
      </c>
    </row>
    <row r="1003">
      <c r="A1003" s="26" t="s">
        <v>1603</v>
      </c>
      <c r="B1003" s="26" t="s">
        <v>2435</v>
      </c>
      <c r="C1003" s="102">
        <v>1.0</v>
      </c>
      <c r="D1003" s="103">
        <v>0.0</v>
      </c>
      <c r="E1003" s="26">
        <v>0.0</v>
      </c>
      <c r="F1003" s="26" t="s">
        <v>1522</v>
      </c>
    </row>
    <row r="1004">
      <c r="A1004" s="26" t="s">
        <v>1603</v>
      </c>
      <c r="B1004" s="26" t="s">
        <v>2458</v>
      </c>
      <c r="C1004" s="102">
        <v>1.0</v>
      </c>
      <c r="D1004" s="104">
        <v>0.0</v>
      </c>
      <c r="E1004" s="26">
        <v>0.0</v>
      </c>
      <c r="F1004" s="26" t="s">
        <v>1522</v>
      </c>
    </row>
    <row r="1005">
      <c r="A1005" s="26" t="s">
        <v>1603</v>
      </c>
      <c r="B1005" s="26" t="s">
        <v>2483</v>
      </c>
      <c r="C1005" s="102">
        <v>1.0</v>
      </c>
      <c r="D1005" s="104">
        <v>0.0</v>
      </c>
      <c r="E1005" s="26">
        <v>0.0</v>
      </c>
      <c r="F1005" s="26" t="s">
        <v>1522</v>
      </c>
    </row>
    <row r="1006">
      <c r="A1006" s="29" t="s">
        <v>1604</v>
      </c>
      <c r="B1006" s="26" t="s">
        <v>2432</v>
      </c>
      <c r="C1006" s="102">
        <v>1.0</v>
      </c>
      <c r="D1006" s="104">
        <v>1480000.0</v>
      </c>
      <c r="E1006" s="29">
        <v>296000.0</v>
      </c>
    </row>
    <row r="1007">
      <c r="A1007" s="29" t="s">
        <v>1604</v>
      </c>
      <c r="B1007" s="26" t="s">
        <v>2433</v>
      </c>
      <c r="C1007" s="102">
        <v>1.0</v>
      </c>
      <c r="D1007" s="104">
        <v>1450000.0</v>
      </c>
      <c r="E1007" s="29">
        <v>290000.0</v>
      </c>
    </row>
    <row r="1008">
      <c r="A1008" s="26" t="s">
        <v>1605</v>
      </c>
      <c r="B1008" s="26" t="s">
        <v>2431</v>
      </c>
      <c r="C1008" s="102">
        <v>1.0</v>
      </c>
      <c r="D1008" s="104">
        <v>2380000.0</v>
      </c>
      <c r="E1008" s="26">
        <v>0.0</v>
      </c>
    </row>
    <row r="1009">
      <c r="A1009" s="26" t="s">
        <v>1605</v>
      </c>
      <c r="B1009" s="26" t="s">
        <v>2425</v>
      </c>
      <c r="C1009" s="102">
        <v>1.0</v>
      </c>
      <c r="D1009" s="104">
        <v>1875000.0</v>
      </c>
      <c r="E1009" s="26">
        <v>0.0</v>
      </c>
    </row>
    <row r="1010">
      <c r="A1010" s="26" t="s">
        <v>1606</v>
      </c>
      <c r="B1010" s="26" t="s">
        <v>2426</v>
      </c>
      <c r="C1010" s="102">
        <v>2.0</v>
      </c>
      <c r="D1010" s="103">
        <v>0.0</v>
      </c>
      <c r="E1010" s="26">
        <v>0.0</v>
      </c>
      <c r="F1010" s="26" t="s">
        <v>1522</v>
      </c>
    </row>
    <row r="1011">
      <c r="A1011" s="26" t="s">
        <v>1606</v>
      </c>
      <c r="B1011" s="26" t="s">
        <v>2429</v>
      </c>
      <c r="C1011" s="102">
        <v>2.0</v>
      </c>
      <c r="D1011" s="103">
        <v>0.0</v>
      </c>
      <c r="E1011" s="26">
        <v>0.0</v>
      </c>
      <c r="F1011" s="26" t="s">
        <v>1522</v>
      </c>
    </row>
    <row r="1012">
      <c r="A1012" s="26" t="s">
        <v>1606</v>
      </c>
      <c r="B1012" s="26" t="s">
        <v>2435</v>
      </c>
      <c r="C1012" s="102">
        <v>2.0</v>
      </c>
      <c r="D1012" s="103">
        <v>0.0</v>
      </c>
      <c r="E1012" s="26">
        <v>0.0</v>
      </c>
      <c r="F1012" s="26" t="s">
        <v>1522</v>
      </c>
    </row>
    <row r="1013">
      <c r="A1013" s="26" t="s">
        <v>1607</v>
      </c>
      <c r="B1013" s="26" t="s">
        <v>2433</v>
      </c>
      <c r="C1013" s="102">
        <v>2.0</v>
      </c>
      <c r="D1013" s="103">
        <v>1450000.0</v>
      </c>
      <c r="E1013" s="26">
        <v>0.0</v>
      </c>
    </row>
    <row r="1014">
      <c r="A1014" s="29" t="s">
        <v>1608</v>
      </c>
      <c r="B1014" s="26" t="s">
        <v>2425</v>
      </c>
      <c r="C1014" s="102">
        <v>1.0</v>
      </c>
      <c r="D1014" s="104">
        <v>1875000.0</v>
      </c>
      <c r="E1014" s="29">
        <v>375000.0</v>
      </c>
    </row>
    <row r="1015">
      <c r="A1015" s="26" t="s">
        <v>1609</v>
      </c>
      <c r="B1015" s="26" t="s">
        <v>2433</v>
      </c>
      <c r="C1015" s="102">
        <v>1.0</v>
      </c>
      <c r="D1015" s="104">
        <v>1450000.0</v>
      </c>
      <c r="E1015" s="26">
        <v>0.0</v>
      </c>
    </row>
    <row r="1016">
      <c r="A1016" s="26" t="s">
        <v>1610</v>
      </c>
      <c r="B1016" s="26" t="s">
        <v>2433</v>
      </c>
      <c r="C1016" s="102">
        <v>1.0</v>
      </c>
      <c r="D1016" s="103">
        <v>1450000.0</v>
      </c>
      <c r="E1016" s="29">
        <v>0.0</v>
      </c>
    </row>
    <row r="1017">
      <c r="A1017" s="26" t="s">
        <v>1610</v>
      </c>
      <c r="B1017" s="26" t="s">
        <v>2434</v>
      </c>
      <c r="C1017" s="102">
        <v>1.0</v>
      </c>
      <c r="D1017" s="104">
        <v>1350000.0</v>
      </c>
      <c r="E1017" s="26">
        <v>0.0</v>
      </c>
    </row>
    <row r="1018">
      <c r="A1018" s="26" t="s">
        <v>1611</v>
      </c>
      <c r="B1018" s="26" t="s">
        <v>2426</v>
      </c>
      <c r="C1018" s="102">
        <v>2.0</v>
      </c>
      <c r="D1018" s="104">
        <v>0.0</v>
      </c>
      <c r="E1018" s="29">
        <v>0.0</v>
      </c>
      <c r="F1018" s="26" t="s">
        <v>1522</v>
      </c>
    </row>
    <row r="1019">
      <c r="A1019" s="26" t="s">
        <v>1611</v>
      </c>
      <c r="B1019" s="26" t="s">
        <v>2458</v>
      </c>
      <c r="C1019" s="102">
        <v>2.0</v>
      </c>
      <c r="D1019" s="104">
        <v>0.0</v>
      </c>
      <c r="E1019" s="26">
        <v>0.0</v>
      </c>
      <c r="F1019" s="26" t="s">
        <v>1522</v>
      </c>
    </row>
    <row r="1020">
      <c r="A1020" s="26" t="s">
        <v>1611</v>
      </c>
      <c r="B1020" s="26" t="s">
        <v>2427</v>
      </c>
      <c r="C1020" s="102">
        <v>2.0</v>
      </c>
      <c r="D1020" s="103">
        <v>0.0</v>
      </c>
      <c r="E1020" s="29">
        <v>0.0</v>
      </c>
      <c r="F1020" s="26" t="s">
        <v>1522</v>
      </c>
    </row>
    <row r="1021">
      <c r="A1021" s="26" t="s">
        <v>1612</v>
      </c>
      <c r="B1021" s="26" t="s">
        <v>2429</v>
      </c>
      <c r="C1021" s="102">
        <v>12.0</v>
      </c>
      <c r="D1021" s="103">
        <v>45000.0</v>
      </c>
      <c r="E1021" s="26">
        <v>0.0</v>
      </c>
    </row>
    <row r="1022">
      <c r="A1022" s="26" t="s">
        <v>1612</v>
      </c>
      <c r="B1022" s="26" t="s">
        <v>2430</v>
      </c>
      <c r="C1022" s="102">
        <v>12.0</v>
      </c>
      <c r="D1022" s="104">
        <v>45000.0</v>
      </c>
      <c r="E1022" s="29">
        <v>0.0</v>
      </c>
    </row>
    <row r="1023">
      <c r="A1023" s="26" t="s">
        <v>1613</v>
      </c>
      <c r="B1023" s="26" t="s">
        <v>2429</v>
      </c>
      <c r="C1023" s="102">
        <v>24.0</v>
      </c>
      <c r="D1023" s="104">
        <v>70000.0</v>
      </c>
      <c r="E1023" s="26">
        <v>0.0</v>
      </c>
    </row>
    <row r="1024">
      <c r="A1024" s="29" t="s">
        <v>1614</v>
      </c>
      <c r="B1024" s="26" t="s">
        <v>2432</v>
      </c>
      <c r="C1024" s="102">
        <v>1.0</v>
      </c>
      <c r="D1024" s="104">
        <v>1480000.0</v>
      </c>
      <c r="E1024" s="29">
        <v>296000.0</v>
      </c>
    </row>
    <row r="1025">
      <c r="A1025" s="29" t="s">
        <v>1615</v>
      </c>
      <c r="B1025" s="26" t="s">
        <v>2434</v>
      </c>
      <c r="C1025" s="102">
        <v>6.0</v>
      </c>
      <c r="D1025" s="104">
        <v>1350000.0</v>
      </c>
      <c r="E1025" s="29">
        <v>472500.0</v>
      </c>
    </row>
    <row r="1026">
      <c r="A1026" s="29" t="s">
        <v>1615</v>
      </c>
      <c r="B1026" s="26" t="s">
        <v>2432</v>
      </c>
      <c r="C1026" s="102">
        <v>6.0</v>
      </c>
      <c r="D1026" s="104">
        <v>1480000.0</v>
      </c>
      <c r="E1026" s="29">
        <v>518000.0</v>
      </c>
    </row>
    <row r="1027">
      <c r="A1027" s="29" t="s">
        <v>1615</v>
      </c>
      <c r="B1027" s="26" t="s">
        <v>2433</v>
      </c>
      <c r="C1027" s="102">
        <v>6.0</v>
      </c>
      <c r="D1027" s="104">
        <v>1450000.0</v>
      </c>
      <c r="E1027" s="29">
        <v>507500.0</v>
      </c>
    </row>
    <row r="1028">
      <c r="A1028" s="29" t="s">
        <v>1615</v>
      </c>
      <c r="B1028" s="26" t="s">
        <v>2440</v>
      </c>
      <c r="C1028" s="102">
        <v>5.0</v>
      </c>
      <c r="D1028" s="104">
        <v>2500000.0</v>
      </c>
      <c r="E1028" s="29">
        <v>875000.0</v>
      </c>
    </row>
    <row r="1029">
      <c r="A1029" s="26" t="s">
        <v>1615</v>
      </c>
      <c r="B1029" s="26" t="s">
        <v>2488</v>
      </c>
      <c r="C1029" s="102">
        <v>3.0</v>
      </c>
      <c r="D1029" s="104">
        <v>2500000.0</v>
      </c>
      <c r="E1029" s="29">
        <v>875000.0</v>
      </c>
    </row>
    <row r="1030">
      <c r="A1030" s="29" t="s">
        <v>1615</v>
      </c>
      <c r="B1030" s="26" t="s">
        <v>2450</v>
      </c>
      <c r="C1030" s="102">
        <v>3.0</v>
      </c>
      <c r="D1030" s="104">
        <v>1900000.0</v>
      </c>
      <c r="E1030" s="29">
        <v>665000.0</v>
      </c>
    </row>
    <row r="1031">
      <c r="A1031" s="26" t="s">
        <v>1615</v>
      </c>
      <c r="B1031" s="26" t="s">
        <v>2440</v>
      </c>
      <c r="C1031" s="102">
        <v>1.0</v>
      </c>
      <c r="D1031" s="103">
        <v>0.0</v>
      </c>
      <c r="E1031" s="26">
        <v>0.0</v>
      </c>
      <c r="F1031" s="26" t="s">
        <v>2436</v>
      </c>
    </row>
    <row r="1032">
      <c r="A1032" s="29" t="s">
        <v>1615</v>
      </c>
      <c r="B1032" s="26" t="s">
        <v>2429</v>
      </c>
      <c r="C1032" s="102">
        <v>480.0</v>
      </c>
      <c r="D1032" s="103">
        <v>45000.0</v>
      </c>
      <c r="E1032" s="29">
        <v>15750.0</v>
      </c>
    </row>
    <row r="1033">
      <c r="A1033" s="29" t="s">
        <v>1615</v>
      </c>
      <c r="B1033" s="26" t="s">
        <v>2430</v>
      </c>
      <c r="C1033" s="102">
        <v>72.0</v>
      </c>
      <c r="D1033" s="104">
        <v>45000.0</v>
      </c>
      <c r="E1033" s="29">
        <v>15750.0</v>
      </c>
    </row>
    <row r="1034">
      <c r="A1034" s="29" t="s">
        <v>1615</v>
      </c>
      <c r="B1034" s="26" t="s">
        <v>2426</v>
      </c>
      <c r="C1034" s="102">
        <v>48.0</v>
      </c>
      <c r="D1034" s="104">
        <v>55000.0</v>
      </c>
      <c r="E1034" s="29">
        <v>19250.0</v>
      </c>
    </row>
    <row r="1035">
      <c r="A1035" s="29" t="s">
        <v>1615</v>
      </c>
      <c r="B1035" s="26" t="s">
        <v>2427</v>
      </c>
      <c r="C1035" s="102">
        <v>48.0</v>
      </c>
      <c r="D1035" s="103">
        <v>60000.0</v>
      </c>
      <c r="E1035" s="29">
        <v>21000.0</v>
      </c>
    </row>
    <row r="1036">
      <c r="A1036" s="29" t="s">
        <v>1615</v>
      </c>
      <c r="B1036" s="26" t="s">
        <v>2428</v>
      </c>
      <c r="C1036" s="102">
        <v>24.0</v>
      </c>
      <c r="D1036" s="104">
        <v>45000.0</v>
      </c>
      <c r="E1036" s="29">
        <v>15750.0</v>
      </c>
    </row>
    <row r="1037">
      <c r="A1037" s="26" t="s">
        <v>1615</v>
      </c>
      <c r="B1037" s="26" t="s">
        <v>2489</v>
      </c>
      <c r="C1037" s="102">
        <v>12.0</v>
      </c>
      <c r="D1037" s="104">
        <v>0.0</v>
      </c>
      <c r="E1037" s="26">
        <v>0.0</v>
      </c>
      <c r="F1037" s="26" t="s">
        <v>2436</v>
      </c>
    </row>
    <row r="1038">
      <c r="A1038" s="26" t="s">
        <v>1615</v>
      </c>
      <c r="B1038" s="26" t="s">
        <v>2474</v>
      </c>
      <c r="C1038" s="102">
        <v>12.0</v>
      </c>
      <c r="D1038" s="104">
        <v>0.0</v>
      </c>
      <c r="E1038" s="26">
        <v>0.0</v>
      </c>
      <c r="F1038" s="26" t="s">
        <v>2436</v>
      </c>
    </row>
    <row r="1039">
      <c r="A1039" s="26" t="s">
        <v>1615</v>
      </c>
      <c r="B1039" s="26" t="s">
        <v>2430</v>
      </c>
      <c r="C1039" s="102">
        <v>12.0</v>
      </c>
      <c r="D1039" s="104">
        <v>0.0</v>
      </c>
      <c r="E1039" s="26">
        <v>0.0</v>
      </c>
      <c r="F1039" s="26" t="s">
        <v>2436</v>
      </c>
    </row>
    <row r="1040">
      <c r="A1040" s="26" t="s">
        <v>1615</v>
      </c>
      <c r="B1040" s="26" t="s">
        <v>2429</v>
      </c>
      <c r="C1040" s="102">
        <v>12.0</v>
      </c>
      <c r="D1040" s="104">
        <v>0.0</v>
      </c>
      <c r="E1040" s="26">
        <v>0.0</v>
      </c>
      <c r="F1040" s="26" t="s">
        <v>2436</v>
      </c>
    </row>
    <row r="1041">
      <c r="A1041" s="26" t="s">
        <v>1615</v>
      </c>
      <c r="B1041" s="26" t="s">
        <v>2426</v>
      </c>
      <c r="C1041" s="102">
        <v>12.0</v>
      </c>
      <c r="D1041" s="104">
        <v>0.0</v>
      </c>
      <c r="E1041" s="26">
        <v>0.0</v>
      </c>
      <c r="F1041" s="26" t="s">
        <v>2436</v>
      </c>
    </row>
    <row r="1042">
      <c r="A1042" s="26" t="s">
        <v>1615</v>
      </c>
      <c r="B1042" s="26" t="s">
        <v>2476</v>
      </c>
      <c r="C1042" s="102">
        <v>12.0</v>
      </c>
      <c r="D1042" s="104">
        <v>0.0</v>
      </c>
      <c r="E1042" s="26">
        <v>0.0</v>
      </c>
      <c r="F1042" s="26" t="s">
        <v>2436</v>
      </c>
    </row>
    <row r="1043">
      <c r="A1043" s="26" t="s">
        <v>1615</v>
      </c>
      <c r="B1043" s="26" t="s">
        <v>2435</v>
      </c>
      <c r="C1043" s="102">
        <v>12.0</v>
      </c>
      <c r="D1043" s="104">
        <v>0.0</v>
      </c>
      <c r="E1043" s="26">
        <v>0.0</v>
      </c>
      <c r="F1043" s="26" t="s">
        <v>2436</v>
      </c>
    </row>
    <row r="1044">
      <c r="A1044" s="26" t="s">
        <v>1615</v>
      </c>
      <c r="B1044" s="26" t="s">
        <v>2458</v>
      </c>
      <c r="C1044" s="102">
        <v>12.0</v>
      </c>
      <c r="D1044" s="104">
        <v>0.0</v>
      </c>
      <c r="E1044" s="26">
        <v>0.0</v>
      </c>
      <c r="F1044" s="26" t="s">
        <v>2436</v>
      </c>
    </row>
    <row r="1045">
      <c r="A1045" s="26" t="s">
        <v>1615</v>
      </c>
      <c r="B1045" s="26" t="s">
        <v>2483</v>
      </c>
      <c r="C1045" s="102">
        <v>12.0</v>
      </c>
      <c r="D1045" s="104">
        <v>0.0</v>
      </c>
      <c r="E1045" s="26">
        <v>0.0</v>
      </c>
      <c r="F1045" s="26" t="s">
        <v>2436</v>
      </c>
    </row>
    <row r="1046">
      <c r="A1046" s="26" t="s">
        <v>1615</v>
      </c>
      <c r="B1046" s="26" t="s">
        <v>2427</v>
      </c>
      <c r="C1046" s="102">
        <v>12.0</v>
      </c>
      <c r="D1046" s="104">
        <v>0.0</v>
      </c>
      <c r="E1046" s="26">
        <v>0.0</v>
      </c>
      <c r="F1046" s="26" t="s">
        <v>2436</v>
      </c>
    </row>
    <row r="1047">
      <c r="A1047" s="26" t="s">
        <v>1615</v>
      </c>
      <c r="B1047" s="26" t="s">
        <v>2428</v>
      </c>
      <c r="C1047" s="102">
        <v>16.0</v>
      </c>
      <c r="D1047" s="104">
        <v>0.0</v>
      </c>
      <c r="E1047" s="26">
        <v>0.0</v>
      </c>
      <c r="F1047" s="26" t="s">
        <v>2436</v>
      </c>
    </row>
    <row r="1048">
      <c r="A1048" s="26" t="s">
        <v>1615</v>
      </c>
      <c r="B1048" s="26" t="s">
        <v>2446</v>
      </c>
      <c r="C1048" s="102">
        <v>2.0</v>
      </c>
      <c r="D1048" s="104">
        <v>0.0</v>
      </c>
      <c r="E1048" s="26">
        <v>0.0</v>
      </c>
      <c r="F1048" s="26" t="s">
        <v>2438</v>
      </c>
    </row>
    <row r="1049">
      <c r="A1049" s="26" t="s">
        <v>1615</v>
      </c>
      <c r="B1049" s="26" t="s">
        <v>2439</v>
      </c>
      <c r="C1049" s="102">
        <v>2.0</v>
      </c>
      <c r="D1049" s="104">
        <v>0.0</v>
      </c>
      <c r="E1049" s="26">
        <v>0.0</v>
      </c>
      <c r="F1049" s="26" t="s">
        <v>2438</v>
      </c>
    </row>
    <row r="1050">
      <c r="A1050" s="26" t="s">
        <v>1615</v>
      </c>
      <c r="B1050" s="26" t="s">
        <v>2480</v>
      </c>
      <c r="C1050" s="102">
        <v>2.0</v>
      </c>
      <c r="D1050" s="104">
        <v>0.0</v>
      </c>
      <c r="E1050" s="26">
        <v>0.0</v>
      </c>
      <c r="F1050" s="26" t="s">
        <v>2438</v>
      </c>
    </row>
    <row r="1051">
      <c r="A1051" s="26" t="s">
        <v>1615</v>
      </c>
      <c r="B1051" s="26" t="s">
        <v>2447</v>
      </c>
      <c r="C1051" s="102">
        <v>4.0</v>
      </c>
      <c r="D1051" s="104">
        <v>0.0</v>
      </c>
      <c r="E1051" s="26">
        <v>0.0</v>
      </c>
      <c r="F1051" s="26" t="s">
        <v>2438</v>
      </c>
    </row>
    <row r="1052">
      <c r="A1052" s="29" t="s">
        <v>1616</v>
      </c>
      <c r="B1052" s="26" t="s">
        <v>2433</v>
      </c>
      <c r="C1052" s="102">
        <v>1.0</v>
      </c>
      <c r="D1052" s="104">
        <v>1450000.0</v>
      </c>
      <c r="E1052" s="29">
        <v>290000.0</v>
      </c>
    </row>
    <row r="1053">
      <c r="A1053" s="26" t="s">
        <v>1617</v>
      </c>
      <c r="B1053" s="26" t="s">
        <v>2433</v>
      </c>
      <c r="C1053" s="102">
        <v>1.0</v>
      </c>
      <c r="D1053" s="104">
        <v>1450000.0</v>
      </c>
      <c r="E1053" s="26">
        <v>0.0</v>
      </c>
    </row>
    <row r="1054">
      <c r="A1054" s="26" t="s">
        <v>1618</v>
      </c>
      <c r="B1054" s="26" t="s">
        <v>2433</v>
      </c>
      <c r="C1054" s="102">
        <v>1.0</v>
      </c>
      <c r="D1054" s="103">
        <v>1450000.0</v>
      </c>
      <c r="E1054" s="26">
        <v>0.0</v>
      </c>
    </row>
    <row r="1055">
      <c r="A1055" s="26" t="s">
        <v>1619</v>
      </c>
      <c r="B1055" s="26" t="s">
        <v>2433</v>
      </c>
      <c r="C1055" s="102">
        <v>1.0</v>
      </c>
      <c r="D1055" s="104">
        <v>1450000.0</v>
      </c>
      <c r="E1055" s="26">
        <v>0.0</v>
      </c>
    </row>
    <row r="1056">
      <c r="A1056" s="26" t="s">
        <v>1620</v>
      </c>
      <c r="B1056" s="26" t="s">
        <v>2429</v>
      </c>
      <c r="C1056" s="102">
        <v>48.0</v>
      </c>
      <c r="D1056" s="103">
        <v>45000.0</v>
      </c>
      <c r="E1056" s="26">
        <v>0.0</v>
      </c>
    </row>
    <row r="1057">
      <c r="A1057" s="26" t="s">
        <v>1621</v>
      </c>
      <c r="B1057" s="26" t="s">
        <v>2425</v>
      </c>
      <c r="C1057" s="102">
        <v>1.0</v>
      </c>
      <c r="D1057" s="103">
        <v>1875000.0</v>
      </c>
      <c r="E1057" s="26">
        <v>0.0</v>
      </c>
    </row>
    <row r="1058">
      <c r="A1058" s="26" t="s">
        <v>1622</v>
      </c>
      <c r="B1058" s="26" t="s">
        <v>2431</v>
      </c>
      <c r="C1058" s="102">
        <v>1.0</v>
      </c>
      <c r="D1058" s="103">
        <v>2380000.0</v>
      </c>
      <c r="E1058" s="26">
        <v>0.0</v>
      </c>
    </row>
    <row r="1059">
      <c r="A1059" s="26" t="s">
        <v>1622</v>
      </c>
      <c r="B1059" s="26" t="s">
        <v>2483</v>
      </c>
      <c r="C1059" s="102">
        <v>24.0</v>
      </c>
      <c r="D1059" s="104">
        <v>60000.0</v>
      </c>
      <c r="E1059" s="26">
        <v>0.0</v>
      </c>
    </row>
    <row r="1060">
      <c r="A1060" s="26" t="s">
        <v>1623</v>
      </c>
      <c r="B1060" s="26" t="s">
        <v>2426</v>
      </c>
      <c r="C1060" s="102">
        <v>10.0</v>
      </c>
      <c r="D1060" s="103">
        <v>55000.0</v>
      </c>
      <c r="E1060" s="26">
        <v>0.0</v>
      </c>
    </row>
    <row r="1061">
      <c r="A1061" s="26" t="s">
        <v>1623</v>
      </c>
      <c r="B1061" s="26" t="s">
        <v>2429</v>
      </c>
      <c r="C1061" s="102">
        <v>14.0</v>
      </c>
      <c r="D1061" s="103">
        <v>45000.0</v>
      </c>
      <c r="E1061" s="26">
        <v>0.0</v>
      </c>
    </row>
    <row r="1062">
      <c r="A1062" s="29" t="s">
        <v>1624</v>
      </c>
      <c r="B1062" s="26" t="s">
        <v>2432</v>
      </c>
      <c r="C1062" s="102">
        <v>1.0</v>
      </c>
      <c r="D1062" s="104">
        <v>1480000.0</v>
      </c>
      <c r="E1062" s="29">
        <v>296000.0</v>
      </c>
    </row>
    <row r="1063">
      <c r="A1063" s="26" t="s">
        <v>1625</v>
      </c>
      <c r="B1063" s="26" t="s">
        <v>2429</v>
      </c>
      <c r="C1063" s="102">
        <v>24.0</v>
      </c>
      <c r="D1063" s="103">
        <v>45000.0</v>
      </c>
      <c r="E1063" s="29">
        <v>0.0</v>
      </c>
    </row>
    <row r="1064">
      <c r="A1064" s="26" t="s">
        <v>1626</v>
      </c>
      <c r="B1064" s="26" t="s">
        <v>2425</v>
      </c>
      <c r="C1064" s="102">
        <v>1.0</v>
      </c>
      <c r="D1064" s="104">
        <v>1875000.0</v>
      </c>
      <c r="E1064" s="26">
        <v>0.0</v>
      </c>
    </row>
    <row r="1065">
      <c r="A1065" s="26" t="s">
        <v>1626</v>
      </c>
      <c r="B1065" s="26" t="s">
        <v>2433</v>
      </c>
      <c r="C1065" s="102">
        <v>1.0</v>
      </c>
      <c r="D1065" s="103">
        <v>1450000.0</v>
      </c>
      <c r="E1065" s="26">
        <v>0.0</v>
      </c>
    </row>
    <row r="1066">
      <c r="A1066" s="26" t="s">
        <v>1627</v>
      </c>
      <c r="B1066" s="26" t="s">
        <v>2429</v>
      </c>
      <c r="C1066" s="102">
        <v>48.0</v>
      </c>
      <c r="D1066" s="104">
        <v>45000.0</v>
      </c>
      <c r="E1066" s="26">
        <v>0.0</v>
      </c>
    </row>
    <row r="1067">
      <c r="A1067" s="26" t="s">
        <v>1628</v>
      </c>
      <c r="B1067" s="26" t="s">
        <v>2429</v>
      </c>
      <c r="C1067" s="102">
        <v>480.0</v>
      </c>
      <c r="D1067" s="104">
        <v>45000.0</v>
      </c>
      <c r="E1067" s="26">
        <v>0.0</v>
      </c>
    </row>
    <row r="1068">
      <c r="A1068" s="26" t="s">
        <v>1628</v>
      </c>
      <c r="B1068" s="26" t="s">
        <v>2426</v>
      </c>
      <c r="C1068" s="102">
        <v>120.0</v>
      </c>
      <c r="D1068" s="103">
        <v>55000.0</v>
      </c>
      <c r="E1068" s="26">
        <v>0.0</v>
      </c>
    </row>
    <row r="1069">
      <c r="A1069" s="26" t="s">
        <v>1628</v>
      </c>
      <c r="B1069" s="26" t="s">
        <v>2432</v>
      </c>
      <c r="C1069" s="102">
        <v>7.0</v>
      </c>
      <c r="D1069" s="103">
        <v>1480000.0</v>
      </c>
      <c r="E1069" s="26">
        <v>0.0</v>
      </c>
    </row>
    <row r="1070">
      <c r="A1070" s="26" t="s">
        <v>1628</v>
      </c>
      <c r="B1070" s="26" t="s">
        <v>2433</v>
      </c>
      <c r="C1070" s="102">
        <v>15.0</v>
      </c>
      <c r="D1070" s="103">
        <v>1450000.0</v>
      </c>
      <c r="E1070" s="26">
        <v>0.0</v>
      </c>
    </row>
    <row r="1071">
      <c r="A1071" s="26" t="s">
        <v>1628</v>
      </c>
      <c r="B1071" s="26" t="s">
        <v>2431</v>
      </c>
      <c r="C1071" s="102">
        <v>5.0</v>
      </c>
      <c r="D1071" s="104">
        <v>2380000.0</v>
      </c>
      <c r="E1071" s="26">
        <v>0.0</v>
      </c>
    </row>
    <row r="1072">
      <c r="A1072" s="26" t="s">
        <v>1628</v>
      </c>
      <c r="B1072" s="26" t="s">
        <v>2437</v>
      </c>
      <c r="C1072" s="102">
        <v>72.0</v>
      </c>
      <c r="D1072" s="103">
        <v>0.0</v>
      </c>
      <c r="E1072" s="26">
        <v>0.0</v>
      </c>
      <c r="F1072" s="26" t="s">
        <v>2438</v>
      </c>
    </row>
    <row r="1073">
      <c r="A1073" s="29" t="s">
        <v>1629</v>
      </c>
      <c r="B1073" s="26" t="s">
        <v>2425</v>
      </c>
      <c r="C1073" s="102">
        <v>1.0</v>
      </c>
      <c r="D1073" s="103">
        <v>1875000.0</v>
      </c>
      <c r="E1073" s="29">
        <v>375000.0</v>
      </c>
    </row>
    <row r="1074">
      <c r="A1074" s="29" t="s">
        <v>1629</v>
      </c>
      <c r="B1074" s="26" t="s">
        <v>2433</v>
      </c>
      <c r="C1074" s="102">
        <v>1.0</v>
      </c>
      <c r="D1074" s="103">
        <v>1450000.0</v>
      </c>
      <c r="E1074" s="29">
        <v>290000.0</v>
      </c>
    </row>
    <row r="1075">
      <c r="A1075" s="29" t="s">
        <v>1629</v>
      </c>
      <c r="B1075" s="26" t="s">
        <v>2431</v>
      </c>
      <c r="C1075" s="102">
        <v>1.0</v>
      </c>
      <c r="D1075" s="103">
        <v>2380000.0</v>
      </c>
      <c r="E1075" s="29">
        <v>476000.0</v>
      </c>
    </row>
    <row r="1076">
      <c r="A1076" s="26" t="s">
        <v>1630</v>
      </c>
      <c r="B1076" s="26" t="s">
        <v>2425</v>
      </c>
      <c r="C1076" s="102">
        <v>1.0</v>
      </c>
      <c r="D1076" s="103">
        <v>1875000.0</v>
      </c>
      <c r="E1076" s="26">
        <v>0.0</v>
      </c>
    </row>
    <row r="1077">
      <c r="A1077" s="26" t="s">
        <v>1631</v>
      </c>
      <c r="B1077" s="26" t="s">
        <v>2429</v>
      </c>
      <c r="C1077" s="102">
        <v>24.0</v>
      </c>
      <c r="D1077" s="103">
        <v>45000.0</v>
      </c>
      <c r="E1077" s="26">
        <v>0.0</v>
      </c>
    </row>
    <row r="1078">
      <c r="A1078" s="29" t="s">
        <v>1632</v>
      </c>
      <c r="B1078" s="26" t="s">
        <v>2425</v>
      </c>
      <c r="C1078" s="102">
        <v>1.0</v>
      </c>
      <c r="D1078" s="104">
        <v>1875000.0</v>
      </c>
      <c r="E1078" s="29">
        <v>281250.0</v>
      </c>
    </row>
    <row r="1079">
      <c r="A1079" s="29" t="s">
        <v>1633</v>
      </c>
      <c r="B1079" s="26" t="s">
        <v>2432</v>
      </c>
      <c r="C1079" s="102">
        <v>1.0</v>
      </c>
      <c r="D1079" s="104">
        <v>1480000.0</v>
      </c>
      <c r="E1079" s="29">
        <v>296000.0</v>
      </c>
    </row>
    <row r="1080">
      <c r="A1080" s="26" t="s">
        <v>1634</v>
      </c>
      <c r="B1080" s="26" t="s">
        <v>2433</v>
      </c>
      <c r="C1080" s="102">
        <v>1.0</v>
      </c>
      <c r="D1080" s="103">
        <v>1450000.0</v>
      </c>
      <c r="E1080" s="26">
        <v>0.0</v>
      </c>
    </row>
    <row r="1081">
      <c r="A1081" s="26" t="s">
        <v>1635</v>
      </c>
      <c r="B1081" s="26" t="s">
        <v>2476</v>
      </c>
      <c r="C1081" s="102">
        <v>8.0</v>
      </c>
      <c r="D1081" s="104">
        <v>0.0</v>
      </c>
      <c r="E1081" s="26">
        <v>0.0</v>
      </c>
      <c r="F1081" s="26" t="s">
        <v>2443</v>
      </c>
    </row>
    <row r="1082">
      <c r="A1082" s="26" t="s">
        <v>1635</v>
      </c>
      <c r="B1082" s="26" t="s">
        <v>2426</v>
      </c>
      <c r="C1082" s="102">
        <v>8.0</v>
      </c>
      <c r="D1082" s="104">
        <v>0.0</v>
      </c>
      <c r="E1082" s="26">
        <v>0.0</v>
      </c>
      <c r="F1082" s="26" t="s">
        <v>2443</v>
      </c>
    </row>
    <row r="1083">
      <c r="A1083" s="26" t="s">
        <v>1635</v>
      </c>
      <c r="B1083" s="26" t="s">
        <v>2429</v>
      </c>
      <c r="C1083" s="102">
        <v>8.0</v>
      </c>
      <c r="D1083" s="104">
        <v>0.0</v>
      </c>
      <c r="E1083" s="26">
        <v>0.0</v>
      </c>
      <c r="F1083" s="26" t="s">
        <v>2443</v>
      </c>
    </row>
    <row r="1084">
      <c r="A1084" s="26" t="s">
        <v>1637</v>
      </c>
      <c r="B1084" s="26" t="s">
        <v>2487</v>
      </c>
      <c r="C1084" s="102">
        <v>10.0</v>
      </c>
      <c r="D1084" s="103">
        <v>32000.0</v>
      </c>
      <c r="E1084" s="26">
        <v>0.0</v>
      </c>
    </row>
    <row r="1085">
      <c r="A1085" s="26" t="s">
        <v>1638</v>
      </c>
      <c r="B1085" s="26" t="s">
        <v>2425</v>
      </c>
      <c r="C1085" s="102">
        <v>1.0</v>
      </c>
      <c r="D1085" s="103">
        <v>1875000.0</v>
      </c>
      <c r="E1085" s="26">
        <v>0.0</v>
      </c>
    </row>
    <row r="1086">
      <c r="A1086" s="26" t="s">
        <v>1639</v>
      </c>
      <c r="B1086" s="26" t="s">
        <v>2433</v>
      </c>
      <c r="C1086" s="102">
        <v>1.0</v>
      </c>
      <c r="D1086" s="103">
        <v>1450000.0</v>
      </c>
      <c r="E1086" s="26">
        <v>0.0</v>
      </c>
    </row>
    <row r="1087">
      <c r="A1087" s="26" t="s">
        <v>1640</v>
      </c>
      <c r="B1087" s="26" t="s">
        <v>2426</v>
      </c>
      <c r="C1087" s="102">
        <v>24.0</v>
      </c>
      <c r="D1087" s="103">
        <v>55000.0</v>
      </c>
      <c r="E1087" s="26">
        <v>0.0</v>
      </c>
    </row>
    <row r="1088">
      <c r="A1088" s="26" t="s">
        <v>1641</v>
      </c>
      <c r="B1088" s="26" t="s">
        <v>2433</v>
      </c>
      <c r="C1088" s="102">
        <v>1.0</v>
      </c>
      <c r="D1088" s="103">
        <v>1450000.0</v>
      </c>
      <c r="E1088" s="26">
        <v>0.0</v>
      </c>
    </row>
    <row r="1089">
      <c r="A1089" s="26" t="s">
        <v>1641</v>
      </c>
      <c r="B1089" s="26" t="s">
        <v>2434</v>
      </c>
      <c r="C1089" s="102">
        <v>1.0</v>
      </c>
      <c r="D1089" s="103">
        <v>1350000.0</v>
      </c>
      <c r="E1089" s="26">
        <v>0.0</v>
      </c>
    </row>
    <row r="1090">
      <c r="A1090" s="26" t="s">
        <v>1642</v>
      </c>
      <c r="B1090" s="26" t="s">
        <v>2433</v>
      </c>
      <c r="C1090" s="102">
        <v>1.0</v>
      </c>
      <c r="D1090" s="103">
        <v>1450000.0</v>
      </c>
      <c r="E1090" s="26">
        <v>0.0</v>
      </c>
    </row>
    <row r="1091">
      <c r="A1091" s="29" t="s">
        <v>1643</v>
      </c>
      <c r="B1091" s="26" t="s">
        <v>2433</v>
      </c>
      <c r="C1091" s="102">
        <v>1.0</v>
      </c>
      <c r="D1091" s="103">
        <v>1450000.0</v>
      </c>
      <c r="E1091" s="29">
        <v>290000.0</v>
      </c>
    </row>
    <row r="1092">
      <c r="A1092" s="29" t="s">
        <v>1643</v>
      </c>
      <c r="B1092" s="26" t="s">
        <v>2432</v>
      </c>
      <c r="C1092" s="102">
        <v>1.0</v>
      </c>
      <c r="D1092" s="104">
        <v>1480000.0</v>
      </c>
      <c r="E1092" s="29">
        <v>296000.0</v>
      </c>
    </row>
    <row r="1093">
      <c r="A1093" s="26" t="s">
        <v>1644</v>
      </c>
      <c r="B1093" s="26" t="s">
        <v>2429</v>
      </c>
      <c r="C1093" s="102">
        <v>72.0</v>
      </c>
      <c r="D1093" s="104">
        <v>45000.0</v>
      </c>
      <c r="E1093" s="26">
        <v>0.0</v>
      </c>
    </row>
    <row r="1094">
      <c r="A1094" s="26" t="s">
        <v>1644</v>
      </c>
      <c r="B1094" s="26" t="s">
        <v>2478</v>
      </c>
      <c r="C1094" s="102">
        <v>24.0</v>
      </c>
      <c r="D1094" s="104">
        <v>45000.0</v>
      </c>
      <c r="E1094" s="26">
        <v>0.0</v>
      </c>
    </row>
    <row r="1095">
      <c r="A1095" s="26" t="s">
        <v>1644</v>
      </c>
      <c r="B1095" s="26" t="s">
        <v>2429</v>
      </c>
      <c r="C1095" s="102">
        <v>24.0</v>
      </c>
      <c r="D1095" s="104">
        <v>0.0</v>
      </c>
      <c r="E1095" s="26">
        <v>0.0</v>
      </c>
      <c r="F1095" s="26" t="s">
        <v>2436</v>
      </c>
    </row>
    <row r="1096">
      <c r="A1096" s="29" t="s">
        <v>1645</v>
      </c>
      <c r="B1096" s="26" t="s">
        <v>2432</v>
      </c>
      <c r="C1096" s="102">
        <v>1.0</v>
      </c>
      <c r="D1096" s="103">
        <v>1480000.0</v>
      </c>
      <c r="E1096" s="29">
        <v>740000.0</v>
      </c>
    </row>
    <row r="1097">
      <c r="A1097" s="26" t="s">
        <v>1646</v>
      </c>
      <c r="B1097" s="26" t="s">
        <v>2434</v>
      </c>
      <c r="C1097" s="102">
        <v>1.0</v>
      </c>
      <c r="D1097" s="103">
        <v>1350000.0</v>
      </c>
      <c r="E1097" s="26">
        <v>0.0</v>
      </c>
    </row>
    <row r="1098">
      <c r="A1098" s="26" t="s">
        <v>1647</v>
      </c>
      <c r="B1098" s="26" t="s">
        <v>2429</v>
      </c>
      <c r="C1098" s="102">
        <v>24.0</v>
      </c>
      <c r="D1098" s="104">
        <v>45000.0</v>
      </c>
      <c r="E1098" s="26">
        <v>0.0</v>
      </c>
    </row>
    <row r="1099">
      <c r="A1099" s="26" t="s">
        <v>1648</v>
      </c>
      <c r="B1099" s="26" t="s">
        <v>2426</v>
      </c>
      <c r="C1099" s="102">
        <v>96.0</v>
      </c>
      <c r="D1099" s="104">
        <v>55000.0</v>
      </c>
      <c r="E1099" s="26">
        <v>0.0</v>
      </c>
    </row>
    <row r="1100">
      <c r="A1100" s="26" t="s">
        <v>1648</v>
      </c>
      <c r="B1100" s="26" t="s">
        <v>2483</v>
      </c>
      <c r="C1100" s="102">
        <v>24.0</v>
      </c>
      <c r="D1100" s="104">
        <v>0.0</v>
      </c>
      <c r="E1100" s="26">
        <v>0.0</v>
      </c>
      <c r="F1100" s="26" t="s">
        <v>2436</v>
      </c>
    </row>
    <row r="1101">
      <c r="A1101" s="26" t="s">
        <v>1648</v>
      </c>
      <c r="B1101" s="26" t="s">
        <v>2437</v>
      </c>
      <c r="C1101" s="102">
        <v>6.0</v>
      </c>
      <c r="D1101" s="104">
        <v>0.0</v>
      </c>
      <c r="E1101" s="26">
        <v>0.0</v>
      </c>
      <c r="F1101" s="26" t="s">
        <v>2438</v>
      </c>
    </row>
    <row r="1102">
      <c r="A1102" s="29" t="s">
        <v>1649</v>
      </c>
      <c r="B1102" s="26" t="s">
        <v>2433</v>
      </c>
      <c r="C1102" s="102">
        <v>1.0</v>
      </c>
      <c r="D1102" s="104">
        <v>1450000.0</v>
      </c>
      <c r="E1102" s="29">
        <v>290000.0</v>
      </c>
    </row>
    <row r="1103">
      <c r="A1103" s="29" t="s">
        <v>1649</v>
      </c>
      <c r="B1103" s="26" t="s">
        <v>2425</v>
      </c>
      <c r="C1103" s="102">
        <v>1.0</v>
      </c>
      <c r="D1103" s="104">
        <v>1875000.0</v>
      </c>
      <c r="E1103" s="29">
        <v>375000.0</v>
      </c>
    </row>
    <row r="1104">
      <c r="A1104" s="26" t="s">
        <v>1650</v>
      </c>
      <c r="B1104" s="26" t="s">
        <v>2429</v>
      </c>
      <c r="C1104" s="102">
        <v>24.0</v>
      </c>
      <c r="D1104" s="104">
        <v>45000.0</v>
      </c>
      <c r="E1104" s="26">
        <v>0.0</v>
      </c>
    </row>
    <row r="1105">
      <c r="A1105" s="26" t="s">
        <v>1650</v>
      </c>
      <c r="B1105" s="26" t="s">
        <v>2427</v>
      </c>
      <c r="C1105" s="102">
        <v>1.0</v>
      </c>
      <c r="D1105" s="104">
        <v>0.0</v>
      </c>
      <c r="E1105" s="26">
        <v>0.0</v>
      </c>
      <c r="F1105" s="26" t="s">
        <v>1522</v>
      </c>
    </row>
    <row r="1106">
      <c r="A1106" s="26" t="s">
        <v>1650</v>
      </c>
      <c r="B1106" s="26" t="s">
        <v>2458</v>
      </c>
      <c r="C1106" s="102">
        <v>1.0</v>
      </c>
      <c r="D1106" s="104">
        <v>0.0</v>
      </c>
      <c r="E1106" s="26">
        <v>0.0</v>
      </c>
      <c r="F1106" s="26" t="s">
        <v>1522</v>
      </c>
    </row>
    <row r="1107">
      <c r="A1107" s="26" t="s">
        <v>1650</v>
      </c>
      <c r="B1107" s="26" t="s">
        <v>2435</v>
      </c>
      <c r="C1107" s="102">
        <v>1.0</v>
      </c>
      <c r="D1107" s="104">
        <v>0.0</v>
      </c>
      <c r="E1107" s="26">
        <v>0.0</v>
      </c>
      <c r="F1107" s="26" t="s">
        <v>1522</v>
      </c>
    </row>
    <row r="1108">
      <c r="A1108" s="26" t="s">
        <v>1651</v>
      </c>
      <c r="B1108" s="26" t="s">
        <v>2425</v>
      </c>
      <c r="C1108" s="102">
        <v>1.0</v>
      </c>
      <c r="D1108" s="104">
        <v>1875000.0</v>
      </c>
      <c r="E1108" s="26">
        <v>0.0</v>
      </c>
    </row>
    <row r="1109">
      <c r="A1109" s="26" t="s">
        <v>1652</v>
      </c>
      <c r="B1109" s="26" t="s">
        <v>2426</v>
      </c>
      <c r="C1109" s="102">
        <v>24.0</v>
      </c>
      <c r="D1109" s="104">
        <v>55000.0</v>
      </c>
      <c r="E1109" s="26">
        <v>0.0</v>
      </c>
    </row>
    <row r="1110">
      <c r="A1110" s="26" t="s">
        <v>1652</v>
      </c>
      <c r="B1110" s="26" t="s">
        <v>2429</v>
      </c>
      <c r="C1110" s="102">
        <v>24.0</v>
      </c>
      <c r="D1110" s="104">
        <v>45000.0</v>
      </c>
      <c r="E1110" s="26">
        <v>0.0</v>
      </c>
    </row>
    <row r="1111">
      <c r="A1111" s="26" t="s">
        <v>1653</v>
      </c>
      <c r="B1111" s="26" t="s">
        <v>2425</v>
      </c>
      <c r="C1111" s="102">
        <v>1.0</v>
      </c>
      <c r="D1111" s="104">
        <v>1875000.0</v>
      </c>
      <c r="E1111" s="26">
        <v>0.0</v>
      </c>
    </row>
    <row r="1112">
      <c r="A1112" s="26" t="s">
        <v>1654</v>
      </c>
      <c r="B1112" s="26" t="s">
        <v>2425</v>
      </c>
      <c r="C1112" s="102">
        <v>1.0</v>
      </c>
      <c r="D1112" s="104">
        <v>1875000.0</v>
      </c>
      <c r="E1112" s="26">
        <v>0.0</v>
      </c>
    </row>
    <row r="1113">
      <c r="A1113" s="26" t="s">
        <v>1654</v>
      </c>
      <c r="B1113" s="26" t="s">
        <v>2433</v>
      </c>
      <c r="C1113" s="102">
        <v>1.0</v>
      </c>
      <c r="D1113" s="104">
        <v>1450000.0</v>
      </c>
      <c r="E1113" s="26">
        <v>0.0</v>
      </c>
    </row>
    <row r="1114">
      <c r="A1114" s="29" t="s">
        <v>1655</v>
      </c>
      <c r="B1114" s="26" t="s">
        <v>2432</v>
      </c>
      <c r="C1114" s="102">
        <v>1.0</v>
      </c>
      <c r="D1114" s="104">
        <v>1480000.0</v>
      </c>
      <c r="E1114" s="29">
        <v>296000.0</v>
      </c>
    </row>
    <row r="1115">
      <c r="A1115" s="26" t="s">
        <v>1656</v>
      </c>
      <c r="B1115" s="26" t="s">
        <v>2426</v>
      </c>
      <c r="C1115" s="102">
        <v>96.0</v>
      </c>
      <c r="D1115" s="103">
        <v>55000.0</v>
      </c>
      <c r="E1115" s="29">
        <v>0.0</v>
      </c>
    </row>
    <row r="1116">
      <c r="A1116" s="26" t="s">
        <v>1656</v>
      </c>
      <c r="B1116" s="26" t="s">
        <v>2426</v>
      </c>
      <c r="C1116" s="102">
        <v>24.0</v>
      </c>
      <c r="D1116" s="103">
        <v>0.0</v>
      </c>
      <c r="E1116" s="29">
        <v>0.0</v>
      </c>
      <c r="F1116" s="26" t="s">
        <v>2436</v>
      </c>
    </row>
    <row r="1117">
      <c r="A1117" s="26" t="s">
        <v>1656</v>
      </c>
      <c r="B1117" s="26" t="s">
        <v>2435</v>
      </c>
      <c r="C1117" s="102">
        <v>1.0</v>
      </c>
      <c r="D1117" s="103">
        <v>0.0</v>
      </c>
      <c r="E1117" s="103">
        <v>0.0</v>
      </c>
      <c r="F1117" s="26" t="s">
        <v>1522</v>
      </c>
    </row>
    <row r="1118">
      <c r="A1118" s="26" t="s">
        <v>1656</v>
      </c>
      <c r="B1118" s="26" t="s">
        <v>2458</v>
      </c>
      <c r="C1118" s="102">
        <v>1.0</v>
      </c>
      <c r="D1118" s="103">
        <v>0.0</v>
      </c>
      <c r="E1118" s="103">
        <v>0.0</v>
      </c>
      <c r="F1118" s="26" t="s">
        <v>1522</v>
      </c>
    </row>
    <row r="1119">
      <c r="A1119" s="26" t="s">
        <v>1656</v>
      </c>
      <c r="B1119" s="26" t="s">
        <v>2427</v>
      </c>
      <c r="C1119" s="102">
        <v>1.0</v>
      </c>
      <c r="D1119" s="103">
        <v>0.0</v>
      </c>
      <c r="E1119" s="103">
        <v>0.0</v>
      </c>
      <c r="F1119" s="26" t="s">
        <v>1522</v>
      </c>
    </row>
    <row r="1120">
      <c r="A1120" s="29" t="s">
        <v>1657</v>
      </c>
      <c r="B1120" s="26" t="s">
        <v>2431</v>
      </c>
      <c r="C1120" s="102">
        <v>1.0</v>
      </c>
      <c r="D1120" s="104">
        <v>2380000.0</v>
      </c>
      <c r="E1120" s="29">
        <v>476000.0</v>
      </c>
    </row>
    <row r="1121">
      <c r="A1121" s="29" t="s">
        <v>1657</v>
      </c>
      <c r="B1121" s="26" t="s">
        <v>2432</v>
      </c>
      <c r="C1121" s="102">
        <v>1.0</v>
      </c>
      <c r="D1121" s="104">
        <v>1480000.0</v>
      </c>
      <c r="E1121" s="29">
        <v>296000.0</v>
      </c>
    </row>
    <row r="1122">
      <c r="A1122" s="29" t="s">
        <v>1657</v>
      </c>
      <c r="B1122" s="26" t="s">
        <v>2433</v>
      </c>
      <c r="C1122" s="102">
        <v>1.0</v>
      </c>
      <c r="D1122" s="104">
        <v>1450000.0</v>
      </c>
      <c r="E1122" s="29">
        <v>290000.0</v>
      </c>
    </row>
    <row r="1123">
      <c r="A1123" s="26" t="s">
        <v>1658</v>
      </c>
      <c r="B1123" s="26" t="s">
        <v>2477</v>
      </c>
      <c r="C1123" s="102">
        <v>1.0</v>
      </c>
      <c r="D1123" s="104">
        <v>0.0</v>
      </c>
      <c r="E1123" s="26">
        <v>0.0</v>
      </c>
      <c r="F1123" s="26" t="s">
        <v>1522</v>
      </c>
    </row>
    <row r="1124">
      <c r="A1124" s="26" t="s">
        <v>1658</v>
      </c>
      <c r="B1124" s="26" t="s">
        <v>2435</v>
      </c>
      <c r="C1124" s="102">
        <v>1.0</v>
      </c>
      <c r="D1124" s="104">
        <v>0.0</v>
      </c>
      <c r="E1124" s="26">
        <v>0.0</v>
      </c>
      <c r="F1124" s="26" t="s">
        <v>1522</v>
      </c>
    </row>
    <row r="1125">
      <c r="A1125" s="26" t="s">
        <v>1658</v>
      </c>
      <c r="B1125" s="26" t="s">
        <v>2458</v>
      </c>
      <c r="C1125" s="102">
        <v>1.0</v>
      </c>
      <c r="D1125" s="104">
        <v>0.0</v>
      </c>
      <c r="E1125" s="26">
        <v>0.0</v>
      </c>
      <c r="F1125" s="26" t="s">
        <v>1522</v>
      </c>
    </row>
    <row r="1126">
      <c r="A1126" s="26" t="s">
        <v>1658</v>
      </c>
      <c r="B1126" s="26" t="s">
        <v>2483</v>
      </c>
      <c r="C1126" s="102">
        <v>1.0</v>
      </c>
      <c r="D1126" s="104">
        <v>0.0</v>
      </c>
      <c r="E1126" s="26">
        <v>0.0</v>
      </c>
      <c r="F1126" s="26" t="s">
        <v>1522</v>
      </c>
    </row>
    <row r="1127">
      <c r="A1127" s="26" t="s">
        <v>1660</v>
      </c>
      <c r="B1127" s="26" t="s">
        <v>2429</v>
      </c>
      <c r="C1127" s="102">
        <v>24.0</v>
      </c>
      <c r="D1127" s="103">
        <v>45000.0</v>
      </c>
      <c r="E1127" s="26">
        <v>0.0</v>
      </c>
    </row>
    <row r="1128">
      <c r="A1128" s="26" t="s">
        <v>1661</v>
      </c>
      <c r="B1128" s="26" t="s">
        <v>2430</v>
      </c>
      <c r="C1128" s="102">
        <v>24.0</v>
      </c>
      <c r="D1128" s="103">
        <v>45000.0</v>
      </c>
      <c r="E1128" s="26">
        <v>0.0</v>
      </c>
    </row>
    <row r="1129">
      <c r="A1129" s="26" t="s">
        <v>1662</v>
      </c>
      <c r="B1129" s="26" t="s">
        <v>2433</v>
      </c>
      <c r="C1129" s="102">
        <v>1.0</v>
      </c>
      <c r="D1129" s="103">
        <v>1450000.0</v>
      </c>
      <c r="E1129" s="26">
        <v>0.0</v>
      </c>
    </row>
    <row r="1130">
      <c r="A1130" s="26" t="s">
        <v>1663</v>
      </c>
      <c r="B1130" s="26" t="s">
        <v>2433</v>
      </c>
      <c r="C1130" s="102">
        <v>1.0</v>
      </c>
      <c r="D1130" s="104">
        <v>1450000.0</v>
      </c>
      <c r="E1130" s="26">
        <v>0.0</v>
      </c>
    </row>
    <row r="1131">
      <c r="A1131" s="26" t="s">
        <v>1664</v>
      </c>
      <c r="B1131" s="26" t="s">
        <v>2481</v>
      </c>
      <c r="C1131" s="102">
        <v>1000.0</v>
      </c>
      <c r="D1131" s="104">
        <v>3616.0</v>
      </c>
      <c r="E1131" s="26">
        <v>0.0</v>
      </c>
    </row>
    <row r="1132">
      <c r="A1132" s="26" t="s">
        <v>1665</v>
      </c>
      <c r="B1132" s="26" t="s">
        <v>2433</v>
      </c>
      <c r="C1132" s="102">
        <v>1.0</v>
      </c>
      <c r="D1132" s="103">
        <v>1450000.0</v>
      </c>
      <c r="E1132" s="26">
        <v>0.0</v>
      </c>
    </row>
    <row r="1133">
      <c r="A1133" s="26" t="s">
        <v>1666</v>
      </c>
      <c r="B1133" s="26" t="s">
        <v>2477</v>
      </c>
      <c r="C1133" s="102">
        <v>1.0</v>
      </c>
      <c r="D1133" s="104">
        <v>0.0</v>
      </c>
      <c r="E1133" s="26">
        <v>0.0</v>
      </c>
      <c r="F1133" s="26" t="s">
        <v>1522</v>
      </c>
    </row>
    <row r="1134">
      <c r="A1134" s="26" t="s">
        <v>1666</v>
      </c>
      <c r="B1134" s="26" t="s">
        <v>2435</v>
      </c>
      <c r="C1134" s="102">
        <v>1.0</v>
      </c>
      <c r="D1134" s="104">
        <v>0.0</v>
      </c>
      <c r="E1134" s="26">
        <v>0.0</v>
      </c>
      <c r="F1134" s="26" t="s">
        <v>1522</v>
      </c>
    </row>
    <row r="1135">
      <c r="A1135" s="26" t="s">
        <v>1666</v>
      </c>
      <c r="B1135" s="26" t="s">
        <v>2458</v>
      </c>
      <c r="C1135" s="102">
        <v>1.0</v>
      </c>
      <c r="D1135" s="104">
        <v>0.0</v>
      </c>
      <c r="E1135" s="26">
        <v>0.0</v>
      </c>
      <c r="F1135" s="26" t="s">
        <v>1522</v>
      </c>
    </row>
    <row r="1136">
      <c r="A1136" s="26" t="s">
        <v>1666</v>
      </c>
      <c r="B1136" s="26" t="s">
        <v>2483</v>
      </c>
      <c r="C1136" s="102">
        <v>1.0</v>
      </c>
      <c r="D1136" s="104">
        <v>0.0</v>
      </c>
      <c r="E1136" s="26">
        <v>0.0</v>
      </c>
      <c r="F1136" s="26" t="s">
        <v>1522</v>
      </c>
    </row>
    <row r="1137">
      <c r="A1137" s="29" t="s">
        <v>1667</v>
      </c>
      <c r="B1137" s="26" t="s">
        <v>2425</v>
      </c>
      <c r="C1137" s="102">
        <v>1.0</v>
      </c>
      <c r="D1137" s="103">
        <v>1875000.0</v>
      </c>
      <c r="E1137" s="29">
        <v>375000.0</v>
      </c>
    </row>
    <row r="1138">
      <c r="A1138" s="29" t="s">
        <v>1667</v>
      </c>
      <c r="B1138" s="26" t="s">
        <v>2432</v>
      </c>
      <c r="C1138" s="102">
        <v>1.0</v>
      </c>
      <c r="D1138" s="103">
        <v>1480000.0</v>
      </c>
      <c r="E1138" s="29">
        <v>296000.0</v>
      </c>
    </row>
    <row r="1139">
      <c r="A1139" s="29" t="s">
        <v>1667</v>
      </c>
      <c r="B1139" s="26" t="s">
        <v>2433</v>
      </c>
      <c r="C1139" s="102">
        <v>1.0</v>
      </c>
      <c r="D1139" s="103">
        <v>1450000.0</v>
      </c>
      <c r="E1139" s="29">
        <v>290000.0</v>
      </c>
    </row>
    <row r="1140">
      <c r="A1140" s="26" t="s">
        <v>1668</v>
      </c>
      <c r="B1140" s="26" t="s">
        <v>2431</v>
      </c>
      <c r="C1140" s="102">
        <v>10.0</v>
      </c>
      <c r="D1140" s="103">
        <v>2380000.0</v>
      </c>
      <c r="E1140" s="26">
        <v>0.0</v>
      </c>
    </row>
    <row r="1141">
      <c r="A1141" s="26" t="s">
        <v>1668</v>
      </c>
      <c r="B1141" s="26" t="s">
        <v>2433</v>
      </c>
      <c r="C1141" s="102">
        <v>15.0</v>
      </c>
      <c r="D1141" s="103">
        <v>1450000.0</v>
      </c>
      <c r="E1141" s="26">
        <v>0.0</v>
      </c>
    </row>
    <row r="1142">
      <c r="A1142" s="26" t="s">
        <v>1668</v>
      </c>
      <c r="B1142" s="26" t="s">
        <v>2432</v>
      </c>
      <c r="C1142" s="102">
        <v>10.0</v>
      </c>
      <c r="D1142" s="103">
        <v>1480000.0</v>
      </c>
      <c r="E1142" s="26">
        <v>0.0</v>
      </c>
    </row>
    <row r="1143">
      <c r="A1143" s="26" t="s">
        <v>1668</v>
      </c>
      <c r="B1143" s="26" t="s">
        <v>2429</v>
      </c>
      <c r="C1143" s="102">
        <v>240.0</v>
      </c>
      <c r="D1143" s="103">
        <v>45000.0</v>
      </c>
      <c r="E1143" s="26">
        <v>0.0</v>
      </c>
    </row>
    <row r="1144">
      <c r="A1144" s="26" t="s">
        <v>1668</v>
      </c>
      <c r="B1144" s="26" t="s">
        <v>2426</v>
      </c>
      <c r="C1144" s="102">
        <v>120.0</v>
      </c>
      <c r="D1144" s="103">
        <v>55000.0</v>
      </c>
      <c r="E1144" s="26">
        <v>0.0</v>
      </c>
    </row>
    <row r="1145">
      <c r="A1145" s="26" t="s">
        <v>1669</v>
      </c>
      <c r="B1145" s="26" t="s">
        <v>2433</v>
      </c>
      <c r="C1145" s="102">
        <v>1.0</v>
      </c>
      <c r="D1145" s="103">
        <v>1450000.0</v>
      </c>
      <c r="E1145" s="26">
        <v>0.0</v>
      </c>
    </row>
    <row r="1146">
      <c r="A1146" s="26" t="s">
        <v>1670</v>
      </c>
      <c r="B1146" s="26" t="s">
        <v>2430</v>
      </c>
      <c r="C1146" s="102">
        <v>24.0</v>
      </c>
      <c r="D1146" s="104">
        <v>45000.0</v>
      </c>
      <c r="E1146" s="26">
        <v>0.0</v>
      </c>
    </row>
    <row r="1147">
      <c r="A1147" s="26" t="s">
        <v>1670</v>
      </c>
      <c r="B1147" s="26" t="s">
        <v>2426</v>
      </c>
      <c r="C1147" s="102">
        <v>15.0</v>
      </c>
      <c r="D1147" s="104">
        <v>55000.0</v>
      </c>
      <c r="E1147" s="26">
        <v>0.0</v>
      </c>
    </row>
    <row r="1148">
      <c r="A1148" s="26" t="s">
        <v>1671</v>
      </c>
      <c r="B1148" s="26" t="s">
        <v>2425</v>
      </c>
      <c r="C1148" s="102">
        <v>1.0</v>
      </c>
      <c r="D1148" s="104">
        <v>1875000.0</v>
      </c>
      <c r="E1148" s="26">
        <v>0.0</v>
      </c>
    </row>
    <row r="1149">
      <c r="A1149" s="26" t="s">
        <v>1671</v>
      </c>
      <c r="B1149" s="26" t="s">
        <v>2431</v>
      </c>
      <c r="C1149" s="102">
        <v>1.0</v>
      </c>
      <c r="D1149" s="103">
        <v>2380000.0</v>
      </c>
      <c r="E1149" s="26">
        <v>0.0</v>
      </c>
    </row>
    <row r="1150">
      <c r="A1150" s="26" t="s">
        <v>1672</v>
      </c>
      <c r="B1150" s="26" t="s">
        <v>2432</v>
      </c>
      <c r="C1150" s="102">
        <v>1.0</v>
      </c>
      <c r="D1150" s="104">
        <v>1480000.0</v>
      </c>
      <c r="E1150" s="26">
        <v>0.0</v>
      </c>
    </row>
    <row r="1151">
      <c r="A1151" s="26" t="s">
        <v>1673</v>
      </c>
      <c r="B1151" s="26" t="s">
        <v>2429</v>
      </c>
      <c r="C1151" s="102">
        <v>12.0</v>
      </c>
      <c r="D1151" s="104">
        <v>45000.0</v>
      </c>
      <c r="E1151" s="26">
        <v>0.0</v>
      </c>
    </row>
    <row r="1152">
      <c r="A1152" s="26" t="s">
        <v>1673</v>
      </c>
      <c r="B1152" s="26" t="s">
        <v>2426</v>
      </c>
      <c r="C1152" s="102">
        <v>12.0</v>
      </c>
      <c r="D1152" s="104">
        <v>55000.0</v>
      </c>
      <c r="E1152" s="26">
        <v>0.0</v>
      </c>
    </row>
    <row r="1153">
      <c r="A1153" s="26" t="s">
        <v>1673</v>
      </c>
      <c r="B1153" s="26" t="s">
        <v>2437</v>
      </c>
      <c r="C1153" s="102">
        <v>6.0</v>
      </c>
      <c r="D1153" s="104">
        <v>0.0</v>
      </c>
      <c r="E1153" s="26">
        <v>0.0</v>
      </c>
      <c r="F1153" s="26" t="s">
        <v>2438</v>
      </c>
    </row>
    <row r="1154">
      <c r="A1154" s="26" t="s">
        <v>1674</v>
      </c>
      <c r="B1154" s="26" t="s">
        <v>2458</v>
      </c>
      <c r="C1154" s="102">
        <v>24.0</v>
      </c>
      <c r="D1154" s="103">
        <v>0.0</v>
      </c>
      <c r="E1154" s="29">
        <v>0.0</v>
      </c>
      <c r="F1154" s="26" t="s">
        <v>2436</v>
      </c>
    </row>
    <row r="1155">
      <c r="A1155" s="29" t="s">
        <v>1675</v>
      </c>
      <c r="B1155" s="26" t="s">
        <v>2429</v>
      </c>
      <c r="C1155" s="102">
        <v>120.0</v>
      </c>
      <c r="D1155" s="104">
        <v>45000.0</v>
      </c>
      <c r="E1155" s="29">
        <v>9000.0</v>
      </c>
    </row>
    <row r="1156">
      <c r="A1156" s="26" t="s">
        <v>1675</v>
      </c>
      <c r="B1156" s="26" t="s">
        <v>2470</v>
      </c>
      <c r="C1156" s="102">
        <v>3.0</v>
      </c>
      <c r="D1156" s="104">
        <v>0.0</v>
      </c>
      <c r="E1156" s="26">
        <v>0.0</v>
      </c>
      <c r="F1156" s="26" t="s">
        <v>2438</v>
      </c>
    </row>
    <row r="1157">
      <c r="A1157" s="26" t="s">
        <v>1676</v>
      </c>
      <c r="B1157" s="26" t="s">
        <v>2434</v>
      </c>
      <c r="C1157" s="102">
        <v>1.0</v>
      </c>
      <c r="D1157" s="103">
        <v>1350000.0</v>
      </c>
      <c r="E1157" s="26">
        <v>0.0</v>
      </c>
    </row>
    <row r="1158">
      <c r="A1158" s="26" t="s">
        <v>1677</v>
      </c>
      <c r="B1158" s="26" t="s">
        <v>2433</v>
      </c>
      <c r="C1158" s="102">
        <v>1.0</v>
      </c>
      <c r="D1158" s="103">
        <v>1450000.0</v>
      </c>
      <c r="E1158" s="26">
        <v>0.0</v>
      </c>
    </row>
    <row r="1159">
      <c r="A1159" s="26" t="s">
        <v>1678</v>
      </c>
      <c r="B1159" s="26" t="s">
        <v>2433</v>
      </c>
      <c r="C1159" s="102">
        <v>1.0</v>
      </c>
      <c r="D1159" s="104">
        <v>1450000.0</v>
      </c>
      <c r="E1159" s="26">
        <v>0.0</v>
      </c>
    </row>
    <row r="1160">
      <c r="A1160" s="26" t="s">
        <v>1679</v>
      </c>
      <c r="B1160" s="26" t="s">
        <v>2429</v>
      </c>
      <c r="C1160" s="102">
        <v>8.0</v>
      </c>
      <c r="D1160" s="104">
        <v>0.0</v>
      </c>
      <c r="E1160" s="26">
        <v>0.0</v>
      </c>
      <c r="F1160" s="26" t="s">
        <v>2443</v>
      </c>
    </row>
    <row r="1161">
      <c r="A1161" s="26" t="s">
        <v>1679</v>
      </c>
      <c r="B1161" s="26" t="s">
        <v>2435</v>
      </c>
      <c r="C1161" s="102">
        <v>8.0</v>
      </c>
      <c r="D1161" s="104">
        <v>0.0</v>
      </c>
      <c r="E1161" s="26">
        <v>0.0</v>
      </c>
      <c r="F1161" s="26" t="s">
        <v>2443</v>
      </c>
    </row>
    <row r="1162">
      <c r="A1162" s="26" t="s">
        <v>1679</v>
      </c>
      <c r="B1162" s="26" t="s">
        <v>2430</v>
      </c>
      <c r="C1162" s="102">
        <v>8.0</v>
      </c>
      <c r="D1162" s="104">
        <v>0.0</v>
      </c>
      <c r="E1162" s="26">
        <v>0.0</v>
      </c>
      <c r="F1162" s="26" t="s">
        <v>2443</v>
      </c>
    </row>
    <row r="1163">
      <c r="A1163" s="26" t="s">
        <v>1679</v>
      </c>
      <c r="B1163" s="26" t="s">
        <v>2426</v>
      </c>
      <c r="C1163" s="102">
        <v>8.0</v>
      </c>
      <c r="D1163" s="104">
        <v>0.0</v>
      </c>
      <c r="E1163" s="26">
        <v>0.0</v>
      </c>
      <c r="F1163" s="26" t="s">
        <v>2443</v>
      </c>
    </row>
    <row r="1164">
      <c r="A1164" s="26" t="s">
        <v>1679</v>
      </c>
      <c r="B1164" s="26" t="s">
        <v>2458</v>
      </c>
      <c r="C1164" s="102">
        <v>8.0</v>
      </c>
      <c r="D1164" s="104">
        <v>0.0</v>
      </c>
      <c r="E1164" s="26">
        <v>0.0</v>
      </c>
      <c r="F1164" s="26" t="s">
        <v>2443</v>
      </c>
    </row>
    <row r="1165">
      <c r="A1165" s="26" t="s">
        <v>1679</v>
      </c>
      <c r="B1165" s="26" t="s">
        <v>2427</v>
      </c>
      <c r="C1165" s="102">
        <v>8.0</v>
      </c>
      <c r="D1165" s="104">
        <v>0.0</v>
      </c>
      <c r="E1165" s="26">
        <v>0.0</v>
      </c>
      <c r="F1165" s="26" t="s">
        <v>2443</v>
      </c>
    </row>
    <row r="1166">
      <c r="A1166" s="26" t="s">
        <v>1680</v>
      </c>
      <c r="B1166" s="26" t="s">
        <v>2433</v>
      </c>
      <c r="C1166" s="102">
        <v>1.0</v>
      </c>
      <c r="D1166" s="104">
        <v>1450000.0</v>
      </c>
      <c r="E1166" s="26">
        <v>0.0</v>
      </c>
    </row>
    <row r="1167">
      <c r="A1167" s="29" t="s">
        <v>1681</v>
      </c>
      <c r="B1167" s="26" t="s">
        <v>2425</v>
      </c>
      <c r="C1167" s="102">
        <v>1.0</v>
      </c>
      <c r="D1167" s="104">
        <v>1875000.0</v>
      </c>
      <c r="E1167" s="29">
        <v>375000.0</v>
      </c>
    </row>
    <row r="1168">
      <c r="A1168" s="29" t="s">
        <v>1681</v>
      </c>
      <c r="B1168" s="26" t="s">
        <v>2432</v>
      </c>
      <c r="C1168" s="102">
        <v>1.0</v>
      </c>
      <c r="D1168" s="104">
        <v>1480000.0</v>
      </c>
      <c r="E1168" s="29">
        <v>296000.0</v>
      </c>
    </row>
    <row r="1169">
      <c r="A1169" s="26" t="s">
        <v>1682</v>
      </c>
      <c r="B1169" s="26" t="s">
        <v>2425</v>
      </c>
      <c r="C1169" s="102">
        <v>1.0</v>
      </c>
      <c r="D1169" s="103">
        <v>1875000.0</v>
      </c>
      <c r="E1169" s="26">
        <v>0.0</v>
      </c>
    </row>
    <row r="1170">
      <c r="A1170" s="29" t="s">
        <v>1683</v>
      </c>
      <c r="B1170" s="26" t="s">
        <v>2430</v>
      </c>
      <c r="C1170" s="102">
        <v>24.0</v>
      </c>
      <c r="D1170" s="103">
        <v>45000.0</v>
      </c>
      <c r="E1170" s="29">
        <v>4500.0</v>
      </c>
    </row>
    <row r="1171">
      <c r="A1171" s="29" t="s">
        <v>1683</v>
      </c>
      <c r="B1171" s="26" t="s">
        <v>2426</v>
      </c>
      <c r="C1171" s="102">
        <v>24.0</v>
      </c>
      <c r="D1171" s="103">
        <v>55000.0</v>
      </c>
      <c r="E1171" s="29">
        <v>5500.0</v>
      </c>
    </row>
    <row r="1172">
      <c r="A1172" s="26" t="s">
        <v>1683</v>
      </c>
      <c r="B1172" s="26" t="s">
        <v>2437</v>
      </c>
      <c r="C1172" s="102">
        <v>6.0</v>
      </c>
      <c r="D1172" s="103">
        <v>0.0</v>
      </c>
      <c r="E1172" s="29">
        <v>0.0</v>
      </c>
      <c r="F1172" s="26" t="s">
        <v>2438</v>
      </c>
    </row>
    <row r="1173">
      <c r="A1173" s="26" t="s">
        <v>1683</v>
      </c>
      <c r="B1173" s="26" t="s">
        <v>2428</v>
      </c>
      <c r="C1173" s="102">
        <v>1.0</v>
      </c>
      <c r="D1173" s="103">
        <v>0.0</v>
      </c>
      <c r="E1173" s="29">
        <v>0.0</v>
      </c>
      <c r="F1173" s="26" t="s">
        <v>2490</v>
      </c>
    </row>
    <row r="1174">
      <c r="A1174" s="26" t="s">
        <v>1683</v>
      </c>
      <c r="B1174" s="26" t="s">
        <v>2483</v>
      </c>
      <c r="C1174" s="102">
        <v>1.0</v>
      </c>
      <c r="D1174" s="103">
        <v>0.0</v>
      </c>
      <c r="E1174" s="29">
        <v>0.0</v>
      </c>
      <c r="F1174" s="26" t="s">
        <v>2490</v>
      </c>
    </row>
    <row r="1175">
      <c r="A1175" s="29" t="s">
        <v>1684</v>
      </c>
      <c r="B1175" s="26" t="s">
        <v>2433</v>
      </c>
      <c r="C1175" s="102">
        <v>1.0</v>
      </c>
      <c r="D1175" s="104">
        <v>1450000.0</v>
      </c>
      <c r="E1175" s="29">
        <v>290000.0</v>
      </c>
    </row>
    <row r="1176">
      <c r="A1176" s="29" t="s">
        <v>1684</v>
      </c>
      <c r="B1176" s="26" t="s">
        <v>2432</v>
      </c>
      <c r="C1176" s="102">
        <v>1.0</v>
      </c>
      <c r="D1176" s="104">
        <v>1480000.0</v>
      </c>
      <c r="E1176" s="29">
        <v>296000.0</v>
      </c>
    </row>
    <row r="1177">
      <c r="A1177" s="26" t="s">
        <v>1684</v>
      </c>
      <c r="B1177" s="26" t="s">
        <v>2437</v>
      </c>
      <c r="C1177" s="102">
        <v>6.0</v>
      </c>
      <c r="D1177" s="103">
        <v>0.0</v>
      </c>
      <c r="E1177" s="26">
        <v>0.0</v>
      </c>
      <c r="F1177" s="26" t="s">
        <v>2438</v>
      </c>
    </row>
    <row r="1178">
      <c r="A1178" s="26" t="s">
        <v>1685</v>
      </c>
      <c r="B1178" s="26" t="s">
        <v>2426</v>
      </c>
      <c r="C1178" s="102">
        <v>48.0</v>
      </c>
      <c r="D1178" s="103">
        <v>55000.0</v>
      </c>
      <c r="E1178" s="26">
        <v>0.0</v>
      </c>
    </row>
    <row r="1179">
      <c r="A1179" s="26" t="s">
        <v>1686</v>
      </c>
      <c r="B1179" s="26" t="s">
        <v>2429</v>
      </c>
      <c r="C1179" s="102">
        <v>48.0</v>
      </c>
      <c r="D1179" s="103">
        <v>45000.0</v>
      </c>
      <c r="E1179" s="26">
        <v>0.0</v>
      </c>
    </row>
    <row r="1180">
      <c r="A1180" s="26" t="s">
        <v>1687</v>
      </c>
      <c r="B1180" s="26" t="s">
        <v>2433</v>
      </c>
      <c r="C1180" s="102">
        <v>1.0</v>
      </c>
      <c r="D1180" s="103">
        <v>1450000.0</v>
      </c>
      <c r="E1180" s="26">
        <v>0.0</v>
      </c>
    </row>
    <row r="1181">
      <c r="A1181" s="29" t="s">
        <v>1688</v>
      </c>
      <c r="B1181" s="26" t="s">
        <v>2425</v>
      </c>
      <c r="C1181" s="102">
        <v>1.0</v>
      </c>
      <c r="D1181" s="103">
        <v>1875000.0</v>
      </c>
      <c r="E1181" s="29">
        <v>281250.0</v>
      </c>
    </row>
    <row r="1182">
      <c r="A1182" s="26" t="s">
        <v>1689</v>
      </c>
      <c r="B1182" s="26" t="s">
        <v>2429</v>
      </c>
      <c r="C1182" s="102">
        <v>24.0</v>
      </c>
      <c r="D1182" s="103">
        <v>45000.0</v>
      </c>
      <c r="E1182" s="26">
        <v>0.0</v>
      </c>
    </row>
    <row r="1183">
      <c r="A1183" s="26" t="s">
        <v>1689</v>
      </c>
      <c r="B1183" s="26" t="s">
        <v>2426</v>
      </c>
      <c r="C1183" s="102">
        <v>24.0</v>
      </c>
      <c r="D1183" s="103">
        <v>55000.0</v>
      </c>
      <c r="E1183" s="26">
        <v>0.0</v>
      </c>
    </row>
    <row r="1184">
      <c r="A1184" s="26" t="s">
        <v>1690</v>
      </c>
      <c r="B1184" s="26" t="s">
        <v>2426</v>
      </c>
      <c r="C1184" s="102">
        <v>10.0</v>
      </c>
      <c r="D1184" s="103">
        <v>55000.0</v>
      </c>
      <c r="E1184" s="26">
        <v>0.0</v>
      </c>
    </row>
    <row r="1185">
      <c r="A1185" s="26" t="s">
        <v>1690</v>
      </c>
      <c r="B1185" s="26" t="s">
        <v>2478</v>
      </c>
      <c r="C1185" s="102">
        <v>7.0</v>
      </c>
      <c r="D1185" s="103">
        <v>45000.0</v>
      </c>
      <c r="E1185" s="26">
        <v>0.0</v>
      </c>
    </row>
    <row r="1186">
      <c r="A1186" s="26" t="s">
        <v>1690</v>
      </c>
      <c r="B1186" s="26" t="s">
        <v>2429</v>
      </c>
      <c r="C1186" s="102">
        <v>7.0</v>
      </c>
      <c r="D1186" s="103">
        <v>45000.0</v>
      </c>
      <c r="E1186" s="26">
        <v>0.0</v>
      </c>
    </row>
    <row r="1187">
      <c r="A1187" s="26" t="s">
        <v>1691</v>
      </c>
      <c r="B1187" s="26" t="s">
        <v>2433</v>
      </c>
      <c r="C1187" s="102">
        <v>1.0</v>
      </c>
      <c r="D1187" s="104">
        <v>1450000.0</v>
      </c>
      <c r="E1187" s="26">
        <v>0.0</v>
      </c>
    </row>
    <row r="1188">
      <c r="A1188" s="26" t="s">
        <v>1692</v>
      </c>
      <c r="B1188" s="26" t="s">
        <v>2491</v>
      </c>
      <c r="C1188" s="102">
        <v>1204.0</v>
      </c>
      <c r="D1188" s="103">
        <v>0.0</v>
      </c>
      <c r="E1188" s="29">
        <v>0.0</v>
      </c>
      <c r="F1188" s="26" t="s">
        <v>2492</v>
      </c>
    </row>
    <row r="1189">
      <c r="A1189" s="26" t="s">
        <v>1694</v>
      </c>
      <c r="B1189" s="26" t="s">
        <v>2429</v>
      </c>
      <c r="C1189" s="102">
        <v>24.0</v>
      </c>
      <c r="D1189" s="103">
        <v>45000.0</v>
      </c>
      <c r="E1189" s="29">
        <v>0.0</v>
      </c>
    </row>
    <row r="1190">
      <c r="A1190" s="26" t="s">
        <v>1695</v>
      </c>
      <c r="B1190" s="26" t="s">
        <v>2435</v>
      </c>
      <c r="C1190" s="102">
        <v>72.0</v>
      </c>
      <c r="D1190" s="104">
        <v>40000.0</v>
      </c>
      <c r="E1190" s="29">
        <v>0.0</v>
      </c>
    </row>
    <row r="1191">
      <c r="A1191" s="26" t="s">
        <v>1695</v>
      </c>
      <c r="B1191" s="26" t="s">
        <v>2426</v>
      </c>
      <c r="C1191" s="102">
        <v>48.0</v>
      </c>
      <c r="D1191" s="103">
        <v>55000.0</v>
      </c>
      <c r="E1191" s="29">
        <v>0.0</v>
      </c>
    </row>
    <row r="1192">
      <c r="A1192" s="26" t="s">
        <v>1695</v>
      </c>
      <c r="B1192" s="26" t="s">
        <v>2483</v>
      </c>
      <c r="C1192" s="102">
        <v>24.0</v>
      </c>
      <c r="D1192" s="103">
        <v>0.0</v>
      </c>
      <c r="E1192" s="29">
        <v>0.0</v>
      </c>
      <c r="F1192" s="26" t="s">
        <v>2436</v>
      </c>
    </row>
    <row r="1193">
      <c r="A1193" s="26" t="s">
        <v>1696</v>
      </c>
      <c r="B1193" s="26" t="s">
        <v>2433</v>
      </c>
      <c r="C1193" s="26">
        <v>1.0</v>
      </c>
      <c r="D1193" s="29">
        <v>1450000.0</v>
      </c>
      <c r="E1193" s="26">
        <v>0.0</v>
      </c>
    </row>
    <row r="1194">
      <c r="A1194" s="29" t="s">
        <v>1697</v>
      </c>
      <c r="B1194" s="26" t="s">
        <v>2431</v>
      </c>
      <c r="C1194" s="26">
        <v>1.0</v>
      </c>
      <c r="D1194" s="29">
        <v>2380000.0</v>
      </c>
      <c r="E1194" s="29">
        <v>476000.0</v>
      </c>
    </row>
    <row r="1195">
      <c r="A1195" s="29" t="s">
        <v>1697</v>
      </c>
      <c r="B1195" s="26" t="s">
        <v>2433</v>
      </c>
      <c r="C1195" s="26">
        <v>1.0</v>
      </c>
      <c r="D1195" s="29">
        <v>1450000.0</v>
      </c>
      <c r="E1195" s="29">
        <v>290000.0</v>
      </c>
    </row>
    <row r="1196">
      <c r="A1196" s="29" t="s">
        <v>1697</v>
      </c>
      <c r="B1196" s="26" t="s">
        <v>2425</v>
      </c>
      <c r="C1196" s="26">
        <v>1.0</v>
      </c>
      <c r="D1196" s="29">
        <v>1875000.0</v>
      </c>
      <c r="E1196" s="29">
        <v>375000.0</v>
      </c>
    </row>
    <row r="1197">
      <c r="A1197" s="26" t="s">
        <v>1698</v>
      </c>
      <c r="B1197" s="26" t="s">
        <v>2426</v>
      </c>
      <c r="C1197" s="26">
        <v>3.0</v>
      </c>
      <c r="D1197" s="26">
        <v>0.0</v>
      </c>
      <c r="E1197" s="26">
        <v>0.0</v>
      </c>
      <c r="F1197" s="26" t="s">
        <v>1522</v>
      </c>
    </row>
    <row r="1198">
      <c r="A1198" s="26" t="s">
        <v>1698</v>
      </c>
      <c r="B1198" s="26" t="s">
        <v>2429</v>
      </c>
      <c r="C1198" s="26">
        <v>3.0</v>
      </c>
      <c r="D1198" s="26">
        <v>0.0</v>
      </c>
      <c r="E1198" s="26">
        <v>0.0</v>
      </c>
      <c r="F1198" s="26" t="s">
        <v>1522</v>
      </c>
    </row>
    <row r="1199">
      <c r="A1199" s="26" t="s">
        <v>1698</v>
      </c>
      <c r="B1199" s="26" t="s">
        <v>2435</v>
      </c>
      <c r="C1199" s="26">
        <v>6.0</v>
      </c>
      <c r="D1199" s="26">
        <v>0.0</v>
      </c>
      <c r="E1199" s="26">
        <v>0.0</v>
      </c>
      <c r="F1199" s="26" t="s">
        <v>1522</v>
      </c>
    </row>
    <row r="1200">
      <c r="A1200" s="26" t="s">
        <v>1698</v>
      </c>
      <c r="B1200" s="26" t="s">
        <v>2458</v>
      </c>
      <c r="C1200" s="26">
        <v>6.0</v>
      </c>
      <c r="D1200" s="26">
        <v>0.0</v>
      </c>
      <c r="E1200" s="26">
        <v>0.0</v>
      </c>
      <c r="F1200" s="26" t="s">
        <v>1522</v>
      </c>
    </row>
    <row r="1201">
      <c r="A1201" s="26" t="s">
        <v>1698</v>
      </c>
      <c r="B1201" s="26" t="s">
        <v>2427</v>
      </c>
      <c r="C1201" s="26">
        <v>2.0</v>
      </c>
      <c r="D1201" s="26">
        <v>0.0</v>
      </c>
      <c r="E1201" s="26">
        <v>0.0</v>
      </c>
      <c r="F1201" s="26" t="s">
        <v>1522</v>
      </c>
    </row>
    <row r="1202">
      <c r="A1202" s="26" t="s">
        <v>1699</v>
      </c>
      <c r="B1202" s="26" t="s">
        <v>2429</v>
      </c>
      <c r="C1202" s="26">
        <v>24.0</v>
      </c>
      <c r="D1202" s="29">
        <v>45000.0</v>
      </c>
      <c r="E1202" s="26">
        <v>0.0</v>
      </c>
    </row>
    <row r="1203">
      <c r="A1203" s="26" t="s">
        <v>1700</v>
      </c>
      <c r="B1203" s="26" t="s">
        <v>2433</v>
      </c>
      <c r="C1203" s="26">
        <v>1.0</v>
      </c>
      <c r="D1203" s="29">
        <v>1450000.0</v>
      </c>
      <c r="E1203" s="26">
        <v>0.0</v>
      </c>
    </row>
    <row r="1204">
      <c r="A1204" s="26" t="s">
        <v>1701</v>
      </c>
      <c r="B1204" s="26" t="s">
        <v>2429</v>
      </c>
      <c r="C1204" s="26">
        <v>24.0</v>
      </c>
      <c r="D1204" s="29">
        <v>45000.0</v>
      </c>
      <c r="E1204" s="26">
        <v>0.0</v>
      </c>
    </row>
    <row r="1205">
      <c r="A1205" s="26" t="s">
        <v>1701</v>
      </c>
      <c r="B1205" s="26" t="s">
        <v>2426</v>
      </c>
      <c r="C1205" s="26">
        <v>15.0</v>
      </c>
      <c r="D1205" s="29">
        <v>55000.0</v>
      </c>
      <c r="E1205" s="26">
        <v>0.0</v>
      </c>
    </row>
    <row r="1206">
      <c r="A1206" s="26" t="s">
        <v>1701</v>
      </c>
      <c r="B1206" s="26" t="s">
        <v>2483</v>
      </c>
      <c r="C1206" s="26">
        <v>24.0</v>
      </c>
      <c r="D1206" s="26">
        <v>60000.0</v>
      </c>
      <c r="E1206" s="26">
        <v>0.0</v>
      </c>
    </row>
    <row r="1207">
      <c r="A1207" s="26" t="s">
        <v>1702</v>
      </c>
      <c r="B1207" s="26" t="s">
        <v>2426</v>
      </c>
      <c r="C1207" s="26">
        <v>48.0</v>
      </c>
      <c r="D1207" s="29">
        <v>55000.0</v>
      </c>
      <c r="E1207" s="26">
        <v>0.0</v>
      </c>
    </row>
    <row r="1208">
      <c r="A1208" s="26" t="s">
        <v>1703</v>
      </c>
      <c r="B1208" s="26" t="s">
        <v>2431</v>
      </c>
      <c r="C1208" s="26">
        <v>1.0</v>
      </c>
      <c r="D1208" s="29">
        <v>2380000.0</v>
      </c>
      <c r="E1208" s="26">
        <v>0.0</v>
      </c>
    </row>
    <row r="1209">
      <c r="A1209" s="26" t="s">
        <v>1704</v>
      </c>
      <c r="B1209" s="26" t="s">
        <v>2433</v>
      </c>
      <c r="C1209" s="26">
        <v>1.0</v>
      </c>
      <c r="D1209" s="29">
        <v>1450000.0</v>
      </c>
      <c r="E1209" s="26">
        <v>0.0</v>
      </c>
    </row>
    <row r="1210">
      <c r="A1210" s="26" t="s">
        <v>1704</v>
      </c>
      <c r="B1210" s="26" t="s">
        <v>2425</v>
      </c>
      <c r="C1210" s="26">
        <v>1.0</v>
      </c>
      <c r="D1210" s="29">
        <v>1875000.0</v>
      </c>
      <c r="E1210" s="26">
        <v>0.0</v>
      </c>
    </row>
    <row r="1211">
      <c r="A1211" s="26" t="s">
        <v>1704</v>
      </c>
      <c r="B1211" s="26" t="s">
        <v>2437</v>
      </c>
      <c r="C1211" s="26">
        <v>6.0</v>
      </c>
      <c r="D1211" s="26">
        <v>0.0</v>
      </c>
      <c r="E1211" s="26">
        <v>0.0</v>
      </c>
      <c r="F1211" s="26" t="s">
        <v>2438</v>
      </c>
    </row>
    <row r="1212">
      <c r="A1212" s="26" t="s">
        <v>1704</v>
      </c>
      <c r="B1212" s="26" t="s">
        <v>2447</v>
      </c>
      <c r="C1212" s="26">
        <v>2.0</v>
      </c>
      <c r="D1212" s="26">
        <v>0.0</v>
      </c>
      <c r="E1212" s="26">
        <v>0.0</v>
      </c>
      <c r="F1212" s="26" t="s">
        <v>2438</v>
      </c>
    </row>
    <row r="1213">
      <c r="A1213" s="26" t="s">
        <v>1705</v>
      </c>
      <c r="B1213" s="26" t="s">
        <v>2431</v>
      </c>
      <c r="C1213" s="26">
        <v>1.0</v>
      </c>
      <c r="D1213" s="29">
        <v>2380000.0</v>
      </c>
      <c r="E1213" s="26">
        <v>0.0</v>
      </c>
    </row>
    <row r="1214">
      <c r="A1214" s="26" t="s">
        <v>1705</v>
      </c>
      <c r="B1214" s="26" t="s">
        <v>2427</v>
      </c>
      <c r="C1214" s="26">
        <v>1.0</v>
      </c>
      <c r="D1214" s="26">
        <v>0.0</v>
      </c>
      <c r="E1214" s="26">
        <v>0.0</v>
      </c>
      <c r="F1214" s="26" t="s">
        <v>1522</v>
      </c>
    </row>
    <row r="1215">
      <c r="A1215" s="26" t="s">
        <v>1706</v>
      </c>
      <c r="B1215" s="26" t="s">
        <v>2433</v>
      </c>
      <c r="C1215" s="26">
        <v>1.0</v>
      </c>
      <c r="D1215" s="29">
        <v>1450000.0</v>
      </c>
      <c r="E1215" s="26">
        <v>0.0</v>
      </c>
    </row>
    <row r="1216">
      <c r="A1216" s="26" t="s">
        <v>1707</v>
      </c>
      <c r="B1216" s="26" t="s">
        <v>2433</v>
      </c>
      <c r="C1216" s="26">
        <v>1.0</v>
      </c>
      <c r="D1216" s="29">
        <v>1450000.0</v>
      </c>
      <c r="E1216" s="26">
        <v>0.0</v>
      </c>
    </row>
    <row r="1217">
      <c r="A1217" s="26" t="s">
        <v>1708</v>
      </c>
      <c r="B1217" s="26" t="s">
        <v>2429</v>
      </c>
      <c r="C1217" s="26">
        <v>48.0</v>
      </c>
      <c r="D1217" s="29">
        <v>45000.0</v>
      </c>
      <c r="E1217" s="26">
        <v>0.0</v>
      </c>
    </row>
    <row r="1218">
      <c r="A1218" s="26" t="s">
        <v>1708</v>
      </c>
      <c r="B1218" s="26" t="s">
        <v>2430</v>
      </c>
      <c r="C1218" s="26">
        <v>15.0</v>
      </c>
      <c r="D1218" s="29">
        <v>45000.0</v>
      </c>
      <c r="E1218" s="26">
        <v>0.0</v>
      </c>
    </row>
    <row r="1219">
      <c r="A1219" s="26" t="s">
        <v>1709</v>
      </c>
      <c r="B1219" s="26" t="s">
        <v>2491</v>
      </c>
      <c r="C1219" s="26">
        <v>168.0</v>
      </c>
      <c r="D1219" s="26">
        <v>0.0</v>
      </c>
      <c r="E1219" s="26">
        <v>0.0</v>
      </c>
      <c r="F1219" s="26" t="s">
        <v>2493</v>
      </c>
    </row>
    <row r="1220">
      <c r="A1220" s="29" t="s">
        <v>1709</v>
      </c>
      <c r="B1220" s="26" t="s">
        <v>2432</v>
      </c>
      <c r="C1220" s="26">
        <v>10.0</v>
      </c>
      <c r="D1220" s="29">
        <v>1480000.0</v>
      </c>
      <c r="E1220" s="29">
        <v>518000.0</v>
      </c>
    </row>
    <row r="1221">
      <c r="A1221" s="29" t="s">
        <v>1709</v>
      </c>
      <c r="B1221" s="26" t="s">
        <v>2433</v>
      </c>
      <c r="C1221" s="26">
        <v>10.0</v>
      </c>
      <c r="D1221" s="29">
        <v>1450000.0</v>
      </c>
      <c r="E1221" s="29">
        <v>507500.0</v>
      </c>
    </row>
    <row r="1222">
      <c r="A1222" s="29" t="s">
        <v>1709</v>
      </c>
      <c r="B1222" s="26" t="s">
        <v>2425</v>
      </c>
      <c r="C1222" s="26">
        <v>10.0</v>
      </c>
      <c r="D1222" s="29">
        <v>1875000.0</v>
      </c>
      <c r="E1222" s="29">
        <v>656250.0</v>
      </c>
    </row>
    <row r="1223">
      <c r="A1223" s="29" t="s">
        <v>1709</v>
      </c>
      <c r="B1223" s="26" t="s">
        <v>2434</v>
      </c>
      <c r="C1223" s="26">
        <v>7.0</v>
      </c>
      <c r="D1223" s="29">
        <v>1350000.0</v>
      </c>
      <c r="E1223" s="29">
        <v>472500.0</v>
      </c>
    </row>
    <row r="1224">
      <c r="A1224" s="29" t="s">
        <v>1709</v>
      </c>
      <c r="B1224" s="26" t="s">
        <v>2440</v>
      </c>
      <c r="C1224" s="26">
        <v>3.0</v>
      </c>
      <c r="D1224" s="29">
        <v>2500000.0</v>
      </c>
      <c r="E1224" s="29">
        <v>875000.0</v>
      </c>
    </row>
    <row r="1225">
      <c r="A1225" s="26" t="s">
        <v>1709</v>
      </c>
      <c r="B1225" s="26" t="s">
        <v>2440</v>
      </c>
      <c r="C1225" s="26">
        <v>1.0</v>
      </c>
      <c r="D1225" s="26">
        <v>0.0</v>
      </c>
      <c r="E1225" s="26">
        <v>0.0</v>
      </c>
      <c r="F1225" s="26" t="s">
        <v>2436</v>
      </c>
    </row>
    <row r="1226">
      <c r="A1226" s="26" t="s">
        <v>1709</v>
      </c>
      <c r="B1226" s="26" t="s">
        <v>2494</v>
      </c>
      <c r="C1226" s="26">
        <v>1.0</v>
      </c>
      <c r="D1226" s="26">
        <v>0.0</v>
      </c>
      <c r="E1226" s="26">
        <v>0.0</v>
      </c>
      <c r="F1226" s="26" t="s">
        <v>2436</v>
      </c>
    </row>
    <row r="1227">
      <c r="A1227" s="26" t="s">
        <v>1709</v>
      </c>
      <c r="B1227" s="26" t="s">
        <v>2430</v>
      </c>
      <c r="C1227" s="26">
        <v>12.0</v>
      </c>
      <c r="D1227" s="26">
        <v>0.0</v>
      </c>
      <c r="E1227" s="26">
        <v>0.0</v>
      </c>
      <c r="F1227" s="26" t="s">
        <v>2436</v>
      </c>
    </row>
    <row r="1228">
      <c r="A1228" s="26" t="s">
        <v>1709</v>
      </c>
      <c r="B1228" s="26" t="s">
        <v>2478</v>
      </c>
      <c r="C1228" s="26">
        <v>12.0</v>
      </c>
      <c r="D1228" s="26">
        <v>0.0</v>
      </c>
      <c r="E1228" s="26">
        <v>0.0</v>
      </c>
      <c r="F1228" s="26" t="s">
        <v>2436</v>
      </c>
    </row>
    <row r="1229">
      <c r="A1229" s="26" t="s">
        <v>1709</v>
      </c>
      <c r="B1229" s="26" t="s">
        <v>2428</v>
      </c>
      <c r="C1229" s="26">
        <v>12.0</v>
      </c>
      <c r="D1229" s="26">
        <v>0.0</v>
      </c>
      <c r="E1229" s="26">
        <v>0.0</v>
      </c>
      <c r="F1229" s="26" t="s">
        <v>2436</v>
      </c>
    </row>
    <row r="1230">
      <c r="A1230" s="26" t="s">
        <v>1709</v>
      </c>
      <c r="B1230" s="26" t="s">
        <v>2429</v>
      </c>
      <c r="C1230" s="26">
        <v>12.0</v>
      </c>
      <c r="D1230" s="26">
        <v>0.0</v>
      </c>
      <c r="E1230" s="26">
        <v>0.0</v>
      </c>
      <c r="F1230" s="26" t="s">
        <v>2436</v>
      </c>
    </row>
    <row r="1231">
      <c r="A1231" s="26" t="s">
        <v>1709</v>
      </c>
      <c r="B1231" s="26" t="s">
        <v>2426</v>
      </c>
      <c r="C1231" s="26">
        <v>12.0</v>
      </c>
      <c r="D1231" s="26">
        <v>0.0</v>
      </c>
      <c r="E1231" s="26">
        <v>0.0</v>
      </c>
      <c r="F1231" s="26" t="s">
        <v>2436</v>
      </c>
    </row>
    <row r="1232">
      <c r="A1232" s="26" t="s">
        <v>1709</v>
      </c>
      <c r="B1232" s="26" t="s">
        <v>2476</v>
      </c>
      <c r="C1232" s="26">
        <v>12.0</v>
      </c>
      <c r="D1232" s="26">
        <v>0.0</v>
      </c>
      <c r="E1232" s="26">
        <v>0.0</v>
      </c>
      <c r="F1232" s="26" t="s">
        <v>2436</v>
      </c>
    </row>
    <row r="1233">
      <c r="A1233" s="26" t="s">
        <v>1709</v>
      </c>
      <c r="B1233" s="26" t="s">
        <v>2435</v>
      </c>
      <c r="C1233" s="26">
        <v>12.0</v>
      </c>
      <c r="D1233" s="26">
        <v>0.0</v>
      </c>
      <c r="E1233" s="26">
        <v>0.0</v>
      </c>
      <c r="F1233" s="26" t="s">
        <v>2436</v>
      </c>
    </row>
    <row r="1234">
      <c r="A1234" s="26" t="s">
        <v>1709</v>
      </c>
      <c r="B1234" s="26" t="s">
        <v>2483</v>
      </c>
      <c r="C1234" s="26">
        <v>12.0</v>
      </c>
      <c r="D1234" s="26">
        <v>0.0</v>
      </c>
      <c r="E1234" s="26">
        <v>0.0</v>
      </c>
      <c r="F1234" s="26" t="s">
        <v>2436</v>
      </c>
    </row>
    <row r="1235">
      <c r="A1235" s="26" t="s">
        <v>1709</v>
      </c>
      <c r="B1235" s="26" t="s">
        <v>2458</v>
      </c>
      <c r="C1235" s="26">
        <v>12.0</v>
      </c>
      <c r="D1235" s="26">
        <v>0.0</v>
      </c>
      <c r="E1235" s="26">
        <v>0.0</v>
      </c>
      <c r="F1235" s="26" t="s">
        <v>2436</v>
      </c>
    </row>
    <row r="1236">
      <c r="A1236" s="26" t="s">
        <v>1709</v>
      </c>
      <c r="B1236" s="26" t="s">
        <v>2427</v>
      </c>
      <c r="C1236" s="26">
        <v>12.0</v>
      </c>
      <c r="D1236" s="26">
        <v>0.0</v>
      </c>
      <c r="E1236" s="26">
        <v>0.0</v>
      </c>
      <c r="F1236" s="26" t="s">
        <v>2436</v>
      </c>
    </row>
    <row r="1237">
      <c r="A1237" s="26" t="s">
        <v>1710</v>
      </c>
      <c r="B1237" s="26" t="s">
        <v>2433</v>
      </c>
      <c r="C1237" s="26">
        <v>7.0</v>
      </c>
      <c r="D1237" s="29">
        <v>1450000.0</v>
      </c>
      <c r="E1237" s="26">
        <v>0.0</v>
      </c>
    </row>
    <row r="1238">
      <c r="A1238" s="26" t="s">
        <v>1710</v>
      </c>
      <c r="B1238" s="26" t="s">
        <v>2425</v>
      </c>
      <c r="C1238" s="26">
        <v>5.0</v>
      </c>
      <c r="D1238" s="29">
        <v>1875000.0</v>
      </c>
      <c r="E1238" s="26">
        <v>0.0</v>
      </c>
    </row>
    <row r="1239">
      <c r="A1239" s="26" t="s">
        <v>1710</v>
      </c>
      <c r="B1239" s="26" t="s">
        <v>2429</v>
      </c>
      <c r="C1239" s="26">
        <v>720.0</v>
      </c>
      <c r="D1239" s="26">
        <v>450000.0</v>
      </c>
      <c r="E1239" s="26">
        <v>0.0</v>
      </c>
    </row>
    <row r="1240">
      <c r="A1240" s="26" t="s">
        <v>1710</v>
      </c>
      <c r="B1240" s="26" t="s">
        <v>2471</v>
      </c>
      <c r="C1240" s="26">
        <v>3.0</v>
      </c>
      <c r="D1240" s="26">
        <v>0.0</v>
      </c>
      <c r="E1240" s="26">
        <v>0.0</v>
      </c>
    </row>
    <row r="1241">
      <c r="A1241" s="26" t="s">
        <v>1711</v>
      </c>
      <c r="B1241" s="26" t="s">
        <v>2447</v>
      </c>
      <c r="C1241" s="26">
        <v>1.0</v>
      </c>
      <c r="D1241" s="26">
        <v>0.0</v>
      </c>
      <c r="E1241" s="26">
        <v>0.0</v>
      </c>
    </row>
    <row r="1242">
      <c r="A1242" s="26" t="s">
        <v>1713</v>
      </c>
      <c r="B1242" s="26" t="s">
        <v>2433</v>
      </c>
      <c r="C1242" s="26">
        <v>1.0</v>
      </c>
      <c r="D1242" s="29">
        <v>1450000.0</v>
      </c>
      <c r="E1242" s="26">
        <v>0.0</v>
      </c>
    </row>
    <row r="1243">
      <c r="A1243" s="26" t="s">
        <v>1714</v>
      </c>
      <c r="B1243" s="26" t="s">
        <v>2433</v>
      </c>
      <c r="C1243" s="26">
        <v>1.0</v>
      </c>
      <c r="D1243" s="29">
        <v>1450000.0</v>
      </c>
      <c r="E1243" s="26">
        <v>0.0</v>
      </c>
    </row>
    <row r="1244">
      <c r="A1244" s="26" t="s">
        <v>1715</v>
      </c>
      <c r="B1244" s="26" t="s">
        <v>2435</v>
      </c>
      <c r="C1244" s="26">
        <v>48.0</v>
      </c>
      <c r="D1244" s="29">
        <v>40000.0</v>
      </c>
      <c r="E1244" s="26">
        <v>0.0</v>
      </c>
    </row>
    <row r="1245">
      <c r="A1245" s="26" t="s">
        <v>1715</v>
      </c>
      <c r="B1245" s="26" t="s">
        <v>2483</v>
      </c>
      <c r="C1245" s="26">
        <v>48.0</v>
      </c>
      <c r="D1245" s="29">
        <v>60000.0</v>
      </c>
      <c r="E1245" s="26">
        <v>0.0</v>
      </c>
    </row>
    <row r="1246">
      <c r="A1246" s="26" t="s">
        <v>1715</v>
      </c>
      <c r="B1246" s="26" t="s">
        <v>2458</v>
      </c>
      <c r="C1246" s="26">
        <v>48.0</v>
      </c>
      <c r="D1246" s="29">
        <v>60000.0</v>
      </c>
      <c r="E1246" s="26">
        <v>0.0</v>
      </c>
    </row>
    <row r="1247">
      <c r="A1247" s="26" t="s">
        <v>1715</v>
      </c>
      <c r="B1247" s="26" t="s">
        <v>2476</v>
      </c>
      <c r="C1247" s="26">
        <v>96.0</v>
      </c>
      <c r="D1247" s="29">
        <v>60000.0</v>
      </c>
      <c r="E1247" s="26">
        <v>0.0</v>
      </c>
    </row>
    <row r="1248">
      <c r="A1248" s="29" t="s">
        <v>1717</v>
      </c>
      <c r="B1248" s="26" t="s">
        <v>2432</v>
      </c>
      <c r="C1248" s="26">
        <v>1.0</v>
      </c>
      <c r="D1248" s="29">
        <v>1480000.0</v>
      </c>
      <c r="E1248" s="29">
        <v>296000.0</v>
      </c>
    </row>
    <row r="1249">
      <c r="A1249" s="26" t="s">
        <v>1718</v>
      </c>
      <c r="B1249" s="26" t="s">
        <v>2433</v>
      </c>
      <c r="C1249" s="26">
        <v>1.0</v>
      </c>
      <c r="D1249" s="29">
        <v>1450000.0</v>
      </c>
      <c r="E1249" s="26">
        <v>0.0</v>
      </c>
    </row>
    <row r="1250">
      <c r="A1250" s="29" t="s">
        <v>1719</v>
      </c>
      <c r="B1250" s="26" t="s">
        <v>2425</v>
      </c>
      <c r="C1250" s="26">
        <v>1.0</v>
      </c>
      <c r="D1250" s="29">
        <v>1875000.0</v>
      </c>
      <c r="E1250" s="29">
        <v>375000.0</v>
      </c>
    </row>
    <row r="1251">
      <c r="A1251" s="29" t="s">
        <v>1719</v>
      </c>
      <c r="B1251" s="26" t="s">
        <v>2432</v>
      </c>
      <c r="C1251" s="26">
        <v>1.0</v>
      </c>
      <c r="D1251" s="29">
        <v>1480000.0</v>
      </c>
      <c r="E1251" s="29">
        <v>296000.0</v>
      </c>
    </row>
    <row r="1252">
      <c r="A1252" s="26" t="s">
        <v>1720</v>
      </c>
      <c r="B1252" s="26" t="s">
        <v>2433</v>
      </c>
      <c r="C1252" s="26">
        <v>1.0</v>
      </c>
      <c r="D1252" s="29">
        <v>1450000.0</v>
      </c>
      <c r="E1252" s="26">
        <v>0.0</v>
      </c>
    </row>
    <row r="1253">
      <c r="A1253" s="26" t="s">
        <v>1721</v>
      </c>
      <c r="B1253" s="26" t="s">
        <v>2425</v>
      </c>
      <c r="C1253" s="26">
        <v>1.0</v>
      </c>
      <c r="D1253" s="29">
        <v>1875000.0</v>
      </c>
      <c r="E1253" s="26">
        <v>0.0</v>
      </c>
    </row>
    <row r="1254">
      <c r="A1254" s="26" t="s">
        <v>1722</v>
      </c>
      <c r="B1254" s="26" t="s">
        <v>2425</v>
      </c>
      <c r="C1254" s="26">
        <v>1.0</v>
      </c>
      <c r="D1254" s="26">
        <v>0.0</v>
      </c>
      <c r="E1254" s="26">
        <v>0.0</v>
      </c>
      <c r="F1254" s="26" t="s">
        <v>2436</v>
      </c>
    </row>
    <row r="1255">
      <c r="A1255" s="26" t="s">
        <v>1722</v>
      </c>
      <c r="B1255" s="26" t="s">
        <v>2441</v>
      </c>
      <c r="C1255" s="26">
        <v>10.0</v>
      </c>
      <c r="D1255" s="29">
        <v>32000.0</v>
      </c>
      <c r="E1255" s="26">
        <v>0.0</v>
      </c>
    </row>
    <row r="1256">
      <c r="A1256" s="29" t="s">
        <v>1723</v>
      </c>
      <c r="B1256" s="26" t="s">
        <v>2425</v>
      </c>
      <c r="C1256" s="26">
        <v>1.0</v>
      </c>
      <c r="D1256" s="29">
        <v>1875000.0</v>
      </c>
      <c r="E1256" s="29">
        <v>375000.0</v>
      </c>
    </row>
    <row r="1257">
      <c r="A1257" s="26" t="s">
        <v>1724</v>
      </c>
      <c r="B1257" s="26" t="s">
        <v>2429</v>
      </c>
      <c r="C1257" s="26">
        <v>24.0</v>
      </c>
      <c r="D1257" s="29">
        <v>45000.0</v>
      </c>
      <c r="E1257" s="26">
        <v>0.0</v>
      </c>
    </row>
    <row r="1258">
      <c r="A1258" s="26" t="s">
        <v>1725</v>
      </c>
      <c r="B1258" s="26" t="s">
        <v>2429</v>
      </c>
      <c r="C1258" s="26">
        <v>24.0</v>
      </c>
      <c r="D1258" s="29">
        <v>45000.0</v>
      </c>
      <c r="E1258" s="26">
        <v>0.0</v>
      </c>
    </row>
    <row r="1259">
      <c r="A1259" s="26" t="s">
        <v>1725</v>
      </c>
      <c r="B1259" s="26" t="s">
        <v>2430</v>
      </c>
      <c r="C1259" s="26">
        <v>10.0</v>
      </c>
      <c r="D1259" s="29">
        <v>45000.0</v>
      </c>
      <c r="E1259" s="26">
        <v>0.0</v>
      </c>
    </row>
    <row r="1260">
      <c r="A1260" s="26" t="s">
        <v>1726</v>
      </c>
      <c r="B1260" s="26" t="s">
        <v>2478</v>
      </c>
      <c r="C1260" s="26">
        <v>4.0</v>
      </c>
      <c r="D1260" s="29">
        <v>45000.0</v>
      </c>
      <c r="E1260" s="26">
        <v>0.0</v>
      </c>
    </row>
    <row r="1261">
      <c r="A1261" s="26" t="s">
        <v>1726</v>
      </c>
      <c r="B1261" s="26" t="s">
        <v>2458</v>
      </c>
      <c r="C1261" s="26">
        <v>3.0</v>
      </c>
      <c r="D1261" s="29">
        <v>60000.0</v>
      </c>
      <c r="E1261" s="26">
        <v>0.0</v>
      </c>
    </row>
    <row r="1262">
      <c r="A1262" s="26" t="s">
        <v>1726</v>
      </c>
      <c r="B1262" s="26" t="s">
        <v>2476</v>
      </c>
      <c r="C1262" s="26">
        <v>4.0</v>
      </c>
      <c r="D1262" s="29">
        <v>60000.0</v>
      </c>
      <c r="E1262" s="26">
        <v>0.0</v>
      </c>
    </row>
    <row r="1263">
      <c r="A1263" s="26" t="s">
        <v>1726</v>
      </c>
      <c r="B1263" s="26" t="s">
        <v>2435</v>
      </c>
      <c r="C1263" s="26">
        <v>4.0</v>
      </c>
      <c r="D1263" s="29">
        <v>40000.0</v>
      </c>
      <c r="E1263" s="26">
        <v>0.0</v>
      </c>
    </row>
    <row r="1264">
      <c r="A1264" s="26" t="s">
        <v>1726</v>
      </c>
      <c r="B1264" s="26" t="s">
        <v>2483</v>
      </c>
      <c r="C1264" s="26">
        <v>3.0</v>
      </c>
      <c r="D1264" s="29">
        <v>60000.0</v>
      </c>
      <c r="E1264" s="26">
        <v>0.0</v>
      </c>
    </row>
    <row r="1265">
      <c r="A1265" s="26" t="s">
        <v>1726</v>
      </c>
      <c r="B1265" s="26" t="s">
        <v>2427</v>
      </c>
      <c r="C1265" s="26">
        <v>4.0</v>
      </c>
      <c r="D1265" s="29">
        <v>60000.0</v>
      </c>
      <c r="E1265" s="26">
        <v>0.0</v>
      </c>
    </row>
    <row r="1266">
      <c r="A1266" s="26" t="s">
        <v>1726</v>
      </c>
      <c r="B1266" s="26" t="s">
        <v>2429</v>
      </c>
      <c r="C1266" s="26">
        <v>2.0</v>
      </c>
      <c r="D1266" s="29">
        <v>45000.0</v>
      </c>
      <c r="E1266" s="26">
        <v>0.0</v>
      </c>
    </row>
    <row r="1267">
      <c r="A1267" s="26" t="s">
        <v>1727</v>
      </c>
      <c r="B1267" s="26" t="s">
        <v>2429</v>
      </c>
      <c r="C1267" s="26">
        <v>24.0</v>
      </c>
      <c r="D1267" s="29">
        <v>45000.0</v>
      </c>
      <c r="E1267" s="26">
        <v>0.0</v>
      </c>
    </row>
    <row r="1268">
      <c r="A1268" s="29" t="s">
        <v>1728</v>
      </c>
      <c r="B1268" s="26" t="s">
        <v>2433</v>
      </c>
      <c r="C1268" s="26">
        <v>1.0</v>
      </c>
      <c r="D1268" s="29">
        <v>1450000.0</v>
      </c>
      <c r="E1268" s="29">
        <v>290000.0</v>
      </c>
    </row>
    <row r="1269">
      <c r="A1269" s="29" t="s">
        <v>1728</v>
      </c>
      <c r="B1269" s="26" t="s">
        <v>2432</v>
      </c>
      <c r="C1269" s="26">
        <v>1.0</v>
      </c>
      <c r="D1269" s="29">
        <v>1480000.0</v>
      </c>
      <c r="E1269" s="29">
        <v>296000.0</v>
      </c>
    </row>
    <row r="1270">
      <c r="A1270" s="26" t="s">
        <v>1729</v>
      </c>
      <c r="B1270" s="26" t="s">
        <v>2429</v>
      </c>
      <c r="C1270" s="26">
        <v>24.0</v>
      </c>
      <c r="D1270" s="29">
        <v>45000.0</v>
      </c>
      <c r="E1270" s="26">
        <v>0.0</v>
      </c>
    </row>
    <row r="1271">
      <c r="A1271" s="26" t="s">
        <v>1730</v>
      </c>
      <c r="B1271" s="26" t="s">
        <v>2429</v>
      </c>
      <c r="C1271" s="26">
        <v>24.0</v>
      </c>
      <c r="D1271" s="29">
        <v>45000.0</v>
      </c>
      <c r="E1271" s="26">
        <v>0.0</v>
      </c>
    </row>
    <row r="1272">
      <c r="A1272" s="26" t="s">
        <v>1731</v>
      </c>
      <c r="B1272" s="26" t="s">
        <v>2431</v>
      </c>
      <c r="C1272" s="26">
        <v>1.0</v>
      </c>
      <c r="D1272" s="29">
        <v>2380000.0</v>
      </c>
      <c r="E1272" s="26">
        <v>0.0</v>
      </c>
    </row>
    <row r="1273">
      <c r="A1273" s="26" t="s">
        <v>1731</v>
      </c>
      <c r="B1273" s="26" t="s">
        <v>2433</v>
      </c>
      <c r="C1273" s="26">
        <v>1.0</v>
      </c>
      <c r="D1273" s="29">
        <v>1450000.0</v>
      </c>
      <c r="E1273" s="26">
        <v>0.0</v>
      </c>
    </row>
    <row r="1274">
      <c r="A1274" s="26" t="s">
        <v>1732</v>
      </c>
      <c r="B1274" s="26" t="s">
        <v>2433</v>
      </c>
      <c r="C1274" s="26">
        <v>1.0</v>
      </c>
      <c r="D1274" s="29">
        <v>1450000.0</v>
      </c>
      <c r="E1274" s="26">
        <v>0.0</v>
      </c>
    </row>
    <row r="1275">
      <c r="A1275" s="26" t="s">
        <v>1733</v>
      </c>
      <c r="B1275" s="26" t="s">
        <v>2433</v>
      </c>
      <c r="C1275" s="26">
        <v>1.0</v>
      </c>
      <c r="D1275" s="29">
        <v>1450000.0</v>
      </c>
      <c r="E1275" s="26">
        <v>0.0</v>
      </c>
    </row>
    <row r="1276">
      <c r="A1276" s="26" t="s">
        <v>1734</v>
      </c>
      <c r="B1276" s="26" t="s">
        <v>2429</v>
      </c>
      <c r="C1276" s="26">
        <v>24.0</v>
      </c>
      <c r="D1276" s="29">
        <v>45000.0</v>
      </c>
      <c r="E1276" s="26">
        <v>0.0</v>
      </c>
    </row>
    <row r="1277">
      <c r="A1277" s="26" t="s">
        <v>1735</v>
      </c>
      <c r="B1277" s="26" t="s">
        <v>2429</v>
      </c>
      <c r="C1277" s="26">
        <v>8.0</v>
      </c>
      <c r="D1277" s="29">
        <v>45000.0</v>
      </c>
      <c r="E1277" s="26">
        <v>0.0</v>
      </c>
    </row>
    <row r="1278">
      <c r="A1278" s="26" t="s">
        <v>1735</v>
      </c>
      <c r="B1278" s="26" t="s">
        <v>2476</v>
      </c>
      <c r="C1278" s="26">
        <v>4.0</v>
      </c>
      <c r="D1278" s="29">
        <v>60000.0</v>
      </c>
      <c r="E1278" s="26">
        <v>0.0</v>
      </c>
    </row>
    <row r="1279">
      <c r="A1279" s="26" t="s">
        <v>1735</v>
      </c>
      <c r="B1279" s="26" t="s">
        <v>2458</v>
      </c>
      <c r="C1279" s="26">
        <v>4.0</v>
      </c>
      <c r="D1279" s="29">
        <v>60000.0</v>
      </c>
      <c r="E1279" s="26">
        <v>0.0</v>
      </c>
    </row>
    <row r="1280">
      <c r="A1280" s="26" t="s">
        <v>1735</v>
      </c>
      <c r="B1280" s="26" t="s">
        <v>2426</v>
      </c>
      <c r="C1280" s="26">
        <v>4.0</v>
      </c>
      <c r="D1280" s="29">
        <v>55000.0</v>
      </c>
      <c r="E1280" s="26">
        <v>0.0</v>
      </c>
    </row>
    <row r="1281">
      <c r="A1281" s="26" t="s">
        <v>1735</v>
      </c>
      <c r="B1281" s="26" t="s">
        <v>2427</v>
      </c>
      <c r="C1281" s="26">
        <v>4.0</v>
      </c>
      <c r="D1281" s="29">
        <v>60000.0</v>
      </c>
      <c r="E1281" s="26">
        <v>0.0</v>
      </c>
    </row>
    <row r="1282">
      <c r="A1282" s="26" t="s">
        <v>1735</v>
      </c>
      <c r="B1282" s="26" t="s">
        <v>2427</v>
      </c>
      <c r="C1282" s="26">
        <v>1.0</v>
      </c>
      <c r="D1282" s="26">
        <v>0.0</v>
      </c>
      <c r="E1282" s="26">
        <v>0.0</v>
      </c>
      <c r="F1282" s="26" t="s">
        <v>1522</v>
      </c>
    </row>
    <row r="1283">
      <c r="A1283" s="29" t="s">
        <v>1736</v>
      </c>
      <c r="B1283" s="26" t="s">
        <v>2433</v>
      </c>
      <c r="C1283" s="26">
        <v>1.0</v>
      </c>
      <c r="D1283" s="29">
        <v>1450000.0</v>
      </c>
      <c r="E1283" s="29">
        <v>290000.0</v>
      </c>
    </row>
    <row r="1284">
      <c r="A1284" s="29" t="s">
        <v>1736</v>
      </c>
      <c r="B1284" s="26" t="s">
        <v>2425</v>
      </c>
      <c r="C1284" s="26">
        <v>1.0</v>
      </c>
      <c r="D1284" s="29">
        <v>1875000.0</v>
      </c>
      <c r="E1284" s="29">
        <v>375000.0</v>
      </c>
    </row>
    <row r="1285">
      <c r="A1285" s="26" t="s">
        <v>1737</v>
      </c>
      <c r="B1285" s="26" t="s">
        <v>2425</v>
      </c>
      <c r="C1285" s="26">
        <v>1.0</v>
      </c>
      <c r="D1285" s="29">
        <v>1875000.0</v>
      </c>
      <c r="E1285" s="26">
        <v>0.0</v>
      </c>
    </row>
    <row r="1286">
      <c r="A1286" s="26" t="s">
        <v>1738</v>
      </c>
      <c r="B1286" s="26" t="s">
        <v>2433</v>
      </c>
      <c r="C1286" s="26">
        <v>1.0</v>
      </c>
      <c r="D1286" s="29">
        <v>1450000.0</v>
      </c>
      <c r="E1286" s="26">
        <v>0.0</v>
      </c>
    </row>
    <row r="1287">
      <c r="A1287" s="26" t="s">
        <v>1739</v>
      </c>
      <c r="B1287" s="26" t="s">
        <v>2433</v>
      </c>
      <c r="C1287" s="26">
        <v>1.0</v>
      </c>
      <c r="D1287" s="29">
        <v>1450000.0</v>
      </c>
      <c r="E1287" s="26">
        <v>0.0</v>
      </c>
    </row>
    <row r="1288">
      <c r="A1288" s="26" t="s">
        <v>1740</v>
      </c>
      <c r="B1288" s="26" t="s">
        <v>2432</v>
      </c>
      <c r="C1288" s="26">
        <v>1.0</v>
      </c>
      <c r="D1288" s="26">
        <v>0.0</v>
      </c>
      <c r="E1288" s="26">
        <v>0.0</v>
      </c>
      <c r="F1288" s="26" t="s">
        <v>2473</v>
      </c>
    </row>
    <row r="1289">
      <c r="A1289" s="26" t="s">
        <v>1741</v>
      </c>
      <c r="B1289" s="26" t="s">
        <v>2425</v>
      </c>
      <c r="C1289" s="26">
        <v>1.0</v>
      </c>
      <c r="D1289" s="29">
        <v>1875000.0</v>
      </c>
      <c r="E1289" s="26">
        <v>0.0</v>
      </c>
    </row>
    <row r="1290">
      <c r="A1290" s="26" t="s">
        <v>1742</v>
      </c>
      <c r="B1290" s="26" t="s">
        <v>2429</v>
      </c>
      <c r="C1290" s="26">
        <v>96.0</v>
      </c>
      <c r="D1290" s="29">
        <v>45000.0</v>
      </c>
      <c r="E1290" s="26">
        <v>0.0</v>
      </c>
    </row>
    <row r="1291">
      <c r="A1291" s="26" t="s">
        <v>1742</v>
      </c>
      <c r="B1291" s="26" t="s">
        <v>2429</v>
      </c>
      <c r="C1291" s="26">
        <v>24.0</v>
      </c>
      <c r="D1291" s="26">
        <v>0.0</v>
      </c>
      <c r="E1291" s="26">
        <v>0.0</v>
      </c>
      <c r="F1291" s="26" t="s">
        <v>2436</v>
      </c>
    </row>
    <row r="1292">
      <c r="A1292" s="26" t="s">
        <v>1743</v>
      </c>
      <c r="B1292" s="26" t="s">
        <v>2425</v>
      </c>
      <c r="C1292" s="26">
        <v>1.0</v>
      </c>
      <c r="D1292" s="29">
        <v>1875000.0</v>
      </c>
      <c r="E1292" s="26">
        <v>0.0</v>
      </c>
    </row>
    <row r="1293">
      <c r="A1293" s="26" t="s">
        <v>1743</v>
      </c>
      <c r="B1293" s="26" t="s">
        <v>2439</v>
      </c>
      <c r="C1293" s="26">
        <v>1.0</v>
      </c>
      <c r="D1293" s="26">
        <v>0.0</v>
      </c>
      <c r="E1293" s="26">
        <v>0.0</v>
      </c>
      <c r="F1293" s="26" t="s">
        <v>2438</v>
      </c>
    </row>
    <row r="1294">
      <c r="A1294" s="26" t="s">
        <v>1744</v>
      </c>
      <c r="B1294" s="26" t="s">
        <v>2430</v>
      </c>
      <c r="C1294" s="26">
        <v>2.0</v>
      </c>
      <c r="D1294" s="26">
        <v>0.0</v>
      </c>
      <c r="E1294" s="26">
        <v>0.0</v>
      </c>
      <c r="F1294" s="26" t="s">
        <v>1522</v>
      </c>
    </row>
    <row r="1295">
      <c r="A1295" s="26" t="s">
        <v>1744</v>
      </c>
      <c r="B1295" s="26" t="s">
        <v>2478</v>
      </c>
      <c r="C1295" s="26">
        <v>2.0</v>
      </c>
      <c r="D1295" s="26">
        <v>0.0</v>
      </c>
      <c r="E1295" s="26">
        <v>0.0</v>
      </c>
      <c r="F1295" s="26" t="s">
        <v>1522</v>
      </c>
    </row>
    <row r="1296">
      <c r="A1296" s="26" t="s">
        <v>1744</v>
      </c>
      <c r="B1296" s="26" t="s">
        <v>2428</v>
      </c>
      <c r="C1296" s="26">
        <v>2.0</v>
      </c>
      <c r="D1296" s="26">
        <v>0.0</v>
      </c>
      <c r="E1296" s="26">
        <v>0.0</v>
      </c>
      <c r="F1296" s="26" t="s">
        <v>1522</v>
      </c>
    </row>
    <row r="1297">
      <c r="A1297" s="26" t="s">
        <v>1744</v>
      </c>
      <c r="B1297" s="26" t="s">
        <v>2429</v>
      </c>
      <c r="C1297" s="26">
        <v>2.0</v>
      </c>
      <c r="D1297" s="26">
        <v>0.0</v>
      </c>
      <c r="E1297" s="26">
        <v>0.0</v>
      </c>
      <c r="F1297" s="26" t="s">
        <v>1522</v>
      </c>
    </row>
    <row r="1298">
      <c r="A1298" s="26" t="s">
        <v>1744</v>
      </c>
      <c r="B1298" s="26" t="s">
        <v>2476</v>
      </c>
      <c r="C1298" s="26">
        <v>2.0</v>
      </c>
      <c r="D1298" s="26">
        <v>0.0</v>
      </c>
      <c r="E1298" s="26">
        <v>0.0</v>
      </c>
      <c r="F1298" s="26" t="s">
        <v>1522</v>
      </c>
    </row>
    <row r="1299">
      <c r="A1299" s="26" t="s">
        <v>1744</v>
      </c>
      <c r="B1299" s="26" t="s">
        <v>2483</v>
      </c>
      <c r="C1299" s="26">
        <v>2.0</v>
      </c>
      <c r="D1299" s="26">
        <v>0.0</v>
      </c>
      <c r="E1299" s="26">
        <v>0.0</v>
      </c>
      <c r="F1299" s="26" t="s">
        <v>1522</v>
      </c>
    </row>
    <row r="1300">
      <c r="A1300" s="26" t="s">
        <v>1744</v>
      </c>
      <c r="B1300" s="26" t="s">
        <v>2458</v>
      </c>
      <c r="C1300" s="26">
        <v>4.0</v>
      </c>
      <c r="D1300" s="26">
        <v>0.0</v>
      </c>
      <c r="E1300" s="26">
        <v>0.0</v>
      </c>
      <c r="F1300" s="26" t="s">
        <v>1522</v>
      </c>
    </row>
    <row r="1301">
      <c r="A1301" s="26" t="s">
        <v>1744</v>
      </c>
      <c r="B1301" s="26" t="s">
        <v>2435</v>
      </c>
      <c r="C1301" s="26">
        <v>4.0</v>
      </c>
      <c r="D1301" s="26">
        <v>0.0</v>
      </c>
      <c r="E1301" s="26">
        <v>0.0</v>
      </c>
      <c r="F1301" s="26" t="s">
        <v>1522</v>
      </c>
    </row>
    <row r="1302">
      <c r="A1302" s="26" t="s">
        <v>1744</v>
      </c>
      <c r="B1302" s="26" t="s">
        <v>2427</v>
      </c>
      <c r="C1302" s="26">
        <v>4.0</v>
      </c>
      <c r="D1302" s="26">
        <v>0.0</v>
      </c>
      <c r="E1302" s="26">
        <v>0.0</v>
      </c>
      <c r="F1302" s="26" t="s">
        <v>1522</v>
      </c>
    </row>
    <row r="1303">
      <c r="A1303" s="29" t="s">
        <v>1745</v>
      </c>
      <c r="B1303" s="26" t="s">
        <v>2432</v>
      </c>
      <c r="C1303" s="26">
        <v>1.0</v>
      </c>
      <c r="D1303" s="29">
        <v>1480000.0</v>
      </c>
      <c r="E1303" s="29">
        <v>296000.0</v>
      </c>
    </row>
    <row r="1304">
      <c r="A1304" s="26" t="s">
        <v>1746</v>
      </c>
      <c r="B1304" s="26" t="s">
        <v>2426</v>
      </c>
      <c r="C1304" s="26">
        <v>24.0</v>
      </c>
      <c r="D1304" s="29">
        <v>55000.0</v>
      </c>
      <c r="E1304" s="26">
        <v>0.0</v>
      </c>
    </row>
    <row r="1305">
      <c r="A1305" s="26" t="s">
        <v>1747</v>
      </c>
      <c r="B1305" s="26" t="s">
        <v>2426</v>
      </c>
      <c r="C1305" s="26">
        <v>96.0</v>
      </c>
      <c r="D1305" s="29">
        <v>55000.0</v>
      </c>
      <c r="E1305" s="26">
        <v>0.0</v>
      </c>
    </row>
    <row r="1306">
      <c r="A1306" s="26" t="s">
        <v>1747</v>
      </c>
      <c r="B1306" s="26" t="s">
        <v>2426</v>
      </c>
      <c r="C1306" s="26">
        <v>24.0</v>
      </c>
      <c r="D1306" s="26">
        <v>0.0</v>
      </c>
      <c r="E1306" s="26">
        <v>0.0</v>
      </c>
      <c r="F1306" s="26" t="s">
        <v>2436</v>
      </c>
    </row>
    <row r="1307">
      <c r="A1307" s="26" t="s">
        <v>1747</v>
      </c>
      <c r="B1307" s="26" t="s">
        <v>2435</v>
      </c>
      <c r="C1307" s="26">
        <v>1.0</v>
      </c>
      <c r="D1307" s="26">
        <v>0.0</v>
      </c>
      <c r="E1307" s="26">
        <v>0.0</v>
      </c>
      <c r="F1307" s="26" t="s">
        <v>1522</v>
      </c>
    </row>
    <row r="1308">
      <c r="A1308" s="26" t="s">
        <v>1747</v>
      </c>
      <c r="B1308" s="26" t="s">
        <v>2483</v>
      </c>
      <c r="C1308" s="26">
        <v>1.0</v>
      </c>
      <c r="D1308" s="26">
        <v>0.0</v>
      </c>
      <c r="E1308" s="26">
        <v>0.0</v>
      </c>
      <c r="F1308" s="26" t="s">
        <v>1522</v>
      </c>
    </row>
    <row r="1309">
      <c r="A1309" s="26" t="s">
        <v>1747</v>
      </c>
      <c r="B1309" s="26" t="s">
        <v>2458</v>
      </c>
      <c r="C1309" s="26">
        <v>1.0</v>
      </c>
      <c r="D1309" s="26">
        <v>0.0</v>
      </c>
      <c r="E1309" s="26">
        <v>0.0</v>
      </c>
      <c r="F1309" s="26" t="s">
        <v>1522</v>
      </c>
    </row>
    <row r="1310">
      <c r="A1310" s="26" t="s">
        <v>1747</v>
      </c>
      <c r="B1310" s="26" t="s">
        <v>2427</v>
      </c>
      <c r="C1310" s="26">
        <v>1.0</v>
      </c>
      <c r="D1310" s="26">
        <v>0.0</v>
      </c>
      <c r="E1310" s="26">
        <v>0.0</v>
      </c>
      <c r="F1310" s="26" t="s">
        <v>1522</v>
      </c>
    </row>
    <row r="1311">
      <c r="A1311" s="26" t="s">
        <v>1748</v>
      </c>
      <c r="B1311" s="26" t="s">
        <v>2426</v>
      </c>
      <c r="C1311" s="26">
        <v>24.0</v>
      </c>
      <c r="D1311" s="29">
        <v>55000.0</v>
      </c>
      <c r="E1311" s="26">
        <v>0.0</v>
      </c>
    </row>
    <row r="1312">
      <c r="A1312" s="26" t="s">
        <v>1748</v>
      </c>
      <c r="B1312" s="26" t="s">
        <v>2427</v>
      </c>
      <c r="C1312" s="26">
        <v>24.0</v>
      </c>
      <c r="D1312" s="29">
        <v>60000.0</v>
      </c>
      <c r="E1312" s="26">
        <v>0.0</v>
      </c>
    </row>
    <row r="1313">
      <c r="A1313" s="26" t="s">
        <v>1748</v>
      </c>
      <c r="B1313" s="26" t="s">
        <v>2476</v>
      </c>
      <c r="C1313" s="26">
        <v>12.0</v>
      </c>
      <c r="D1313" s="26">
        <v>0.0</v>
      </c>
      <c r="E1313" s="26">
        <v>0.0</v>
      </c>
      <c r="F1313" s="26" t="s">
        <v>2436</v>
      </c>
    </row>
    <row r="1314">
      <c r="A1314" s="26" t="s">
        <v>1749</v>
      </c>
      <c r="B1314" s="26" t="s">
        <v>2430</v>
      </c>
      <c r="C1314" s="26">
        <v>14.0</v>
      </c>
      <c r="D1314" s="29">
        <v>45000.0</v>
      </c>
      <c r="E1314" s="26">
        <v>0.0</v>
      </c>
    </row>
    <row r="1315">
      <c r="A1315" s="26" t="s">
        <v>1749</v>
      </c>
      <c r="B1315" s="26" t="s">
        <v>2426</v>
      </c>
      <c r="C1315" s="26">
        <v>10.0</v>
      </c>
      <c r="D1315" s="29">
        <v>55000.0</v>
      </c>
      <c r="E1315" s="26">
        <v>0.0</v>
      </c>
    </row>
    <row r="1316">
      <c r="A1316" s="26" t="s">
        <v>1750</v>
      </c>
      <c r="B1316" s="26" t="s">
        <v>2429</v>
      </c>
      <c r="C1316" s="26">
        <v>24.0</v>
      </c>
      <c r="D1316" s="29">
        <v>45000.0</v>
      </c>
      <c r="E1316" s="26">
        <v>0.0</v>
      </c>
    </row>
    <row r="1317">
      <c r="A1317" s="26" t="s">
        <v>1751</v>
      </c>
      <c r="B1317" s="26" t="s">
        <v>2429</v>
      </c>
      <c r="C1317" s="26">
        <v>48.0</v>
      </c>
      <c r="D1317" s="29">
        <v>45000.0</v>
      </c>
      <c r="E1317" s="26">
        <v>0.0</v>
      </c>
    </row>
    <row r="1318">
      <c r="A1318" s="26" t="s">
        <v>1752</v>
      </c>
      <c r="B1318" s="26" t="s">
        <v>2430</v>
      </c>
      <c r="C1318" s="26">
        <v>24.0</v>
      </c>
      <c r="D1318" s="29">
        <v>45000.0</v>
      </c>
      <c r="E1318" s="26">
        <v>0.0</v>
      </c>
    </row>
    <row r="1319">
      <c r="A1319" s="26" t="s">
        <v>1753</v>
      </c>
      <c r="B1319" s="26" t="s">
        <v>2425</v>
      </c>
      <c r="C1319" s="26">
        <v>1.0</v>
      </c>
      <c r="D1319" s="29">
        <v>1875000.0</v>
      </c>
      <c r="E1319" s="26">
        <v>0.0</v>
      </c>
    </row>
    <row r="1320">
      <c r="A1320" s="26" t="s">
        <v>1754</v>
      </c>
      <c r="B1320" s="26" t="s">
        <v>2433</v>
      </c>
      <c r="C1320" s="26">
        <v>1.0</v>
      </c>
      <c r="D1320" s="29">
        <v>1450000.0</v>
      </c>
      <c r="E1320" s="26">
        <v>0.0</v>
      </c>
    </row>
    <row r="1321">
      <c r="A1321" s="26" t="s">
        <v>1755</v>
      </c>
      <c r="B1321" s="26" t="s">
        <v>2433</v>
      </c>
      <c r="C1321" s="26">
        <v>1.0</v>
      </c>
      <c r="D1321" s="29">
        <v>1450000.0</v>
      </c>
      <c r="E1321" s="26">
        <v>0.0</v>
      </c>
    </row>
    <row r="1322">
      <c r="A1322" s="26" t="s">
        <v>1755</v>
      </c>
      <c r="B1322" s="26" t="s">
        <v>2434</v>
      </c>
      <c r="C1322" s="26">
        <v>1.0</v>
      </c>
      <c r="D1322" s="29">
        <v>1350000.0</v>
      </c>
      <c r="E1322" s="26">
        <v>0.0</v>
      </c>
    </row>
    <row r="1323">
      <c r="A1323" s="29" t="s">
        <v>1756</v>
      </c>
      <c r="B1323" s="26" t="s">
        <v>2433</v>
      </c>
      <c r="C1323" s="26">
        <v>1.0</v>
      </c>
      <c r="D1323" s="29">
        <v>1450000.0</v>
      </c>
      <c r="E1323" s="29">
        <v>290000.0</v>
      </c>
    </row>
    <row r="1324">
      <c r="A1324" s="26" t="s">
        <v>1757</v>
      </c>
      <c r="B1324" s="26" t="s">
        <v>2429</v>
      </c>
      <c r="C1324" s="26">
        <v>24.0</v>
      </c>
      <c r="D1324" s="29">
        <v>45000.0</v>
      </c>
      <c r="E1324" s="26">
        <v>0.0</v>
      </c>
    </row>
    <row r="1325">
      <c r="A1325" s="26" t="s">
        <v>1758</v>
      </c>
      <c r="B1325" s="26" t="s">
        <v>2432</v>
      </c>
      <c r="C1325" s="26">
        <v>8.0</v>
      </c>
      <c r="D1325" s="29">
        <v>1480000.0</v>
      </c>
      <c r="E1325" s="26">
        <v>0.0</v>
      </c>
    </row>
    <row r="1326">
      <c r="A1326" s="26" t="s">
        <v>1758</v>
      </c>
      <c r="B1326" s="26" t="s">
        <v>2431</v>
      </c>
      <c r="C1326" s="26">
        <v>2.0</v>
      </c>
      <c r="D1326" s="29">
        <v>2380000.0</v>
      </c>
      <c r="E1326" s="26">
        <v>0.0</v>
      </c>
    </row>
    <row r="1327">
      <c r="A1327" s="26" t="s">
        <v>1758</v>
      </c>
      <c r="B1327" s="26" t="s">
        <v>2429</v>
      </c>
      <c r="C1327" s="26">
        <v>480.0</v>
      </c>
      <c r="D1327" s="29">
        <v>45000.0</v>
      </c>
      <c r="E1327" s="26">
        <v>0.0</v>
      </c>
    </row>
    <row r="1328">
      <c r="A1328" s="26" t="s">
        <v>1758</v>
      </c>
      <c r="B1328" s="26" t="s">
        <v>2426</v>
      </c>
      <c r="C1328" s="26">
        <v>432.0</v>
      </c>
      <c r="D1328" s="29">
        <v>55000.0</v>
      </c>
      <c r="E1328" s="26">
        <v>0.0</v>
      </c>
    </row>
    <row r="1329">
      <c r="A1329" s="26" t="s">
        <v>1759</v>
      </c>
      <c r="B1329" s="26" t="s">
        <v>2433</v>
      </c>
      <c r="C1329" s="26">
        <v>1.0</v>
      </c>
      <c r="D1329" s="29">
        <v>1450000.0</v>
      </c>
      <c r="E1329" s="26">
        <v>0.0</v>
      </c>
    </row>
    <row r="1330">
      <c r="A1330" s="29" t="s">
        <v>1760</v>
      </c>
      <c r="B1330" s="26" t="s">
        <v>2432</v>
      </c>
      <c r="C1330" s="26">
        <v>1.0</v>
      </c>
      <c r="D1330" s="29">
        <v>1480000.0</v>
      </c>
      <c r="E1330" s="29">
        <v>296000.0</v>
      </c>
    </row>
    <row r="1331">
      <c r="A1331" s="29" t="s">
        <v>1760</v>
      </c>
      <c r="B1331" s="26" t="s">
        <v>2431</v>
      </c>
      <c r="C1331" s="26">
        <v>1.0</v>
      </c>
      <c r="D1331" s="29">
        <v>2380000.0</v>
      </c>
      <c r="E1331" s="29">
        <v>476000.0</v>
      </c>
    </row>
    <row r="1332">
      <c r="A1332" s="26" t="s">
        <v>1761</v>
      </c>
      <c r="B1332" s="26" t="s">
        <v>2429</v>
      </c>
      <c r="C1332" s="26">
        <v>480.0</v>
      </c>
      <c r="D1332" s="29">
        <v>45000.0</v>
      </c>
      <c r="E1332" s="26">
        <v>0.0</v>
      </c>
    </row>
    <row r="1333">
      <c r="A1333" s="26" t="s">
        <v>1761</v>
      </c>
      <c r="B1333" s="26" t="s">
        <v>2427</v>
      </c>
      <c r="C1333" s="26">
        <v>120.0</v>
      </c>
      <c r="D1333" s="29">
        <v>60000.0</v>
      </c>
      <c r="E1333" s="26">
        <v>0.0</v>
      </c>
    </row>
    <row r="1334">
      <c r="A1334" s="26" t="s">
        <v>1761</v>
      </c>
      <c r="B1334" s="26" t="s">
        <v>2440</v>
      </c>
      <c r="C1334" s="26">
        <v>5.0</v>
      </c>
      <c r="D1334" s="29">
        <v>2500000.0</v>
      </c>
      <c r="E1334" s="26">
        <v>0.0</v>
      </c>
    </row>
    <row r="1335">
      <c r="A1335" s="26" t="s">
        <v>1761</v>
      </c>
      <c r="B1335" s="26" t="s">
        <v>2432</v>
      </c>
      <c r="C1335" s="26">
        <v>12.0</v>
      </c>
      <c r="D1335" s="29">
        <v>1480000.0</v>
      </c>
      <c r="E1335" s="26">
        <v>0.0</v>
      </c>
    </row>
    <row r="1336">
      <c r="A1336" s="26" t="s">
        <v>1761</v>
      </c>
      <c r="B1336" s="26" t="s">
        <v>2434</v>
      </c>
      <c r="C1336" s="26">
        <v>5.0</v>
      </c>
      <c r="D1336" s="29">
        <v>1350000.0</v>
      </c>
      <c r="E1336" s="26">
        <v>0.0</v>
      </c>
    </row>
    <row r="1337">
      <c r="A1337" s="26" t="s">
        <v>1761</v>
      </c>
      <c r="B1337" s="26" t="s">
        <v>2433</v>
      </c>
      <c r="C1337" s="26">
        <v>8.0</v>
      </c>
      <c r="D1337" s="29">
        <v>1450000.0</v>
      </c>
      <c r="E1337" s="26">
        <v>0.0</v>
      </c>
    </row>
    <row r="1338">
      <c r="A1338" s="26" t="s">
        <v>1761</v>
      </c>
      <c r="B1338" s="26" t="s">
        <v>2431</v>
      </c>
      <c r="C1338" s="26">
        <v>15.0</v>
      </c>
      <c r="D1338" s="29">
        <v>2380000.0</v>
      </c>
      <c r="E1338" s="26">
        <v>0.0</v>
      </c>
    </row>
    <row r="1339">
      <c r="A1339" s="26" t="s">
        <v>1762</v>
      </c>
      <c r="B1339" s="26" t="s">
        <v>2434</v>
      </c>
      <c r="C1339" s="26">
        <v>1.0</v>
      </c>
      <c r="D1339" s="29">
        <v>1350000.0</v>
      </c>
      <c r="E1339" s="26">
        <v>0.0</v>
      </c>
    </row>
    <row r="1340">
      <c r="A1340" s="26" t="s">
        <v>1763</v>
      </c>
      <c r="B1340" s="26" t="s">
        <v>2433</v>
      </c>
      <c r="C1340" s="26">
        <v>1.0</v>
      </c>
      <c r="D1340" s="29">
        <v>1450000.0</v>
      </c>
      <c r="E1340" s="26">
        <v>0.0</v>
      </c>
    </row>
    <row r="1341">
      <c r="A1341" s="26" t="s">
        <v>1764</v>
      </c>
      <c r="B1341" s="26" t="s">
        <v>2429</v>
      </c>
      <c r="C1341" s="26">
        <v>72.0</v>
      </c>
      <c r="D1341" s="29">
        <v>45000.0</v>
      </c>
      <c r="E1341" s="26">
        <v>0.0</v>
      </c>
    </row>
    <row r="1342">
      <c r="A1342" s="26" t="s">
        <v>1765</v>
      </c>
      <c r="B1342" s="26" t="s">
        <v>2430</v>
      </c>
      <c r="C1342" s="26">
        <v>12.0</v>
      </c>
      <c r="D1342" s="29">
        <v>45000.0</v>
      </c>
      <c r="E1342" s="26">
        <v>0.0</v>
      </c>
    </row>
    <row r="1343">
      <c r="A1343" s="26" t="s">
        <v>1765</v>
      </c>
      <c r="B1343" s="26" t="s">
        <v>2426</v>
      </c>
      <c r="C1343" s="26">
        <v>12.0</v>
      </c>
      <c r="D1343" s="29">
        <v>55000.0</v>
      </c>
      <c r="E1343" s="26">
        <v>0.0</v>
      </c>
    </row>
    <row r="1344">
      <c r="A1344" s="26" t="s">
        <v>1767</v>
      </c>
      <c r="B1344" s="26" t="s">
        <v>2429</v>
      </c>
      <c r="C1344" s="26">
        <v>48.0</v>
      </c>
      <c r="D1344" s="29">
        <v>45000.0</v>
      </c>
      <c r="E1344" s="26">
        <v>0.0</v>
      </c>
    </row>
    <row r="1345">
      <c r="A1345" s="26" t="s">
        <v>1767</v>
      </c>
      <c r="B1345" s="26" t="s">
        <v>2430</v>
      </c>
      <c r="C1345" s="26">
        <v>24.0</v>
      </c>
      <c r="D1345" s="29">
        <v>45000.0</v>
      </c>
      <c r="E1345" s="26">
        <v>0.0</v>
      </c>
    </row>
    <row r="1346">
      <c r="A1346" s="26" t="s">
        <v>1767</v>
      </c>
      <c r="B1346" s="26" t="s">
        <v>2426</v>
      </c>
      <c r="C1346" s="26">
        <v>15.0</v>
      </c>
      <c r="D1346" s="29">
        <v>55000.0</v>
      </c>
      <c r="E1346" s="26">
        <v>0.0</v>
      </c>
    </row>
    <row r="1347">
      <c r="A1347" s="26" t="s">
        <v>1767</v>
      </c>
      <c r="B1347" s="26" t="s">
        <v>2483</v>
      </c>
      <c r="C1347" s="26">
        <v>24.0</v>
      </c>
      <c r="D1347" s="29">
        <v>45000.0</v>
      </c>
      <c r="E1347" s="26">
        <v>0.0</v>
      </c>
    </row>
    <row r="1348">
      <c r="A1348" s="26" t="s">
        <v>1768</v>
      </c>
      <c r="B1348" s="26" t="s">
        <v>2432</v>
      </c>
      <c r="C1348" s="26">
        <v>1.0</v>
      </c>
      <c r="D1348" s="29">
        <v>1480000.0</v>
      </c>
      <c r="E1348" s="26">
        <v>0.0</v>
      </c>
    </row>
    <row r="1349">
      <c r="A1349" s="26" t="s">
        <v>1769</v>
      </c>
      <c r="B1349" s="26" t="s">
        <v>2429</v>
      </c>
      <c r="C1349" s="26">
        <v>24.0</v>
      </c>
      <c r="D1349" s="29">
        <v>45000.0</v>
      </c>
      <c r="E1349" s="26">
        <v>0.0</v>
      </c>
    </row>
    <row r="1350">
      <c r="A1350" s="26" t="s">
        <v>1770</v>
      </c>
      <c r="B1350" s="26" t="s">
        <v>2425</v>
      </c>
      <c r="C1350" s="26">
        <v>1.0</v>
      </c>
      <c r="D1350" s="29">
        <v>1875000.0</v>
      </c>
      <c r="E1350" s="26">
        <v>0.0</v>
      </c>
    </row>
    <row r="1351">
      <c r="A1351" s="29" t="s">
        <v>1771</v>
      </c>
      <c r="B1351" s="26" t="s">
        <v>2425</v>
      </c>
      <c r="C1351" s="26">
        <v>1.0</v>
      </c>
      <c r="D1351" s="29">
        <v>1875000.0</v>
      </c>
      <c r="E1351" s="29">
        <v>281250.0</v>
      </c>
    </row>
    <row r="1352">
      <c r="A1352" s="26" t="s">
        <v>1772</v>
      </c>
      <c r="B1352" s="26" t="s">
        <v>2432</v>
      </c>
      <c r="C1352" s="26">
        <v>1.0</v>
      </c>
      <c r="D1352" s="29">
        <v>1480000.0</v>
      </c>
      <c r="E1352" s="26">
        <v>0.0</v>
      </c>
    </row>
    <row r="1353">
      <c r="A1353" s="26" t="s">
        <v>1773</v>
      </c>
      <c r="B1353" s="26" t="s">
        <v>2481</v>
      </c>
      <c r="C1353" s="26">
        <v>1000.0</v>
      </c>
      <c r="D1353" s="29">
        <v>3616.0</v>
      </c>
      <c r="E1353" s="26">
        <v>0.0</v>
      </c>
    </row>
    <row r="1354">
      <c r="A1354" s="26" t="s">
        <v>1774</v>
      </c>
      <c r="B1354" s="26" t="s">
        <v>2433</v>
      </c>
      <c r="C1354" s="26">
        <v>1.0</v>
      </c>
      <c r="D1354" s="29">
        <v>1450000.0</v>
      </c>
      <c r="E1354" s="26">
        <v>0.0</v>
      </c>
    </row>
    <row r="1355">
      <c r="A1355" s="29" t="s">
        <v>1775</v>
      </c>
      <c r="B1355" s="26" t="s">
        <v>2432</v>
      </c>
      <c r="C1355" s="26">
        <v>1.0</v>
      </c>
      <c r="D1355" s="29">
        <v>1480000.0</v>
      </c>
      <c r="E1355" s="29">
        <v>296000.0</v>
      </c>
    </row>
    <row r="1356">
      <c r="A1356" s="29" t="s">
        <v>1775</v>
      </c>
      <c r="B1356" s="26" t="s">
        <v>2433</v>
      </c>
      <c r="C1356" s="26">
        <v>1.0</v>
      </c>
      <c r="D1356" s="29">
        <v>1450000.0</v>
      </c>
      <c r="E1356" s="29">
        <v>290000.0</v>
      </c>
    </row>
    <row r="1357">
      <c r="A1357" s="29" t="s">
        <v>1775</v>
      </c>
      <c r="B1357" s="26" t="s">
        <v>2425</v>
      </c>
      <c r="C1357" s="26">
        <v>1.0</v>
      </c>
      <c r="D1357" s="29">
        <v>1875000.0</v>
      </c>
      <c r="E1357" s="29">
        <v>375000.0</v>
      </c>
    </row>
    <row r="1358">
      <c r="A1358" s="26" t="s">
        <v>1776</v>
      </c>
      <c r="B1358" s="26" t="s">
        <v>2434</v>
      </c>
      <c r="C1358" s="26">
        <v>1.0</v>
      </c>
      <c r="D1358" s="29">
        <v>1350000.0</v>
      </c>
      <c r="E1358" s="26">
        <v>0.0</v>
      </c>
    </row>
    <row r="1359">
      <c r="A1359" s="26" t="s">
        <v>1777</v>
      </c>
      <c r="B1359" s="26" t="s">
        <v>2434</v>
      </c>
      <c r="C1359" s="26">
        <v>1.0</v>
      </c>
      <c r="D1359" s="29">
        <v>1350000.0</v>
      </c>
      <c r="E1359" s="26">
        <v>0.0</v>
      </c>
    </row>
    <row r="1360">
      <c r="A1360" s="26" t="s">
        <v>1777</v>
      </c>
      <c r="B1360" s="26" t="s">
        <v>2433</v>
      </c>
      <c r="C1360" s="26">
        <v>1.0</v>
      </c>
      <c r="D1360" s="29">
        <v>1450000.0</v>
      </c>
      <c r="E1360" s="26">
        <v>0.0</v>
      </c>
    </row>
    <row r="1361">
      <c r="A1361" s="26" t="s">
        <v>1778</v>
      </c>
      <c r="B1361" s="26" t="s">
        <v>2483</v>
      </c>
      <c r="C1361" s="26">
        <v>10.0</v>
      </c>
      <c r="D1361" s="29">
        <v>60000.0</v>
      </c>
      <c r="E1361" s="26">
        <v>0.0</v>
      </c>
    </row>
    <row r="1362">
      <c r="A1362" s="26" t="s">
        <v>1778</v>
      </c>
      <c r="B1362" s="26" t="s">
        <v>2458</v>
      </c>
      <c r="C1362" s="26">
        <v>14.0</v>
      </c>
      <c r="D1362" s="29">
        <v>60000.0</v>
      </c>
      <c r="E1362" s="26">
        <v>0.0</v>
      </c>
    </row>
    <row r="1363">
      <c r="A1363" s="29" t="s">
        <v>1779</v>
      </c>
      <c r="B1363" s="26" t="s">
        <v>2434</v>
      </c>
      <c r="C1363" s="26">
        <v>1.0</v>
      </c>
      <c r="D1363" s="29">
        <v>1350000.0</v>
      </c>
      <c r="E1363" s="29">
        <v>675000.0</v>
      </c>
    </row>
    <row r="1364">
      <c r="A1364" s="26" t="s">
        <v>1780</v>
      </c>
      <c r="B1364" s="26" t="s">
        <v>2429</v>
      </c>
      <c r="C1364" s="26">
        <v>6.0</v>
      </c>
      <c r="D1364" s="29">
        <v>45000.0</v>
      </c>
      <c r="E1364" s="26">
        <v>0.0</v>
      </c>
    </row>
    <row r="1365">
      <c r="A1365" s="26" t="s">
        <v>1780</v>
      </c>
      <c r="B1365" s="26" t="s">
        <v>2483</v>
      </c>
      <c r="C1365" s="26">
        <v>5.0</v>
      </c>
      <c r="D1365" s="29">
        <v>60000.0</v>
      </c>
      <c r="E1365" s="26">
        <v>0.0</v>
      </c>
    </row>
    <row r="1366">
      <c r="A1366" s="26" t="s">
        <v>1780</v>
      </c>
      <c r="B1366" s="26" t="s">
        <v>2476</v>
      </c>
      <c r="C1366" s="26">
        <v>4.0</v>
      </c>
      <c r="D1366" s="29">
        <v>60000.0</v>
      </c>
      <c r="E1366" s="26">
        <v>0.0</v>
      </c>
    </row>
    <row r="1367">
      <c r="A1367" s="26" t="s">
        <v>1780</v>
      </c>
      <c r="B1367" s="26" t="s">
        <v>2458</v>
      </c>
      <c r="C1367" s="26">
        <v>3.0</v>
      </c>
      <c r="D1367" s="29">
        <v>60000.0</v>
      </c>
      <c r="E1367" s="26">
        <v>0.0</v>
      </c>
    </row>
    <row r="1368">
      <c r="A1368" s="26" t="s">
        <v>1780</v>
      </c>
      <c r="B1368" s="26" t="s">
        <v>2426</v>
      </c>
      <c r="C1368" s="26">
        <v>3.0</v>
      </c>
      <c r="D1368" s="29">
        <v>55000.0</v>
      </c>
      <c r="E1368" s="26">
        <v>0.0</v>
      </c>
    </row>
    <row r="1369">
      <c r="A1369" s="26" t="s">
        <v>1780</v>
      </c>
      <c r="B1369" s="26" t="s">
        <v>2435</v>
      </c>
      <c r="C1369" s="26">
        <v>3.0</v>
      </c>
      <c r="D1369" s="29">
        <v>40000.0</v>
      </c>
      <c r="E1369" s="26">
        <v>0.0</v>
      </c>
    </row>
    <row r="1370">
      <c r="A1370" s="26" t="s">
        <v>1780</v>
      </c>
      <c r="B1370" s="26" t="s">
        <v>2429</v>
      </c>
      <c r="C1370" s="26">
        <v>1.0</v>
      </c>
      <c r="D1370" s="26">
        <v>0.0</v>
      </c>
      <c r="E1370" s="26">
        <v>0.0</v>
      </c>
      <c r="F1370" s="26" t="s">
        <v>1522</v>
      </c>
    </row>
    <row r="1371">
      <c r="A1371" s="26" t="s">
        <v>1780</v>
      </c>
      <c r="B1371" s="26" t="s">
        <v>2483</v>
      </c>
      <c r="C1371" s="26">
        <v>1.0</v>
      </c>
      <c r="D1371" s="26">
        <v>0.0</v>
      </c>
      <c r="E1371" s="26">
        <v>0.0</v>
      </c>
      <c r="F1371" s="26" t="s">
        <v>1522</v>
      </c>
    </row>
    <row r="1372">
      <c r="A1372" s="26" t="s">
        <v>1780</v>
      </c>
      <c r="B1372" s="26" t="s">
        <v>2476</v>
      </c>
      <c r="C1372" s="26">
        <v>1.0</v>
      </c>
      <c r="D1372" s="26">
        <v>0.0</v>
      </c>
      <c r="E1372" s="26">
        <v>0.0</v>
      </c>
      <c r="F1372" s="26" t="s">
        <v>1522</v>
      </c>
    </row>
    <row r="1373">
      <c r="A1373" s="26" t="s">
        <v>1780</v>
      </c>
      <c r="B1373" s="26" t="s">
        <v>2458</v>
      </c>
      <c r="C1373" s="26">
        <v>1.0</v>
      </c>
      <c r="D1373" s="26">
        <v>0.0</v>
      </c>
      <c r="E1373" s="26">
        <v>0.0</v>
      </c>
      <c r="F1373" s="26" t="s">
        <v>1522</v>
      </c>
    </row>
    <row r="1374">
      <c r="A1374" s="26" t="s">
        <v>1780</v>
      </c>
      <c r="B1374" s="26" t="s">
        <v>2426</v>
      </c>
      <c r="C1374" s="26">
        <v>1.0</v>
      </c>
      <c r="D1374" s="26">
        <v>0.0</v>
      </c>
      <c r="E1374" s="26">
        <v>0.0</v>
      </c>
      <c r="F1374" s="26" t="s">
        <v>1522</v>
      </c>
    </row>
    <row r="1375">
      <c r="A1375" s="26" t="s">
        <v>1780</v>
      </c>
      <c r="B1375" s="26" t="s">
        <v>2435</v>
      </c>
      <c r="C1375" s="26">
        <v>1.0</v>
      </c>
      <c r="D1375" s="26">
        <v>0.0</v>
      </c>
      <c r="E1375" s="26">
        <v>0.0</v>
      </c>
      <c r="F1375" s="26" t="s">
        <v>1522</v>
      </c>
    </row>
    <row r="1376">
      <c r="A1376" s="26" t="s">
        <v>1780</v>
      </c>
      <c r="B1376" s="26" t="s">
        <v>2442</v>
      </c>
      <c r="C1376" s="26">
        <v>50.0</v>
      </c>
      <c r="D1376" s="26">
        <v>0.0</v>
      </c>
      <c r="E1376" s="26">
        <v>0.0</v>
      </c>
      <c r="F1376" s="26" t="s">
        <v>1522</v>
      </c>
    </row>
    <row r="1377">
      <c r="A1377" s="26" t="s">
        <v>1780</v>
      </c>
      <c r="B1377" s="26" t="s">
        <v>2437</v>
      </c>
      <c r="C1377" s="26">
        <v>6.0</v>
      </c>
      <c r="D1377" s="26">
        <v>0.0</v>
      </c>
      <c r="E1377" s="26">
        <v>0.0</v>
      </c>
      <c r="F1377" s="26" t="s">
        <v>1522</v>
      </c>
    </row>
    <row r="1378">
      <c r="A1378" s="29" t="s">
        <v>1781</v>
      </c>
      <c r="B1378" s="26" t="s">
        <v>2426</v>
      </c>
      <c r="C1378" s="26">
        <v>48.0</v>
      </c>
      <c r="D1378" s="29">
        <v>55000.0</v>
      </c>
      <c r="E1378" s="29">
        <v>5500.0</v>
      </c>
    </row>
    <row r="1379">
      <c r="A1379" s="26" t="s">
        <v>1782</v>
      </c>
      <c r="B1379" s="26" t="s">
        <v>2433</v>
      </c>
      <c r="C1379" s="26">
        <v>1.0</v>
      </c>
      <c r="D1379" s="29">
        <v>1450000.0</v>
      </c>
      <c r="E1379" s="26">
        <v>0.0</v>
      </c>
    </row>
    <row r="1380">
      <c r="A1380" s="26" t="s">
        <v>1783</v>
      </c>
      <c r="B1380" s="26" t="s">
        <v>2429</v>
      </c>
      <c r="C1380" s="26">
        <v>48.0</v>
      </c>
      <c r="D1380" s="29">
        <v>45000.0</v>
      </c>
      <c r="E1380" s="26">
        <v>0.0</v>
      </c>
    </row>
    <row r="1381">
      <c r="A1381" s="26" t="s">
        <v>1784</v>
      </c>
      <c r="B1381" s="26" t="s">
        <v>2433</v>
      </c>
      <c r="C1381" s="26">
        <v>1.0</v>
      </c>
      <c r="D1381" s="29">
        <v>1450000.0</v>
      </c>
      <c r="E1381" s="26">
        <v>0.0</v>
      </c>
    </row>
    <row r="1382">
      <c r="A1382" s="26" t="s">
        <v>1784</v>
      </c>
      <c r="B1382" s="26" t="s">
        <v>2431</v>
      </c>
      <c r="C1382" s="26">
        <v>1.0</v>
      </c>
      <c r="D1382" s="29">
        <v>2380000.0</v>
      </c>
      <c r="E1382" s="26">
        <v>0.0</v>
      </c>
    </row>
    <row r="1383">
      <c r="A1383" s="26" t="s">
        <v>1785</v>
      </c>
      <c r="B1383" s="26" t="s">
        <v>2435</v>
      </c>
      <c r="C1383" s="26">
        <v>24.0</v>
      </c>
      <c r="D1383" s="26">
        <v>0.0</v>
      </c>
      <c r="E1383" s="26">
        <v>0.0</v>
      </c>
      <c r="F1383" s="26" t="s">
        <v>2443</v>
      </c>
    </row>
    <row r="1384">
      <c r="A1384" s="26" t="s">
        <v>1786</v>
      </c>
      <c r="B1384" s="26" t="s">
        <v>2425</v>
      </c>
      <c r="C1384" s="26">
        <v>1.0</v>
      </c>
      <c r="D1384" s="29">
        <v>1875000.0</v>
      </c>
      <c r="E1384" s="26">
        <v>0.0</v>
      </c>
    </row>
    <row r="1385">
      <c r="A1385" s="26" t="s">
        <v>1787</v>
      </c>
      <c r="B1385" s="26" t="s">
        <v>2429</v>
      </c>
      <c r="C1385" s="26">
        <v>48.0</v>
      </c>
      <c r="D1385" s="29">
        <v>45000.0</v>
      </c>
      <c r="E1385" s="26">
        <v>0.0</v>
      </c>
    </row>
    <row r="1386">
      <c r="A1386" s="26" t="s">
        <v>1788</v>
      </c>
      <c r="B1386" s="26" t="s">
        <v>2433</v>
      </c>
      <c r="C1386" s="26">
        <v>1.0</v>
      </c>
      <c r="D1386" s="29">
        <v>1450000.0</v>
      </c>
      <c r="E1386" s="26">
        <v>0.0</v>
      </c>
    </row>
    <row r="1387">
      <c r="A1387" s="26" t="s">
        <v>1789</v>
      </c>
      <c r="B1387" s="26" t="s">
        <v>2477</v>
      </c>
      <c r="C1387" s="26">
        <v>1.0</v>
      </c>
      <c r="D1387" s="26">
        <v>0.0</v>
      </c>
      <c r="E1387" s="26">
        <v>0.0</v>
      </c>
      <c r="F1387" s="26" t="s">
        <v>1522</v>
      </c>
    </row>
    <row r="1388">
      <c r="A1388" s="26" t="s">
        <v>1789</v>
      </c>
      <c r="B1388" s="26" t="s">
        <v>2435</v>
      </c>
      <c r="C1388" s="26">
        <v>1.0</v>
      </c>
      <c r="D1388" s="26">
        <v>0.0</v>
      </c>
      <c r="E1388" s="26">
        <v>0.0</v>
      </c>
      <c r="F1388" s="26" t="s">
        <v>1522</v>
      </c>
    </row>
    <row r="1389">
      <c r="A1389" s="26" t="s">
        <v>1789</v>
      </c>
      <c r="B1389" s="26" t="s">
        <v>2483</v>
      </c>
      <c r="C1389" s="26">
        <v>1.0</v>
      </c>
      <c r="D1389" s="26">
        <v>0.0</v>
      </c>
      <c r="E1389" s="26">
        <v>0.0</v>
      </c>
      <c r="F1389" s="26" t="s">
        <v>1522</v>
      </c>
    </row>
    <row r="1390">
      <c r="A1390" s="26" t="s">
        <v>1789</v>
      </c>
      <c r="B1390" s="26" t="s">
        <v>2458</v>
      </c>
      <c r="C1390" s="26">
        <v>1.0</v>
      </c>
      <c r="D1390" s="26">
        <v>0.0</v>
      </c>
      <c r="E1390" s="26">
        <v>0.0</v>
      </c>
      <c r="F1390" s="26" t="s">
        <v>1522</v>
      </c>
    </row>
    <row r="1391">
      <c r="A1391" s="29" t="s">
        <v>1790</v>
      </c>
      <c r="B1391" s="26" t="s">
        <v>2428</v>
      </c>
      <c r="C1391" s="26">
        <v>600.0</v>
      </c>
      <c r="D1391" s="29">
        <v>45000.0</v>
      </c>
      <c r="E1391" s="29">
        <v>15750.0</v>
      </c>
    </row>
    <row r="1392">
      <c r="A1392" s="29" t="s">
        <v>1790</v>
      </c>
      <c r="B1392" s="26" t="s">
        <v>2434</v>
      </c>
      <c r="C1392" s="26">
        <v>2.0</v>
      </c>
      <c r="D1392" s="29">
        <v>1350000.0</v>
      </c>
      <c r="E1392" s="29">
        <v>472500.0</v>
      </c>
    </row>
    <row r="1393">
      <c r="A1393" s="29" t="s">
        <v>1790</v>
      </c>
      <c r="B1393" s="26" t="s">
        <v>2434</v>
      </c>
      <c r="C1393" s="26">
        <v>5.0</v>
      </c>
      <c r="D1393" s="29">
        <v>1350000.0</v>
      </c>
      <c r="E1393" s="29">
        <v>472500.0</v>
      </c>
    </row>
    <row r="1394">
      <c r="A1394" s="29" t="s">
        <v>1790</v>
      </c>
      <c r="B1394" s="26" t="s">
        <v>2425</v>
      </c>
      <c r="C1394" s="26">
        <v>2.0</v>
      </c>
      <c r="D1394" s="29">
        <v>1875000.0</v>
      </c>
      <c r="E1394" s="29">
        <v>656250.0</v>
      </c>
    </row>
    <row r="1395">
      <c r="A1395" s="26" t="s">
        <v>1790</v>
      </c>
      <c r="B1395" s="26" t="s">
        <v>2440</v>
      </c>
      <c r="C1395" s="26">
        <v>1.0</v>
      </c>
      <c r="D1395" s="26">
        <v>0.0</v>
      </c>
      <c r="E1395" s="26">
        <v>0.0</v>
      </c>
      <c r="F1395" s="26" t="s">
        <v>2436</v>
      </c>
    </row>
    <row r="1396">
      <c r="A1396" s="26" t="s">
        <v>1790</v>
      </c>
      <c r="B1396" s="26" t="s">
        <v>2430</v>
      </c>
      <c r="C1396" s="26">
        <v>12.0</v>
      </c>
      <c r="D1396" s="26">
        <v>0.0</v>
      </c>
      <c r="E1396" s="26">
        <v>0.0</v>
      </c>
      <c r="F1396" s="26" t="s">
        <v>2436</v>
      </c>
    </row>
    <row r="1397">
      <c r="A1397" s="26" t="s">
        <v>1790</v>
      </c>
      <c r="B1397" s="26" t="s">
        <v>2478</v>
      </c>
      <c r="C1397" s="26">
        <v>12.0</v>
      </c>
      <c r="D1397" s="26">
        <v>0.0</v>
      </c>
      <c r="E1397" s="26">
        <v>0.0</v>
      </c>
      <c r="F1397" s="26" t="s">
        <v>2436</v>
      </c>
    </row>
    <row r="1398">
      <c r="A1398" s="26" t="s">
        <v>1790</v>
      </c>
      <c r="B1398" s="26" t="s">
        <v>2428</v>
      </c>
      <c r="C1398" s="26">
        <v>12.0</v>
      </c>
      <c r="D1398" s="26">
        <v>0.0</v>
      </c>
      <c r="E1398" s="26">
        <v>0.0</v>
      </c>
      <c r="F1398" s="26" t="s">
        <v>2436</v>
      </c>
    </row>
    <row r="1399">
      <c r="A1399" s="26" t="s">
        <v>1790</v>
      </c>
      <c r="B1399" s="26" t="s">
        <v>2429</v>
      </c>
      <c r="C1399" s="26">
        <v>12.0</v>
      </c>
      <c r="D1399" s="26">
        <v>0.0</v>
      </c>
      <c r="E1399" s="26">
        <v>0.0</v>
      </c>
      <c r="F1399" s="26" t="s">
        <v>2436</v>
      </c>
    </row>
    <row r="1400">
      <c r="A1400" s="26" t="s">
        <v>1790</v>
      </c>
      <c r="B1400" s="26" t="s">
        <v>2426</v>
      </c>
      <c r="C1400" s="26">
        <v>12.0</v>
      </c>
      <c r="D1400" s="26">
        <v>0.0</v>
      </c>
      <c r="E1400" s="26">
        <v>0.0</v>
      </c>
      <c r="F1400" s="26" t="s">
        <v>2436</v>
      </c>
    </row>
    <row r="1401">
      <c r="A1401" s="26" t="s">
        <v>1790</v>
      </c>
      <c r="B1401" s="26" t="s">
        <v>2476</v>
      </c>
      <c r="C1401" s="26">
        <v>12.0</v>
      </c>
      <c r="D1401" s="26">
        <v>0.0</v>
      </c>
      <c r="E1401" s="26">
        <v>0.0</v>
      </c>
      <c r="F1401" s="26" t="s">
        <v>2436</v>
      </c>
    </row>
    <row r="1402">
      <c r="A1402" s="26" t="s">
        <v>1790</v>
      </c>
      <c r="B1402" s="26" t="s">
        <v>2435</v>
      </c>
      <c r="C1402" s="26">
        <v>12.0</v>
      </c>
      <c r="D1402" s="26">
        <v>0.0</v>
      </c>
      <c r="E1402" s="26">
        <v>0.0</v>
      </c>
      <c r="F1402" s="26" t="s">
        <v>2436</v>
      </c>
    </row>
    <row r="1403">
      <c r="A1403" s="26" t="s">
        <v>1790</v>
      </c>
      <c r="B1403" s="26" t="s">
        <v>2483</v>
      </c>
      <c r="C1403" s="26">
        <v>12.0</v>
      </c>
      <c r="D1403" s="26">
        <v>0.0</v>
      </c>
      <c r="E1403" s="26">
        <v>0.0</v>
      </c>
      <c r="F1403" s="26" t="s">
        <v>2436</v>
      </c>
    </row>
    <row r="1404">
      <c r="A1404" s="26" t="s">
        <v>1790</v>
      </c>
      <c r="B1404" s="26" t="s">
        <v>2458</v>
      </c>
      <c r="C1404" s="26">
        <v>12.0</v>
      </c>
      <c r="D1404" s="26">
        <v>0.0</v>
      </c>
      <c r="E1404" s="26">
        <v>0.0</v>
      </c>
      <c r="F1404" s="26" t="s">
        <v>2436</v>
      </c>
    </row>
    <row r="1405">
      <c r="A1405" s="26" t="s">
        <v>1790</v>
      </c>
      <c r="B1405" s="26" t="s">
        <v>2427</v>
      </c>
      <c r="C1405" s="26">
        <v>12.0</v>
      </c>
      <c r="D1405" s="26">
        <v>0.0</v>
      </c>
      <c r="E1405" s="26">
        <v>0.0</v>
      </c>
      <c r="F1405" s="26" t="s">
        <v>2436</v>
      </c>
    </row>
    <row r="1406">
      <c r="A1406" s="29" t="s">
        <v>1791</v>
      </c>
      <c r="B1406" s="26" t="s">
        <v>2432</v>
      </c>
      <c r="C1406" s="26">
        <v>1.0</v>
      </c>
      <c r="D1406" s="29">
        <v>1480000.0</v>
      </c>
      <c r="E1406" s="29">
        <v>296000.0</v>
      </c>
    </row>
    <row r="1407">
      <c r="A1407" s="29" t="s">
        <v>1791</v>
      </c>
      <c r="B1407" s="26" t="s">
        <v>2425</v>
      </c>
      <c r="C1407" s="26">
        <v>1.0</v>
      </c>
      <c r="D1407" s="29">
        <v>1875000.0</v>
      </c>
      <c r="E1407" s="29">
        <v>375000.0</v>
      </c>
    </row>
    <row r="1408">
      <c r="A1408" s="29" t="s">
        <v>1791</v>
      </c>
      <c r="B1408" s="26" t="s">
        <v>2433</v>
      </c>
      <c r="C1408" s="26">
        <v>1.0</v>
      </c>
      <c r="D1408" s="29">
        <v>1450000.0</v>
      </c>
      <c r="E1408" s="29">
        <v>290000.0</v>
      </c>
    </row>
    <row r="1409">
      <c r="A1409" s="29" t="s">
        <v>1792</v>
      </c>
      <c r="B1409" s="26" t="s">
        <v>2432</v>
      </c>
      <c r="C1409" s="26">
        <v>1.0</v>
      </c>
      <c r="D1409" s="29">
        <v>1480000.0</v>
      </c>
      <c r="E1409" s="29">
        <v>296000.0</v>
      </c>
    </row>
    <row r="1410">
      <c r="A1410" s="26" t="s">
        <v>1793</v>
      </c>
      <c r="B1410" s="26" t="s">
        <v>2435</v>
      </c>
      <c r="C1410" s="26">
        <v>96.0</v>
      </c>
      <c r="D1410" s="29">
        <v>40000.0</v>
      </c>
      <c r="E1410" s="26">
        <v>0.0</v>
      </c>
    </row>
    <row r="1411">
      <c r="A1411" s="26" t="s">
        <v>1793</v>
      </c>
      <c r="B1411" s="26" t="s">
        <v>2426</v>
      </c>
      <c r="C1411" s="26">
        <v>48.0</v>
      </c>
      <c r="D1411" s="29">
        <v>55000.0</v>
      </c>
      <c r="E1411" s="26">
        <v>0.0</v>
      </c>
    </row>
    <row r="1412">
      <c r="A1412" s="26" t="s">
        <v>1793</v>
      </c>
      <c r="B1412" s="26" t="s">
        <v>2483</v>
      </c>
      <c r="C1412" s="26">
        <v>24.0</v>
      </c>
      <c r="D1412" s="26">
        <v>0.0</v>
      </c>
      <c r="E1412" s="26">
        <v>0.0</v>
      </c>
      <c r="F1412" s="26" t="s">
        <v>2436</v>
      </c>
    </row>
    <row r="1413">
      <c r="A1413" s="26" t="s">
        <v>1793</v>
      </c>
      <c r="B1413" s="26" t="s">
        <v>2437</v>
      </c>
      <c r="C1413" s="26">
        <v>6.0</v>
      </c>
      <c r="D1413" s="26">
        <v>0.0</v>
      </c>
      <c r="E1413" s="26">
        <v>0.0</v>
      </c>
      <c r="F1413" s="26" t="s">
        <v>2438</v>
      </c>
    </row>
    <row r="1414">
      <c r="A1414" s="26" t="s">
        <v>1794</v>
      </c>
      <c r="B1414" s="26" t="s">
        <v>2431</v>
      </c>
      <c r="C1414" s="26">
        <v>1.0</v>
      </c>
      <c r="D1414" s="29">
        <v>2380000.0</v>
      </c>
      <c r="E1414" s="26">
        <v>0.0</v>
      </c>
    </row>
    <row r="1415">
      <c r="A1415" s="26" t="s">
        <v>1795</v>
      </c>
      <c r="B1415" s="26" t="s">
        <v>2425</v>
      </c>
      <c r="C1415" s="26">
        <v>2.0</v>
      </c>
      <c r="D1415" s="29">
        <v>1875000.0</v>
      </c>
      <c r="E1415" s="26">
        <v>0.0</v>
      </c>
    </row>
    <row r="1416">
      <c r="A1416" s="26" t="s">
        <v>1796</v>
      </c>
      <c r="B1416" s="26" t="s">
        <v>2433</v>
      </c>
      <c r="C1416" s="26">
        <v>1.0</v>
      </c>
      <c r="D1416" s="29">
        <v>1450000.0</v>
      </c>
      <c r="E1416" s="26">
        <v>0.0</v>
      </c>
    </row>
    <row r="1417">
      <c r="A1417" s="26" t="s">
        <v>1797</v>
      </c>
      <c r="B1417" s="26" t="s">
        <v>2433</v>
      </c>
      <c r="C1417" s="26">
        <v>1.0</v>
      </c>
      <c r="D1417" s="29">
        <v>1450000.0</v>
      </c>
      <c r="E1417" s="26">
        <v>0.0</v>
      </c>
    </row>
    <row r="1418">
      <c r="A1418" s="26" t="s">
        <v>1798</v>
      </c>
      <c r="B1418" s="26" t="s">
        <v>2429</v>
      </c>
      <c r="C1418" s="26">
        <v>24.0</v>
      </c>
      <c r="D1418" s="29">
        <v>45000.0</v>
      </c>
      <c r="E1418" s="26">
        <v>0.0</v>
      </c>
    </row>
    <row r="1419">
      <c r="A1419" s="26" t="s">
        <v>1800</v>
      </c>
      <c r="B1419" s="26" t="s">
        <v>2429</v>
      </c>
      <c r="C1419" s="26">
        <v>24.0</v>
      </c>
      <c r="D1419" s="29">
        <v>45000.0</v>
      </c>
      <c r="E1419" s="26">
        <v>0.0</v>
      </c>
    </row>
    <row r="1420">
      <c r="A1420" s="26" t="s">
        <v>1801</v>
      </c>
      <c r="B1420" s="26" t="s">
        <v>2429</v>
      </c>
      <c r="C1420" s="26">
        <v>24.0</v>
      </c>
      <c r="D1420" s="29">
        <v>45000.0</v>
      </c>
      <c r="E1420" s="26">
        <v>0.0</v>
      </c>
    </row>
    <row r="1421">
      <c r="A1421" s="26" t="s">
        <v>1802</v>
      </c>
      <c r="B1421" s="26" t="s">
        <v>2433</v>
      </c>
      <c r="C1421" s="26">
        <v>1.0</v>
      </c>
      <c r="D1421" s="29">
        <v>1450000.0</v>
      </c>
      <c r="E1421" s="26">
        <v>0.0</v>
      </c>
    </row>
    <row r="1422">
      <c r="A1422" s="29" t="s">
        <v>1803</v>
      </c>
      <c r="B1422" s="26" t="s">
        <v>2432</v>
      </c>
      <c r="C1422" s="26">
        <v>1.0</v>
      </c>
      <c r="D1422" s="29">
        <v>1480000.0</v>
      </c>
      <c r="E1422" s="29">
        <v>296000.0</v>
      </c>
    </row>
    <row r="1423">
      <c r="A1423" s="26" t="s">
        <v>1804</v>
      </c>
      <c r="B1423" s="26" t="s">
        <v>2430</v>
      </c>
      <c r="C1423" s="26">
        <v>10.0</v>
      </c>
      <c r="D1423" s="29">
        <v>45000.0</v>
      </c>
      <c r="E1423" s="26">
        <v>0.0</v>
      </c>
    </row>
    <row r="1424">
      <c r="A1424" s="26" t="s">
        <v>1804</v>
      </c>
      <c r="B1424" s="26" t="s">
        <v>2478</v>
      </c>
      <c r="C1424" s="26">
        <v>8.0</v>
      </c>
      <c r="D1424" s="29">
        <v>45000.0</v>
      </c>
      <c r="E1424" s="26">
        <v>0.0</v>
      </c>
    </row>
    <row r="1425">
      <c r="A1425" s="26" t="s">
        <v>1804</v>
      </c>
      <c r="B1425" s="26" t="s">
        <v>2426</v>
      </c>
      <c r="C1425" s="26">
        <v>6.0</v>
      </c>
      <c r="D1425" s="29">
        <v>55000.0</v>
      </c>
      <c r="E1425" s="26">
        <v>0.0</v>
      </c>
    </row>
    <row r="1426">
      <c r="A1426" s="26" t="s">
        <v>1805</v>
      </c>
      <c r="B1426" s="26" t="s">
        <v>2476</v>
      </c>
      <c r="C1426" s="26">
        <v>48.0</v>
      </c>
      <c r="D1426" s="29">
        <v>60000.0</v>
      </c>
      <c r="E1426" s="26">
        <v>0.0</v>
      </c>
    </row>
    <row r="1427">
      <c r="A1427" s="26" t="s">
        <v>1805</v>
      </c>
      <c r="B1427" s="26" t="s">
        <v>2476</v>
      </c>
      <c r="C1427" s="26">
        <v>24.0</v>
      </c>
      <c r="D1427" s="26">
        <v>0.0</v>
      </c>
      <c r="E1427" s="26">
        <v>0.0</v>
      </c>
      <c r="F1427" s="26" t="s">
        <v>2436</v>
      </c>
    </row>
    <row r="1428">
      <c r="A1428" s="26" t="s">
        <v>1806</v>
      </c>
      <c r="B1428" s="26" t="s">
        <v>2433</v>
      </c>
      <c r="C1428" s="26">
        <v>1.0</v>
      </c>
      <c r="D1428" s="29">
        <v>1450000.0</v>
      </c>
      <c r="E1428" s="26">
        <v>0.0</v>
      </c>
    </row>
    <row r="1429">
      <c r="A1429" s="29" t="s">
        <v>1807</v>
      </c>
      <c r="B1429" s="26" t="s">
        <v>2494</v>
      </c>
      <c r="C1429" s="26">
        <v>2.0</v>
      </c>
      <c r="D1429" s="29">
        <v>2500000.0</v>
      </c>
      <c r="E1429" s="29">
        <v>200000.0</v>
      </c>
    </row>
    <row r="1430">
      <c r="A1430" s="26" t="s">
        <v>1807</v>
      </c>
      <c r="B1430" s="26" t="s">
        <v>2494</v>
      </c>
      <c r="C1430" s="26">
        <v>1.0</v>
      </c>
      <c r="D1430" s="26">
        <v>0.0</v>
      </c>
      <c r="E1430" s="26">
        <v>0.0</v>
      </c>
      <c r="F1430" s="26" t="s">
        <v>2436</v>
      </c>
    </row>
    <row r="1431">
      <c r="A1431" s="29" t="s">
        <v>1808</v>
      </c>
      <c r="B1431" s="26" t="s">
        <v>2433</v>
      </c>
      <c r="C1431" s="26">
        <v>1.0</v>
      </c>
      <c r="D1431" s="29">
        <v>1450000.0</v>
      </c>
      <c r="E1431" s="29">
        <v>290000.0</v>
      </c>
    </row>
    <row r="1432">
      <c r="A1432" s="26" t="s">
        <v>1808</v>
      </c>
      <c r="B1432" s="26" t="s">
        <v>2437</v>
      </c>
      <c r="C1432" s="26">
        <v>12.0</v>
      </c>
      <c r="D1432" s="26">
        <v>0.0</v>
      </c>
      <c r="E1432" s="26">
        <v>0.0</v>
      </c>
      <c r="F1432" s="26" t="s">
        <v>2438</v>
      </c>
    </row>
    <row r="1433">
      <c r="A1433" s="26" t="s">
        <v>1808</v>
      </c>
      <c r="B1433" s="26" t="s">
        <v>2442</v>
      </c>
      <c r="C1433" s="26">
        <v>50.0</v>
      </c>
      <c r="D1433" s="26">
        <v>0.0</v>
      </c>
      <c r="E1433" s="26">
        <v>0.0</v>
      </c>
      <c r="F1433" s="26" t="s">
        <v>2438</v>
      </c>
    </row>
    <row r="1434">
      <c r="A1434" s="26" t="s">
        <v>1809</v>
      </c>
      <c r="B1434" s="26" t="s">
        <v>2425</v>
      </c>
      <c r="C1434" s="26">
        <v>1.0</v>
      </c>
      <c r="D1434" s="29">
        <v>1875000.0</v>
      </c>
      <c r="E1434" s="26">
        <v>0.0</v>
      </c>
    </row>
    <row r="1435">
      <c r="A1435" s="29" t="s">
        <v>1810</v>
      </c>
      <c r="B1435" s="26" t="s">
        <v>2432</v>
      </c>
      <c r="C1435" s="26">
        <v>1.0</v>
      </c>
      <c r="D1435" s="29">
        <v>1480000.0</v>
      </c>
      <c r="E1435" s="29">
        <v>296000.0</v>
      </c>
    </row>
    <row r="1436">
      <c r="A1436" s="29" t="s">
        <v>1810</v>
      </c>
      <c r="B1436" s="26" t="s">
        <v>2425</v>
      </c>
      <c r="C1436" s="26">
        <v>1.0</v>
      </c>
      <c r="D1436" s="29">
        <v>1875000.0</v>
      </c>
      <c r="E1436" s="29">
        <v>375000.0</v>
      </c>
    </row>
    <row r="1437">
      <c r="A1437" s="29" t="s">
        <v>1810</v>
      </c>
      <c r="B1437" s="26" t="s">
        <v>2431</v>
      </c>
      <c r="C1437" s="26">
        <v>1.0</v>
      </c>
      <c r="D1437" s="29">
        <v>2380000.0</v>
      </c>
      <c r="E1437" s="29">
        <v>476000.0</v>
      </c>
    </row>
    <row r="1438">
      <c r="A1438" s="26" t="s">
        <v>1811</v>
      </c>
      <c r="B1438" s="26" t="s">
        <v>2433</v>
      </c>
      <c r="C1438" s="26">
        <v>1.0</v>
      </c>
      <c r="D1438" s="29">
        <v>1450000.0</v>
      </c>
      <c r="E1438" s="26">
        <v>0.0</v>
      </c>
    </row>
    <row r="1439">
      <c r="A1439" s="26" t="s">
        <v>1812</v>
      </c>
      <c r="B1439" s="26" t="s">
        <v>2483</v>
      </c>
      <c r="C1439" s="26">
        <v>6.0</v>
      </c>
      <c r="D1439" s="26">
        <v>0.0</v>
      </c>
      <c r="E1439" s="26">
        <v>0.0</v>
      </c>
      <c r="F1439" s="26" t="s">
        <v>1522</v>
      </c>
    </row>
    <row r="1440">
      <c r="A1440" s="26" t="s">
        <v>1812</v>
      </c>
      <c r="B1440" s="26" t="s">
        <v>2427</v>
      </c>
      <c r="C1440" s="26">
        <v>6.0</v>
      </c>
      <c r="D1440" s="26">
        <v>0.0</v>
      </c>
      <c r="E1440" s="26">
        <v>0.0</v>
      </c>
      <c r="F1440" s="26" t="s">
        <v>1522</v>
      </c>
    </row>
    <row r="1441">
      <c r="A1441" s="26" t="s">
        <v>1812</v>
      </c>
      <c r="B1441" s="26" t="s">
        <v>2435</v>
      </c>
      <c r="C1441" s="26">
        <v>12.0</v>
      </c>
      <c r="D1441" s="26">
        <v>0.0</v>
      </c>
      <c r="E1441" s="26">
        <v>0.0</v>
      </c>
      <c r="F1441" s="26" t="s">
        <v>1522</v>
      </c>
    </row>
    <row r="1442">
      <c r="A1442" s="26" t="s">
        <v>1812</v>
      </c>
      <c r="B1442" s="26" t="s">
        <v>2426</v>
      </c>
      <c r="C1442" s="26">
        <v>6.0</v>
      </c>
      <c r="D1442" s="26">
        <v>0.0</v>
      </c>
      <c r="E1442" s="26">
        <v>0.0</v>
      </c>
      <c r="F1442" s="26" t="s">
        <v>1522</v>
      </c>
    </row>
    <row r="1443">
      <c r="A1443" s="26" t="s">
        <v>1812</v>
      </c>
      <c r="B1443" s="26" t="s">
        <v>2458</v>
      </c>
      <c r="C1443" s="26">
        <v>6.0</v>
      </c>
      <c r="D1443" s="26">
        <v>0.0</v>
      </c>
      <c r="E1443" s="26">
        <v>0.0</v>
      </c>
      <c r="F1443" s="26" t="s">
        <v>1522</v>
      </c>
    </row>
    <row r="1444">
      <c r="A1444" s="26" t="s">
        <v>1812</v>
      </c>
      <c r="B1444" s="26" t="s">
        <v>2429</v>
      </c>
      <c r="C1444" s="26">
        <v>6.0</v>
      </c>
      <c r="D1444" s="26">
        <v>0.0</v>
      </c>
      <c r="E1444" s="26">
        <v>0.0</v>
      </c>
      <c r="F1444" s="26" t="s">
        <v>1522</v>
      </c>
    </row>
    <row r="1445">
      <c r="A1445" s="26" t="s">
        <v>1812</v>
      </c>
      <c r="B1445" s="26" t="s">
        <v>2430</v>
      </c>
      <c r="C1445" s="26">
        <v>6.0</v>
      </c>
      <c r="D1445" s="26">
        <v>0.0</v>
      </c>
      <c r="E1445" s="26">
        <v>0.0</v>
      </c>
      <c r="F1445" s="26" t="s">
        <v>1522</v>
      </c>
    </row>
    <row r="1446">
      <c r="A1446" s="26" t="s">
        <v>1814</v>
      </c>
      <c r="B1446" s="26" t="s">
        <v>2425</v>
      </c>
      <c r="C1446" s="26">
        <v>1.0</v>
      </c>
      <c r="D1446" s="29">
        <v>1875000.0</v>
      </c>
      <c r="E1446" s="26">
        <v>0.0</v>
      </c>
    </row>
    <row r="1447">
      <c r="A1447" s="26" t="s">
        <v>1814</v>
      </c>
      <c r="B1447" s="26" t="s">
        <v>2441</v>
      </c>
      <c r="C1447" s="26">
        <v>10.0</v>
      </c>
      <c r="D1447" s="29">
        <v>32000.0</v>
      </c>
      <c r="E1447" s="26">
        <v>0.0</v>
      </c>
    </row>
    <row r="1448">
      <c r="A1448" s="26" t="s">
        <v>1814</v>
      </c>
      <c r="B1448" s="26" t="s">
        <v>2442</v>
      </c>
      <c r="C1448" s="26">
        <v>50.0</v>
      </c>
      <c r="D1448" s="26">
        <v>0.0</v>
      </c>
      <c r="E1448" s="26">
        <v>0.0</v>
      </c>
      <c r="F1448" s="26" t="s">
        <v>2438</v>
      </c>
    </row>
    <row r="1449">
      <c r="A1449" s="26" t="s">
        <v>1815</v>
      </c>
      <c r="B1449" s="26" t="s">
        <v>2434</v>
      </c>
      <c r="C1449" s="26">
        <v>1.0</v>
      </c>
      <c r="D1449" s="29">
        <v>1350000.0</v>
      </c>
      <c r="E1449" s="26">
        <v>0.0</v>
      </c>
    </row>
    <row r="1450">
      <c r="A1450" s="29" t="s">
        <v>1816</v>
      </c>
      <c r="B1450" s="26" t="s">
        <v>2433</v>
      </c>
      <c r="C1450" s="26">
        <v>1.0</v>
      </c>
      <c r="D1450" s="29">
        <v>1450000.0</v>
      </c>
      <c r="E1450" s="29">
        <v>290000.0</v>
      </c>
    </row>
    <row r="1451">
      <c r="A1451" s="26" t="s">
        <v>1817</v>
      </c>
      <c r="B1451" s="26" t="s">
        <v>2426</v>
      </c>
      <c r="C1451" s="26">
        <v>24.0</v>
      </c>
      <c r="D1451" s="29">
        <v>55000.0</v>
      </c>
      <c r="E1451" s="26">
        <v>0.0</v>
      </c>
    </row>
    <row r="1452">
      <c r="A1452" s="26" t="s">
        <v>1817</v>
      </c>
      <c r="B1452" s="26" t="s">
        <v>2476</v>
      </c>
      <c r="C1452" s="26">
        <v>12.0</v>
      </c>
      <c r="D1452" s="29">
        <v>60000.0</v>
      </c>
      <c r="E1452" s="26">
        <v>0.0</v>
      </c>
    </row>
    <row r="1453">
      <c r="A1453" s="26" t="s">
        <v>1817</v>
      </c>
      <c r="B1453" s="26" t="s">
        <v>2483</v>
      </c>
      <c r="C1453" s="26">
        <v>4.0</v>
      </c>
      <c r="D1453" s="29">
        <v>60000.0</v>
      </c>
      <c r="E1453" s="26">
        <v>0.0</v>
      </c>
    </row>
    <row r="1454">
      <c r="A1454" s="26" t="s">
        <v>1817</v>
      </c>
      <c r="B1454" s="26" t="s">
        <v>2430</v>
      </c>
      <c r="C1454" s="26">
        <v>4.0</v>
      </c>
      <c r="D1454" s="29">
        <v>45000.0</v>
      </c>
      <c r="E1454" s="26">
        <v>0.0</v>
      </c>
    </row>
    <row r="1455">
      <c r="A1455" s="26" t="s">
        <v>1817</v>
      </c>
      <c r="B1455" s="26" t="s">
        <v>2427</v>
      </c>
      <c r="C1455" s="26">
        <v>4.0</v>
      </c>
      <c r="D1455" s="29">
        <v>60000.0</v>
      </c>
      <c r="E1455" s="26">
        <v>0.0</v>
      </c>
    </row>
    <row r="1456">
      <c r="A1456" s="26" t="s">
        <v>1818</v>
      </c>
      <c r="B1456" s="26" t="s">
        <v>2425</v>
      </c>
      <c r="C1456" s="26">
        <v>1.0</v>
      </c>
      <c r="D1456" s="29">
        <v>1875000.0</v>
      </c>
      <c r="E1456" s="26">
        <v>0.0</v>
      </c>
    </row>
    <row r="1457">
      <c r="A1457" s="26" t="s">
        <v>1818</v>
      </c>
      <c r="B1457" s="26" t="s">
        <v>2431</v>
      </c>
      <c r="C1457" s="26">
        <v>1.0</v>
      </c>
      <c r="D1457" s="29">
        <v>2380000.0</v>
      </c>
      <c r="E1457" s="26">
        <v>0.0</v>
      </c>
    </row>
    <row r="1458">
      <c r="A1458" s="26" t="s">
        <v>1819</v>
      </c>
      <c r="B1458" s="26" t="s">
        <v>2433</v>
      </c>
      <c r="C1458" s="26">
        <v>1.0</v>
      </c>
      <c r="D1458" s="29">
        <v>1450000.0</v>
      </c>
      <c r="E1458" s="26">
        <v>0.0</v>
      </c>
    </row>
    <row r="1459">
      <c r="A1459" s="26" t="s">
        <v>1820</v>
      </c>
      <c r="B1459" s="26" t="s">
        <v>2477</v>
      </c>
      <c r="C1459" s="26">
        <v>1.0</v>
      </c>
      <c r="D1459" s="26">
        <v>0.0</v>
      </c>
      <c r="E1459" s="26">
        <v>0.0</v>
      </c>
      <c r="F1459" s="26" t="s">
        <v>1522</v>
      </c>
    </row>
    <row r="1460">
      <c r="A1460" s="26" t="s">
        <v>1820</v>
      </c>
      <c r="B1460" s="26" t="s">
        <v>2435</v>
      </c>
      <c r="C1460" s="26">
        <v>1.0</v>
      </c>
      <c r="D1460" s="26">
        <v>0.0</v>
      </c>
      <c r="E1460" s="26">
        <v>0.0</v>
      </c>
      <c r="F1460" s="26" t="s">
        <v>1522</v>
      </c>
    </row>
    <row r="1461">
      <c r="A1461" s="26" t="s">
        <v>1820</v>
      </c>
      <c r="B1461" s="26" t="s">
        <v>2458</v>
      </c>
      <c r="C1461" s="26">
        <v>1.0</v>
      </c>
      <c r="D1461" s="26">
        <v>0.0</v>
      </c>
      <c r="E1461" s="26">
        <v>0.0</v>
      </c>
      <c r="F1461" s="26" t="s">
        <v>1522</v>
      </c>
    </row>
    <row r="1462">
      <c r="A1462" s="26" t="s">
        <v>1820</v>
      </c>
      <c r="B1462" s="26" t="s">
        <v>2483</v>
      </c>
      <c r="C1462" s="26">
        <v>1.0</v>
      </c>
      <c r="D1462" s="26">
        <v>0.0</v>
      </c>
      <c r="E1462" s="26">
        <v>0.0</v>
      </c>
      <c r="F1462" s="26" t="s">
        <v>1522</v>
      </c>
    </row>
    <row r="1463">
      <c r="A1463" s="26" t="s">
        <v>1820</v>
      </c>
      <c r="B1463" s="26" t="s">
        <v>2427</v>
      </c>
      <c r="C1463" s="26">
        <v>1.0</v>
      </c>
      <c r="D1463" s="26">
        <v>0.0</v>
      </c>
      <c r="E1463" s="26">
        <v>0.0</v>
      </c>
      <c r="F1463" s="26" t="s">
        <v>1522</v>
      </c>
    </row>
    <row r="1464">
      <c r="A1464" s="26" t="s">
        <v>1821</v>
      </c>
      <c r="B1464" s="26" t="s">
        <v>2430</v>
      </c>
      <c r="C1464" s="26">
        <v>24.0</v>
      </c>
      <c r="D1464" s="29">
        <v>45000.0</v>
      </c>
      <c r="E1464" s="26">
        <v>0.0</v>
      </c>
    </row>
    <row r="1465">
      <c r="A1465" s="26" t="s">
        <v>1821</v>
      </c>
      <c r="B1465" s="26" t="s">
        <v>2442</v>
      </c>
      <c r="C1465" s="26">
        <v>50.0</v>
      </c>
      <c r="D1465" s="26">
        <v>0.0</v>
      </c>
      <c r="E1465" s="26">
        <v>0.0</v>
      </c>
      <c r="F1465" s="26" t="s">
        <v>2438</v>
      </c>
    </row>
    <row r="1466">
      <c r="A1466" s="26" t="s">
        <v>1822</v>
      </c>
      <c r="B1466" s="26" t="s">
        <v>2429</v>
      </c>
      <c r="C1466" s="26">
        <v>24.0</v>
      </c>
      <c r="D1466" s="29">
        <v>45000.0</v>
      </c>
      <c r="E1466" s="26">
        <v>0.0</v>
      </c>
    </row>
    <row r="1467">
      <c r="A1467" s="26" t="s">
        <v>1822</v>
      </c>
      <c r="B1467" s="26" t="s">
        <v>2442</v>
      </c>
      <c r="C1467" s="26">
        <v>50.0</v>
      </c>
      <c r="D1467" s="26">
        <v>0.0</v>
      </c>
      <c r="E1467" s="26">
        <v>0.0</v>
      </c>
      <c r="F1467" s="26" t="s">
        <v>2438</v>
      </c>
    </row>
    <row r="1468">
      <c r="A1468" s="26" t="s">
        <v>1823</v>
      </c>
      <c r="B1468" s="26" t="s">
        <v>2433</v>
      </c>
      <c r="C1468" s="26">
        <v>1.0</v>
      </c>
      <c r="D1468" s="29">
        <v>1450000.0</v>
      </c>
      <c r="E1468" s="26">
        <v>0.0</v>
      </c>
    </row>
    <row r="1469">
      <c r="A1469" s="26" t="s">
        <v>1824</v>
      </c>
      <c r="B1469" s="26" t="s">
        <v>2433</v>
      </c>
      <c r="C1469" s="26">
        <v>1.0</v>
      </c>
      <c r="D1469" s="29">
        <v>1450000.0</v>
      </c>
      <c r="E1469" s="26">
        <v>0.0</v>
      </c>
    </row>
    <row r="1470">
      <c r="A1470" s="26" t="s">
        <v>1825</v>
      </c>
      <c r="B1470" s="26" t="s">
        <v>2478</v>
      </c>
      <c r="C1470" s="26">
        <v>120.0</v>
      </c>
      <c r="D1470" s="29">
        <v>45000.0</v>
      </c>
      <c r="E1470" s="26">
        <v>0.0</v>
      </c>
    </row>
    <row r="1471">
      <c r="A1471" s="26" t="s">
        <v>1825</v>
      </c>
      <c r="B1471" s="26" t="s">
        <v>2429</v>
      </c>
      <c r="C1471" s="26">
        <v>240.0</v>
      </c>
      <c r="D1471" s="29">
        <v>45000.0</v>
      </c>
      <c r="E1471" s="26">
        <v>0.0</v>
      </c>
    </row>
    <row r="1472">
      <c r="A1472" s="26" t="s">
        <v>1825</v>
      </c>
      <c r="B1472" s="26" t="s">
        <v>2432</v>
      </c>
      <c r="C1472" s="26">
        <v>10.0</v>
      </c>
      <c r="D1472" s="29">
        <v>1480000.0</v>
      </c>
      <c r="E1472" s="26">
        <v>0.0</v>
      </c>
    </row>
    <row r="1473">
      <c r="A1473" s="26" t="s">
        <v>1825</v>
      </c>
      <c r="B1473" s="26" t="s">
        <v>2433</v>
      </c>
      <c r="C1473" s="26">
        <v>15.0</v>
      </c>
      <c r="D1473" s="29">
        <v>1450000.0</v>
      </c>
      <c r="E1473" s="26">
        <v>0.0</v>
      </c>
    </row>
    <row r="1474">
      <c r="A1474" s="26" t="s">
        <v>1825</v>
      </c>
      <c r="B1474" s="26" t="s">
        <v>2431</v>
      </c>
      <c r="C1474" s="26">
        <v>12.0</v>
      </c>
      <c r="D1474" s="29">
        <v>2380000.0</v>
      </c>
      <c r="E1474" s="26">
        <v>0.0</v>
      </c>
    </row>
    <row r="1475">
      <c r="A1475" s="26" t="s">
        <v>1826</v>
      </c>
      <c r="B1475" s="26" t="s">
        <v>2435</v>
      </c>
      <c r="C1475" s="26">
        <v>24.0</v>
      </c>
      <c r="D1475" s="29">
        <v>40000.0</v>
      </c>
      <c r="E1475" s="26">
        <v>0.0</v>
      </c>
    </row>
    <row r="1476">
      <c r="A1476" s="26" t="s">
        <v>1826</v>
      </c>
      <c r="B1476" s="26" t="s">
        <v>2483</v>
      </c>
      <c r="C1476" s="26">
        <v>24.0</v>
      </c>
      <c r="D1476" s="29">
        <v>60000.0</v>
      </c>
      <c r="E1476" s="26">
        <v>0.0</v>
      </c>
    </row>
    <row r="1477">
      <c r="A1477" s="26" t="s">
        <v>1826</v>
      </c>
      <c r="B1477" s="26" t="s">
        <v>2458</v>
      </c>
      <c r="C1477" s="26">
        <v>24.0</v>
      </c>
      <c r="D1477" s="29">
        <v>60000.0</v>
      </c>
      <c r="E1477" s="26">
        <v>0.0</v>
      </c>
    </row>
    <row r="1478">
      <c r="A1478" s="26" t="s">
        <v>1826</v>
      </c>
      <c r="B1478" s="26" t="s">
        <v>2458</v>
      </c>
      <c r="C1478" s="26">
        <v>24.0</v>
      </c>
      <c r="D1478" s="26">
        <v>0.0</v>
      </c>
      <c r="E1478" s="26">
        <v>0.0</v>
      </c>
      <c r="F1478" s="26" t="s">
        <v>2436</v>
      </c>
    </row>
    <row r="1479">
      <c r="A1479" s="26" t="s">
        <v>1827</v>
      </c>
      <c r="B1479" s="26" t="s">
        <v>2477</v>
      </c>
      <c r="C1479" s="26">
        <v>1.0</v>
      </c>
      <c r="D1479" s="26">
        <v>0.0</v>
      </c>
      <c r="E1479" s="26">
        <v>0.0</v>
      </c>
      <c r="F1479" s="26" t="s">
        <v>1522</v>
      </c>
    </row>
    <row r="1480">
      <c r="A1480" s="26" t="s">
        <v>1827</v>
      </c>
      <c r="B1480" s="26" t="s">
        <v>2435</v>
      </c>
      <c r="C1480" s="26">
        <v>1.0</v>
      </c>
      <c r="D1480" s="26">
        <v>0.0</v>
      </c>
      <c r="E1480" s="26">
        <v>0.0</v>
      </c>
      <c r="F1480" s="26" t="s">
        <v>1522</v>
      </c>
    </row>
    <row r="1481">
      <c r="A1481" s="26" t="s">
        <v>1827</v>
      </c>
      <c r="B1481" s="26" t="s">
        <v>2483</v>
      </c>
      <c r="C1481" s="26">
        <v>1.0</v>
      </c>
      <c r="D1481" s="26">
        <v>0.0</v>
      </c>
      <c r="E1481" s="26">
        <v>0.0</v>
      </c>
      <c r="F1481" s="26" t="s">
        <v>1522</v>
      </c>
    </row>
    <row r="1482">
      <c r="A1482" s="26" t="s">
        <v>1827</v>
      </c>
      <c r="B1482" s="26" t="s">
        <v>2458</v>
      </c>
      <c r="C1482" s="26">
        <v>1.0</v>
      </c>
      <c r="D1482" s="26">
        <v>0.0</v>
      </c>
      <c r="E1482" s="26">
        <v>0.0</v>
      </c>
      <c r="F1482" s="26" t="s">
        <v>1522</v>
      </c>
    </row>
    <row r="1483">
      <c r="A1483" s="29" t="s">
        <v>1829</v>
      </c>
      <c r="B1483" s="26" t="s">
        <v>2432</v>
      </c>
      <c r="C1483" s="26">
        <v>1.0</v>
      </c>
      <c r="D1483" s="29">
        <v>1480000.0</v>
      </c>
      <c r="E1483" s="29">
        <v>296000.0</v>
      </c>
    </row>
    <row r="1484">
      <c r="A1484" s="26" t="s">
        <v>1830</v>
      </c>
      <c r="B1484" s="26" t="s">
        <v>2429</v>
      </c>
      <c r="C1484" s="26">
        <v>24.0</v>
      </c>
      <c r="D1484" s="29">
        <v>45000.0</v>
      </c>
      <c r="E1484" s="26">
        <v>0.0</v>
      </c>
    </row>
    <row r="1485">
      <c r="A1485" s="26" t="s">
        <v>1831</v>
      </c>
      <c r="B1485" s="26" t="s">
        <v>2429</v>
      </c>
      <c r="C1485" s="26">
        <v>48.0</v>
      </c>
      <c r="D1485" s="29">
        <v>45000.0</v>
      </c>
      <c r="E1485" s="26">
        <v>0.0</v>
      </c>
    </row>
    <row r="1486">
      <c r="A1486" s="26" t="s">
        <v>1831</v>
      </c>
      <c r="B1486" s="26" t="s">
        <v>2430</v>
      </c>
      <c r="C1486" s="26">
        <v>12.0</v>
      </c>
      <c r="D1486" s="29">
        <v>45000.0</v>
      </c>
      <c r="E1486" s="26">
        <v>0.0</v>
      </c>
    </row>
    <row r="1487">
      <c r="A1487" s="26" t="s">
        <v>1831</v>
      </c>
      <c r="B1487" s="26" t="s">
        <v>2426</v>
      </c>
      <c r="C1487" s="26">
        <v>12.0</v>
      </c>
      <c r="D1487" s="29">
        <v>55000.0</v>
      </c>
      <c r="E1487" s="26">
        <v>0.0</v>
      </c>
    </row>
    <row r="1488">
      <c r="A1488" s="26" t="s">
        <v>1832</v>
      </c>
      <c r="B1488" s="26" t="s">
        <v>2439</v>
      </c>
      <c r="C1488" s="26">
        <v>1.0</v>
      </c>
      <c r="D1488" s="29">
        <v>250000.0</v>
      </c>
      <c r="E1488" s="26">
        <v>0.0</v>
      </c>
    </row>
    <row r="1489">
      <c r="A1489" s="26" t="s">
        <v>1832</v>
      </c>
      <c r="B1489" s="26" t="s">
        <v>2495</v>
      </c>
      <c r="C1489" s="26">
        <v>1.0</v>
      </c>
      <c r="D1489" s="29">
        <v>1790000.0</v>
      </c>
      <c r="E1489" s="26">
        <v>0.0</v>
      </c>
    </row>
    <row r="1490">
      <c r="A1490" s="26" t="s">
        <v>1833</v>
      </c>
      <c r="B1490" s="26" t="s">
        <v>2429</v>
      </c>
      <c r="C1490" s="26">
        <v>24.0</v>
      </c>
      <c r="D1490" s="29">
        <v>45000.0</v>
      </c>
      <c r="E1490" s="26">
        <v>0.0</v>
      </c>
    </row>
    <row r="1491">
      <c r="A1491" s="26" t="s">
        <v>1834</v>
      </c>
      <c r="B1491" s="26" t="s">
        <v>2425</v>
      </c>
      <c r="C1491" s="26">
        <v>2.0</v>
      </c>
      <c r="D1491" s="29">
        <v>1875000.0</v>
      </c>
      <c r="E1491" s="26">
        <v>0.0</v>
      </c>
    </row>
    <row r="1492">
      <c r="A1492" s="26" t="s">
        <v>1834</v>
      </c>
      <c r="B1492" s="26" t="s">
        <v>2442</v>
      </c>
      <c r="C1492" s="26">
        <v>50.0</v>
      </c>
      <c r="D1492" s="26">
        <v>0.0</v>
      </c>
      <c r="E1492" s="26">
        <v>0.0</v>
      </c>
      <c r="F1492" s="26" t="s">
        <v>2438</v>
      </c>
    </row>
    <row r="1493">
      <c r="A1493" s="26" t="s">
        <v>1835</v>
      </c>
      <c r="B1493" s="26" t="s">
        <v>2433</v>
      </c>
      <c r="C1493" s="26">
        <v>10.0</v>
      </c>
      <c r="D1493" s="29">
        <v>1450000.0</v>
      </c>
      <c r="E1493" s="26">
        <v>0.0</v>
      </c>
    </row>
    <row r="1494">
      <c r="A1494" s="26" t="s">
        <v>1835</v>
      </c>
      <c r="B1494" s="26" t="s">
        <v>2432</v>
      </c>
      <c r="C1494" s="26">
        <v>3.0</v>
      </c>
      <c r="D1494" s="29">
        <v>1480000.0</v>
      </c>
      <c r="E1494" s="26">
        <v>0.0</v>
      </c>
    </row>
    <row r="1495">
      <c r="A1495" s="26" t="s">
        <v>1835</v>
      </c>
      <c r="B1495" s="26" t="s">
        <v>2429</v>
      </c>
      <c r="C1495" s="26">
        <v>288.0</v>
      </c>
      <c r="D1495" s="29">
        <v>45000.0</v>
      </c>
      <c r="E1495" s="26">
        <v>0.0</v>
      </c>
    </row>
    <row r="1496">
      <c r="A1496" s="26" t="s">
        <v>1835</v>
      </c>
      <c r="B1496" s="26" t="s">
        <v>2478</v>
      </c>
      <c r="C1496" s="26">
        <v>72.0</v>
      </c>
      <c r="D1496" s="29">
        <v>45000.0</v>
      </c>
      <c r="E1496" s="26">
        <v>0.0</v>
      </c>
    </row>
    <row r="1497">
      <c r="A1497" s="26" t="s">
        <v>1835</v>
      </c>
      <c r="B1497" s="26" t="s">
        <v>2426</v>
      </c>
      <c r="C1497" s="26">
        <v>48.0</v>
      </c>
      <c r="D1497" s="29">
        <v>55000.0</v>
      </c>
      <c r="E1497" s="26">
        <v>0.0</v>
      </c>
    </row>
    <row r="1498">
      <c r="A1498" s="26" t="s">
        <v>1835</v>
      </c>
      <c r="B1498" s="26" t="s">
        <v>2442</v>
      </c>
      <c r="C1498" s="26">
        <v>200.0</v>
      </c>
      <c r="D1498" s="26">
        <v>0.0</v>
      </c>
      <c r="E1498" s="26">
        <v>0.0</v>
      </c>
      <c r="F1498" s="26" t="s">
        <v>2438</v>
      </c>
    </row>
    <row r="1499">
      <c r="A1499" s="26" t="s">
        <v>1836</v>
      </c>
      <c r="B1499" s="26" t="s">
        <v>2434</v>
      </c>
      <c r="C1499" s="26">
        <v>1.0</v>
      </c>
      <c r="D1499" s="29">
        <v>1350000.0</v>
      </c>
      <c r="E1499" s="26">
        <v>0.0</v>
      </c>
    </row>
    <row r="1500">
      <c r="A1500" s="26" t="s">
        <v>1837</v>
      </c>
      <c r="B1500" s="26" t="s">
        <v>2433</v>
      </c>
      <c r="C1500" s="26">
        <v>1.0</v>
      </c>
      <c r="D1500" s="29">
        <v>1450000.0</v>
      </c>
      <c r="E1500" s="26">
        <v>0.0</v>
      </c>
    </row>
    <row r="1501">
      <c r="A1501" s="29" t="s">
        <v>1838</v>
      </c>
      <c r="B1501" s="26" t="s">
        <v>2433</v>
      </c>
      <c r="C1501" s="26">
        <v>1.0</v>
      </c>
      <c r="D1501" s="29">
        <v>1450000.0</v>
      </c>
      <c r="E1501" s="29">
        <v>290000.0</v>
      </c>
    </row>
    <row r="1502">
      <c r="A1502" s="29" t="s">
        <v>1838</v>
      </c>
      <c r="B1502" s="26" t="s">
        <v>2425</v>
      </c>
      <c r="C1502" s="26">
        <v>1.0</v>
      </c>
      <c r="D1502" s="29">
        <v>1875000.0</v>
      </c>
      <c r="E1502" s="29">
        <v>375000.0</v>
      </c>
    </row>
    <row r="1503">
      <c r="A1503" s="26" t="s">
        <v>1839</v>
      </c>
      <c r="B1503" s="26" t="s">
        <v>2429</v>
      </c>
      <c r="C1503" s="26">
        <v>24.0</v>
      </c>
      <c r="D1503" s="29">
        <v>45000.0</v>
      </c>
      <c r="E1503" s="26">
        <v>0.0</v>
      </c>
    </row>
    <row r="1504">
      <c r="A1504" s="26" t="s">
        <v>1840</v>
      </c>
      <c r="B1504" s="26" t="s">
        <v>2433</v>
      </c>
      <c r="C1504" s="26">
        <v>1.0</v>
      </c>
      <c r="D1504" s="29">
        <v>1450000.0</v>
      </c>
      <c r="E1504" s="26">
        <v>0.0</v>
      </c>
    </row>
    <row r="1505">
      <c r="A1505" s="26" t="s">
        <v>1841</v>
      </c>
      <c r="B1505" s="26" t="s">
        <v>2433</v>
      </c>
      <c r="C1505" s="26">
        <v>1.0</v>
      </c>
      <c r="D1505" s="29">
        <v>1450000.0</v>
      </c>
      <c r="E1505" s="26">
        <v>0.0</v>
      </c>
    </row>
    <row r="1506">
      <c r="A1506" s="26" t="s">
        <v>1842</v>
      </c>
      <c r="B1506" s="26" t="s">
        <v>2434</v>
      </c>
      <c r="C1506" s="26">
        <v>1.0</v>
      </c>
      <c r="D1506" s="29">
        <v>1350000.0</v>
      </c>
      <c r="E1506" s="26">
        <v>0.0</v>
      </c>
    </row>
    <row r="1507">
      <c r="A1507" s="26" t="s">
        <v>1842</v>
      </c>
      <c r="B1507" s="26" t="s">
        <v>2457</v>
      </c>
      <c r="C1507" s="26">
        <v>1.0</v>
      </c>
      <c r="D1507" s="26">
        <v>0.0</v>
      </c>
      <c r="E1507" s="26">
        <v>0.0</v>
      </c>
      <c r="F1507" s="26" t="s">
        <v>2438</v>
      </c>
    </row>
    <row r="1508">
      <c r="A1508" s="29" t="s">
        <v>1843</v>
      </c>
      <c r="B1508" s="26" t="s">
        <v>2432</v>
      </c>
      <c r="C1508" s="26">
        <v>1.0</v>
      </c>
      <c r="D1508" s="29">
        <v>1480000.0</v>
      </c>
      <c r="E1508" s="29">
        <v>296000.0</v>
      </c>
    </row>
    <row r="1509">
      <c r="A1509" s="26" t="s">
        <v>1844</v>
      </c>
      <c r="B1509" s="26" t="s">
        <v>2429</v>
      </c>
      <c r="C1509" s="26">
        <v>24.0</v>
      </c>
      <c r="D1509" s="29">
        <v>45000.0</v>
      </c>
      <c r="E1509" s="26">
        <v>0.0</v>
      </c>
    </row>
    <row r="1510">
      <c r="A1510" s="26" t="s">
        <v>1844</v>
      </c>
      <c r="B1510" s="26" t="s">
        <v>2430</v>
      </c>
      <c r="C1510" s="26">
        <v>24.0</v>
      </c>
      <c r="D1510" s="29">
        <v>45000.0</v>
      </c>
      <c r="E1510" s="26">
        <v>0.0</v>
      </c>
    </row>
    <row r="1511">
      <c r="A1511" s="26" t="s">
        <v>1844</v>
      </c>
      <c r="B1511" s="26" t="s">
        <v>2476</v>
      </c>
      <c r="C1511" s="26">
        <v>24.0</v>
      </c>
      <c r="D1511" s="29">
        <v>60000.0</v>
      </c>
      <c r="E1511" s="26">
        <v>0.0</v>
      </c>
    </row>
    <row r="1512">
      <c r="A1512" s="26" t="s">
        <v>1844</v>
      </c>
      <c r="B1512" s="26" t="s">
        <v>2483</v>
      </c>
      <c r="C1512" s="26">
        <v>24.0</v>
      </c>
      <c r="D1512" s="26">
        <v>60000.0</v>
      </c>
      <c r="E1512" s="26">
        <v>0.0</v>
      </c>
    </row>
    <row r="1513">
      <c r="A1513" s="26" t="s">
        <v>1844</v>
      </c>
      <c r="B1513" s="26" t="s">
        <v>2476</v>
      </c>
      <c r="C1513" s="26">
        <v>6.0</v>
      </c>
      <c r="D1513" s="26">
        <v>0.0</v>
      </c>
      <c r="E1513" s="26">
        <v>0.0</v>
      </c>
      <c r="F1513" s="26" t="s">
        <v>1522</v>
      </c>
    </row>
    <row r="1514">
      <c r="A1514" s="26" t="s">
        <v>1844</v>
      </c>
      <c r="B1514" s="26" t="s">
        <v>2483</v>
      </c>
      <c r="C1514" s="26">
        <v>6.0</v>
      </c>
      <c r="D1514" s="26">
        <v>0.0</v>
      </c>
      <c r="E1514" s="26">
        <v>0.0</v>
      </c>
      <c r="F1514" s="26" t="s">
        <v>1522</v>
      </c>
    </row>
    <row r="1515">
      <c r="A1515" s="26" t="s">
        <v>1844</v>
      </c>
      <c r="B1515" s="26" t="s">
        <v>2442</v>
      </c>
      <c r="C1515" s="26">
        <v>50.0</v>
      </c>
      <c r="D1515" s="26">
        <v>0.0</v>
      </c>
      <c r="E1515" s="26">
        <v>0.0</v>
      </c>
      <c r="F1515" s="26" t="s">
        <v>2438</v>
      </c>
    </row>
    <row r="1516">
      <c r="A1516" s="26" t="s">
        <v>1844</v>
      </c>
      <c r="B1516" s="26" t="s">
        <v>2437</v>
      </c>
      <c r="C1516" s="26">
        <v>6.0</v>
      </c>
      <c r="D1516" s="26">
        <v>0.0</v>
      </c>
      <c r="E1516" s="26">
        <v>0.0</v>
      </c>
      <c r="F1516" s="26" t="s">
        <v>2438</v>
      </c>
    </row>
    <row r="1517">
      <c r="A1517" s="26" t="s">
        <v>1845</v>
      </c>
      <c r="B1517" s="26" t="s">
        <v>2429</v>
      </c>
      <c r="C1517" s="26">
        <v>48.0</v>
      </c>
      <c r="D1517" s="29">
        <v>45000.0</v>
      </c>
      <c r="E1517" s="26">
        <v>0.0</v>
      </c>
    </row>
    <row r="1518">
      <c r="A1518" s="26" t="s">
        <v>1845</v>
      </c>
      <c r="B1518" s="26" t="s">
        <v>2426</v>
      </c>
      <c r="C1518" s="26">
        <v>10.0</v>
      </c>
      <c r="D1518" s="29">
        <v>55000.0</v>
      </c>
      <c r="E1518" s="26">
        <v>0.0</v>
      </c>
    </row>
    <row r="1519">
      <c r="A1519" s="26" t="s">
        <v>1845</v>
      </c>
      <c r="B1519" s="26" t="s">
        <v>2442</v>
      </c>
      <c r="C1519" s="26">
        <v>50.0</v>
      </c>
      <c r="D1519" s="26">
        <v>0.0</v>
      </c>
      <c r="E1519" s="26">
        <v>0.0</v>
      </c>
      <c r="F1519" s="26" t="s">
        <v>2438</v>
      </c>
    </row>
    <row r="1520">
      <c r="A1520" s="29" t="s">
        <v>1846</v>
      </c>
      <c r="B1520" s="26" t="s">
        <v>2433</v>
      </c>
      <c r="C1520" s="26">
        <v>1.0</v>
      </c>
      <c r="D1520" s="29">
        <v>1450000.0</v>
      </c>
      <c r="E1520" s="29">
        <v>290000.0</v>
      </c>
    </row>
    <row r="1521">
      <c r="A1521" s="26" t="s">
        <v>1847</v>
      </c>
      <c r="B1521" s="26" t="s">
        <v>2477</v>
      </c>
      <c r="C1521" s="26">
        <v>1.0</v>
      </c>
      <c r="D1521" s="26">
        <v>0.0</v>
      </c>
      <c r="E1521" s="26">
        <v>0.0</v>
      </c>
      <c r="F1521" s="26" t="s">
        <v>1522</v>
      </c>
    </row>
    <row r="1522">
      <c r="A1522" s="26" t="s">
        <v>1847</v>
      </c>
      <c r="B1522" s="26" t="s">
        <v>2435</v>
      </c>
      <c r="C1522" s="26">
        <v>1.0</v>
      </c>
      <c r="D1522" s="26">
        <v>0.0</v>
      </c>
      <c r="E1522" s="26">
        <v>0.0</v>
      </c>
      <c r="F1522" s="26" t="s">
        <v>1522</v>
      </c>
    </row>
    <row r="1523">
      <c r="A1523" s="26" t="s">
        <v>1847</v>
      </c>
      <c r="B1523" s="26" t="s">
        <v>2483</v>
      </c>
      <c r="C1523" s="26">
        <v>1.0</v>
      </c>
      <c r="D1523" s="26">
        <v>0.0</v>
      </c>
      <c r="E1523" s="26">
        <v>0.0</v>
      </c>
      <c r="F1523" s="26" t="s">
        <v>1522</v>
      </c>
    </row>
    <row r="1524">
      <c r="A1524" s="26" t="s">
        <v>1847</v>
      </c>
      <c r="B1524" s="26" t="s">
        <v>2458</v>
      </c>
      <c r="C1524" s="26">
        <v>1.0</v>
      </c>
      <c r="D1524" s="26">
        <v>0.0</v>
      </c>
      <c r="E1524" s="26">
        <v>0.0</v>
      </c>
      <c r="F1524" s="26" t="s">
        <v>1522</v>
      </c>
    </row>
    <row r="1525">
      <c r="A1525" s="29" t="s">
        <v>1848</v>
      </c>
      <c r="B1525" s="26" t="s">
        <v>2433</v>
      </c>
      <c r="C1525" s="26">
        <v>5.0</v>
      </c>
      <c r="D1525" s="29">
        <v>1450000.0</v>
      </c>
      <c r="E1525" s="29">
        <v>507500.0</v>
      </c>
    </row>
    <row r="1526">
      <c r="A1526" s="29" t="s">
        <v>1848</v>
      </c>
      <c r="B1526" s="26" t="s">
        <v>2433</v>
      </c>
      <c r="C1526" s="26">
        <v>5.0</v>
      </c>
      <c r="D1526" s="29">
        <v>1450000.0</v>
      </c>
      <c r="E1526" s="29">
        <v>507500.0</v>
      </c>
    </row>
    <row r="1527">
      <c r="A1527" s="29" t="s">
        <v>1848</v>
      </c>
      <c r="B1527" s="26" t="s">
        <v>2431</v>
      </c>
      <c r="C1527" s="26">
        <v>5.0</v>
      </c>
      <c r="D1527" s="29">
        <v>2380000.0</v>
      </c>
      <c r="E1527" s="29">
        <v>833000.0</v>
      </c>
    </row>
    <row r="1528">
      <c r="A1528" s="29" t="s">
        <v>1848</v>
      </c>
      <c r="B1528" s="26" t="s">
        <v>2429</v>
      </c>
      <c r="C1528" s="26">
        <v>240.0</v>
      </c>
      <c r="D1528" s="29">
        <v>45000.0</v>
      </c>
      <c r="E1528" s="29">
        <v>15750.0</v>
      </c>
    </row>
    <row r="1529">
      <c r="A1529" s="29" t="s">
        <v>1848</v>
      </c>
      <c r="B1529" s="26" t="s">
        <v>2426</v>
      </c>
      <c r="C1529" s="26">
        <v>120.0</v>
      </c>
      <c r="D1529" s="29">
        <v>55000.0</v>
      </c>
      <c r="E1529" s="29">
        <v>19250.0</v>
      </c>
    </row>
    <row r="1530">
      <c r="A1530" s="26" t="s">
        <v>1848</v>
      </c>
      <c r="B1530" s="26" t="s">
        <v>2440</v>
      </c>
      <c r="C1530" s="26">
        <v>1.0</v>
      </c>
      <c r="D1530" s="26">
        <v>0.0</v>
      </c>
      <c r="E1530" s="26">
        <v>0.0</v>
      </c>
      <c r="F1530" s="26" t="s">
        <v>2436</v>
      </c>
    </row>
    <row r="1531">
      <c r="A1531" s="26" t="s">
        <v>1848</v>
      </c>
      <c r="B1531" s="26" t="s">
        <v>2430</v>
      </c>
      <c r="C1531" s="26">
        <v>12.0</v>
      </c>
      <c r="D1531" s="26">
        <v>0.0</v>
      </c>
      <c r="E1531" s="26">
        <v>0.0</v>
      </c>
      <c r="F1531" s="26" t="s">
        <v>2436</v>
      </c>
    </row>
    <row r="1532">
      <c r="A1532" s="26" t="s">
        <v>1848</v>
      </c>
      <c r="B1532" s="26" t="s">
        <v>2426</v>
      </c>
      <c r="C1532" s="26">
        <v>12.0</v>
      </c>
      <c r="D1532" s="26">
        <v>0.0</v>
      </c>
      <c r="E1532" s="26">
        <v>0.0</v>
      </c>
      <c r="F1532" s="26" t="s">
        <v>2436</v>
      </c>
    </row>
    <row r="1533">
      <c r="A1533" s="26" t="s">
        <v>1848</v>
      </c>
      <c r="B1533" s="26" t="s">
        <v>2429</v>
      </c>
      <c r="C1533" s="26">
        <v>12.0</v>
      </c>
      <c r="D1533" s="26">
        <v>0.0</v>
      </c>
      <c r="E1533" s="26">
        <v>0.0</v>
      </c>
      <c r="F1533" s="26" t="s">
        <v>2436</v>
      </c>
    </row>
    <row r="1534">
      <c r="A1534" s="26" t="s">
        <v>1848</v>
      </c>
      <c r="B1534" s="26" t="s">
        <v>2435</v>
      </c>
      <c r="C1534" s="26">
        <v>12.0</v>
      </c>
      <c r="D1534" s="26">
        <v>0.0</v>
      </c>
      <c r="E1534" s="26">
        <v>0.0</v>
      </c>
      <c r="F1534" s="26" t="s">
        <v>2436</v>
      </c>
    </row>
    <row r="1535">
      <c r="A1535" s="26" t="s">
        <v>1848</v>
      </c>
      <c r="B1535" s="26" t="s">
        <v>2483</v>
      </c>
      <c r="C1535" s="26">
        <v>12.0</v>
      </c>
      <c r="D1535" s="26">
        <v>0.0</v>
      </c>
      <c r="E1535" s="26">
        <v>0.0</v>
      </c>
      <c r="F1535" s="26" t="s">
        <v>2436</v>
      </c>
    </row>
    <row r="1536">
      <c r="A1536" s="26" t="s">
        <v>1848</v>
      </c>
      <c r="B1536" s="26" t="s">
        <v>2458</v>
      </c>
      <c r="C1536" s="26">
        <v>12.0</v>
      </c>
      <c r="D1536" s="26">
        <v>0.0</v>
      </c>
      <c r="E1536" s="26">
        <v>0.0</v>
      </c>
      <c r="F1536" s="26" t="s">
        <v>2436</v>
      </c>
    </row>
    <row r="1537">
      <c r="A1537" s="26" t="s">
        <v>1849</v>
      </c>
      <c r="B1537" s="26" t="s">
        <v>2478</v>
      </c>
      <c r="C1537" s="26">
        <v>24.0</v>
      </c>
      <c r="D1537" s="26">
        <v>45000.0</v>
      </c>
      <c r="E1537" s="26">
        <v>0.0</v>
      </c>
    </row>
    <row r="1538">
      <c r="A1538" s="26" t="s">
        <v>1850</v>
      </c>
      <c r="B1538" s="26" t="s">
        <v>2425</v>
      </c>
      <c r="C1538" s="26">
        <v>1.0</v>
      </c>
      <c r="D1538" s="29">
        <v>1875000.0</v>
      </c>
      <c r="E1538" s="26">
        <v>0.0</v>
      </c>
    </row>
    <row r="1539">
      <c r="A1539" s="29" t="s">
        <v>1851</v>
      </c>
      <c r="B1539" s="26" t="s">
        <v>2432</v>
      </c>
      <c r="C1539" s="26">
        <v>1.0</v>
      </c>
      <c r="D1539" s="29">
        <v>1480000.0</v>
      </c>
      <c r="E1539" s="29">
        <v>296000.0</v>
      </c>
    </row>
    <row r="1540">
      <c r="A1540" s="26" t="s">
        <v>1852</v>
      </c>
      <c r="B1540" s="26" t="s">
        <v>2496</v>
      </c>
      <c r="C1540" s="26">
        <v>120.0</v>
      </c>
      <c r="D1540" s="29">
        <v>45000.0</v>
      </c>
      <c r="E1540" s="26">
        <v>0.0</v>
      </c>
    </row>
    <row r="1541">
      <c r="A1541" s="26" t="s">
        <v>1854</v>
      </c>
      <c r="B1541" s="26" t="s">
        <v>2426</v>
      </c>
      <c r="C1541" s="26">
        <v>24.0</v>
      </c>
      <c r="D1541" s="29">
        <v>55000.0</v>
      </c>
      <c r="E1541" s="26">
        <v>0.0</v>
      </c>
    </row>
    <row r="1542">
      <c r="A1542" s="26" t="s">
        <v>1855</v>
      </c>
      <c r="B1542" s="26" t="s">
        <v>2429</v>
      </c>
      <c r="C1542" s="26">
        <v>24.0</v>
      </c>
      <c r="D1542" s="29">
        <v>45000.0</v>
      </c>
      <c r="E1542" s="26">
        <v>0.0</v>
      </c>
    </row>
    <row r="1543">
      <c r="A1543" s="29" t="s">
        <v>1856</v>
      </c>
      <c r="B1543" s="26" t="s">
        <v>2425</v>
      </c>
      <c r="C1543" s="26">
        <v>1.0</v>
      </c>
      <c r="D1543" s="29">
        <v>1875000.0</v>
      </c>
      <c r="E1543" s="29">
        <v>281250.0</v>
      </c>
    </row>
    <row r="1544">
      <c r="A1544" s="26" t="s">
        <v>1857</v>
      </c>
      <c r="B1544" s="26" t="s">
        <v>2429</v>
      </c>
      <c r="C1544" s="26">
        <v>48.0</v>
      </c>
      <c r="D1544" s="29">
        <v>45000.0</v>
      </c>
      <c r="E1544" s="26">
        <v>0.0</v>
      </c>
    </row>
    <row r="1545">
      <c r="A1545" s="26" t="s">
        <v>1857</v>
      </c>
      <c r="B1545" s="26" t="s">
        <v>2430</v>
      </c>
      <c r="C1545" s="26">
        <v>5.0</v>
      </c>
      <c r="D1545" s="29">
        <v>45000.0</v>
      </c>
      <c r="E1545" s="26">
        <v>0.0</v>
      </c>
    </row>
    <row r="1546">
      <c r="A1546" s="26" t="s">
        <v>1857</v>
      </c>
      <c r="B1546" s="26" t="s">
        <v>2426</v>
      </c>
      <c r="C1546" s="26">
        <v>5.0</v>
      </c>
      <c r="D1546" s="29">
        <v>55000.0</v>
      </c>
      <c r="E1546" s="26">
        <v>0.0</v>
      </c>
    </row>
    <row r="1547">
      <c r="A1547" s="26" t="s">
        <v>1858</v>
      </c>
      <c r="B1547" s="26" t="s">
        <v>2433</v>
      </c>
      <c r="C1547" s="26">
        <v>1.0</v>
      </c>
      <c r="D1547" s="29">
        <v>1450000.0</v>
      </c>
      <c r="E1547" s="26">
        <v>0.0</v>
      </c>
    </row>
    <row r="1548">
      <c r="A1548" s="26" t="s">
        <v>1859</v>
      </c>
      <c r="B1548" s="26" t="s">
        <v>2433</v>
      </c>
      <c r="C1548" s="26">
        <v>1.0</v>
      </c>
      <c r="D1548" s="29">
        <v>1450000.0</v>
      </c>
      <c r="E1548" s="26">
        <v>0.0</v>
      </c>
    </row>
    <row r="1549">
      <c r="A1549" s="26" t="s">
        <v>1859</v>
      </c>
      <c r="B1549" s="26" t="s">
        <v>2434</v>
      </c>
      <c r="C1549" s="26">
        <v>1.0</v>
      </c>
      <c r="D1549" s="29">
        <v>1350000.0</v>
      </c>
      <c r="E1549" s="26">
        <v>0.0</v>
      </c>
    </row>
    <row r="1550">
      <c r="A1550" s="26" t="s">
        <v>1860</v>
      </c>
      <c r="B1550" s="26" t="s">
        <v>2429</v>
      </c>
      <c r="C1550" s="26">
        <v>24.0</v>
      </c>
      <c r="D1550" s="29">
        <v>45000.0</v>
      </c>
      <c r="E1550" s="26">
        <v>0.0</v>
      </c>
    </row>
    <row r="1551">
      <c r="A1551" s="26" t="s">
        <v>1861</v>
      </c>
      <c r="B1551" s="26" t="s">
        <v>2497</v>
      </c>
      <c r="C1551" s="26">
        <v>50.0</v>
      </c>
      <c r="D1551" s="26">
        <v>0.0</v>
      </c>
      <c r="E1551" s="26">
        <v>0.0</v>
      </c>
      <c r="F1551" s="26" t="s">
        <v>2443</v>
      </c>
    </row>
    <row r="1552">
      <c r="A1552" s="26" t="s">
        <v>1861</v>
      </c>
      <c r="B1552" s="26" t="s">
        <v>2498</v>
      </c>
      <c r="C1552" s="26">
        <v>14.0</v>
      </c>
      <c r="D1552" s="26">
        <v>0.0</v>
      </c>
      <c r="E1552" s="26">
        <v>0.0</v>
      </c>
      <c r="F1552" s="26" t="s">
        <v>2443</v>
      </c>
    </row>
    <row r="1553">
      <c r="A1553" s="26" t="s">
        <v>1861</v>
      </c>
      <c r="B1553" s="26" t="s">
        <v>2499</v>
      </c>
      <c r="C1553" s="26">
        <v>9.0</v>
      </c>
      <c r="D1553" s="26">
        <v>0.0</v>
      </c>
      <c r="E1553" s="26">
        <v>0.0</v>
      </c>
      <c r="F1553" s="26" t="s">
        <v>2443</v>
      </c>
    </row>
    <row r="1554">
      <c r="A1554" s="26" t="s">
        <v>1861</v>
      </c>
      <c r="B1554" s="26" t="s">
        <v>2500</v>
      </c>
      <c r="C1554" s="26">
        <v>5.0</v>
      </c>
      <c r="D1554" s="26">
        <v>0.0</v>
      </c>
      <c r="E1554" s="26">
        <v>0.0</v>
      </c>
      <c r="F1554" s="26" t="s">
        <v>2443</v>
      </c>
    </row>
    <row r="1555">
      <c r="A1555" s="29" t="s">
        <v>1863</v>
      </c>
      <c r="B1555" s="26" t="s">
        <v>2432</v>
      </c>
      <c r="C1555" s="26">
        <v>1.0</v>
      </c>
      <c r="D1555" s="29">
        <v>1480000.0</v>
      </c>
      <c r="E1555" s="29">
        <v>296000.0</v>
      </c>
    </row>
    <row r="1556">
      <c r="A1556" s="29" t="s">
        <v>1863</v>
      </c>
      <c r="B1556" s="26" t="s">
        <v>2433</v>
      </c>
      <c r="C1556" s="26">
        <v>1.0</v>
      </c>
      <c r="D1556" s="29">
        <v>1450000.0</v>
      </c>
      <c r="E1556" s="29">
        <v>290000.0</v>
      </c>
    </row>
    <row r="1557">
      <c r="A1557" s="26" t="s">
        <v>1864</v>
      </c>
      <c r="B1557" s="26" t="s">
        <v>2433</v>
      </c>
      <c r="C1557" s="26">
        <v>1.0</v>
      </c>
      <c r="D1557" s="29">
        <v>1450000.0</v>
      </c>
      <c r="E1557" s="26">
        <v>0.0</v>
      </c>
    </row>
    <row r="1558">
      <c r="A1558" s="26" t="s">
        <v>1865</v>
      </c>
      <c r="B1558" s="26" t="s">
        <v>2429</v>
      </c>
      <c r="C1558" s="26">
        <v>24.0</v>
      </c>
      <c r="D1558" s="29">
        <v>45000.0</v>
      </c>
      <c r="E1558" s="26">
        <v>0.0</v>
      </c>
    </row>
    <row r="1559">
      <c r="A1559" s="26" t="s">
        <v>1866</v>
      </c>
      <c r="B1559" s="26" t="s">
        <v>2433</v>
      </c>
      <c r="C1559" s="26">
        <v>1.0</v>
      </c>
      <c r="D1559" s="29">
        <v>1450000.0</v>
      </c>
      <c r="E1559" s="26">
        <v>0.0</v>
      </c>
    </row>
    <row r="1560">
      <c r="A1560" s="26" t="s">
        <v>1867</v>
      </c>
      <c r="B1560" s="26" t="s">
        <v>2433</v>
      </c>
      <c r="C1560" s="26">
        <v>1.0</v>
      </c>
      <c r="D1560" s="29">
        <v>1450000.0</v>
      </c>
      <c r="E1560" s="26">
        <v>0.0</v>
      </c>
    </row>
    <row r="1561">
      <c r="A1561" s="26" t="s">
        <v>1868</v>
      </c>
      <c r="B1561" s="26" t="s">
        <v>2429</v>
      </c>
      <c r="C1561" s="26">
        <v>48.0</v>
      </c>
      <c r="D1561" s="29">
        <v>45000.0</v>
      </c>
      <c r="E1561" s="26">
        <v>0.0</v>
      </c>
    </row>
    <row r="1562">
      <c r="A1562" s="26" t="s">
        <v>1870</v>
      </c>
      <c r="B1562" s="26" t="s">
        <v>2429</v>
      </c>
      <c r="C1562" s="26">
        <v>12.0</v>
      </c>
      <c r="D1562" s="29">
        <v>45000.0</v>
      </c>
      <c r="E1562" s="26">
        <v>0.0</v>
      </c>
    </row>
    <row r="1563">
      <c r="A1563" s="26" t="s">
        <v>1870</v>
      </c>
      <c r="B1563" s="26" t="s">
        <v>2426</v>
      </c>
      <c r="C1563" s="26">
        <v>6.0</v>
      </c>
      <c r="D1563" s="29">
        <v>55000.0</v>
      </c>
      <c r="E1563" s="26">
        <v>0.0</v>
      </c>
    </row>
    <row r="1564">
      <c r="A1564" s="26" t="s">
        <v>1870</v>
      </c>
      <c r="B1564" s="26" t="s">
        <v>2478</v>
      </c>
      <c r="C1564" s="26">
        <v>6.0</v>
      </c>
      <c r="D1564" s="29">
        <v>45000.0</v>
      </c>
      <c r="E1564" s="26">
        <v>0.0</v>
      </c>
    </row>
    <row r="1565">
      <c r="A1565" s="26" t="s">
        <v>1871</v>
      </c>
      <c r="B1565" s="26" t="s">
        <v>2431</v>
      </c>
      <c r="C1565" s="26">
        <v>1.0</v>
      </c>
      <c r="D1565" s="29">
        <v>2380000.0</v>
      </c>
      <c r="E1565" s="26">
        <v>0.0</v>
      </c>
    </row>
    <row r="1566">
      <c r="A1566" s="29" t="s">
        <v>1872</v>
      </c>
      <c r="B1566" s="26" t="s">
        <v>2425</v>
      </c>
      <c r="C1566" s="26">
        <v>1.0</v>
      </c>
      <c r="D1566" s="29">
        <v>1875000.0</v>
      </c>
      <c r="E1566" s="29">
        <v>281250.0</v>
      </c>
    </row>
    <row r="1567">
      <c r="A1567" s="26" t="s">
        <v>1873</v>
      </c>
      <c r="B1567" s="26" t="s">
        <v>2495</v>
      </c>
      <c r="C1567" s="26">
        <v>1.0</v>
      </c>
      <c r="D1567" s="29">
        <v>1790000.0</v>
      </c>
      <c r="E1567" s="26">
        <v>0.0</v>
      </c>
    </row>
    <row r="1568">
      <c r="A1568" s="29" t="s">
        <v>1873</v>
      </c>
      <c r="B1568" s="26" t="s">
        <v>2425</v>
      </c>
      <c r="C1568" s="26">
        <v>1.0</v>
      </c>
      <c r="D1568" s="29">
        <v>1875000.0</v>
      </c>
      <c r="E1568" s="29">
        <v>375000.0</v>
      </c>
    </row>
    <row r="1569">
      <c r="A1569" s="26" t="s">
        <v>1874</v>
      </c>
      <c r="B1569" s="26" t="s">
        <v>2458</v>
      </c>
      <c r="C1569" s="26">
        <v>48.0</v>
      </c>
      <c r="D1569" s="29">
        <v>60000.0</v>
      </c>
      <c r="E1569" s="26">
        <v>0.0</v>
      </c>
    </row>
    <row r="1570">
      <c r="A1570" s="26" t="s">
        <v>1874</v>
      </c>
      <c r="B1570" s="26" t="s">
        <v>2458</v>
      </c>
      <c r="C1570" s="26">
        <v>24.0</v>
      </c>
      <c r="D1570" s="26">
        <v>0.0</v>
      </c>
      <c r="E1570" s="26">
        <v>0.0</v>
      </c>
      <c r="F1570" s="26" t="s">
        <v>2436</v>
      </c>
    </row>
    <row r="1571">
      <c r="A1571" s="26" t="s">
        <v>1876</v>
      </c>
      <c r="B1571" s="26" t="s">
        <v>2435</v>
      </c>
      <c r="C1571" s="26">
        <v>2.0</v>
      </c>
      <c r="D1571" s="26">
        <v>0.0</v>
      </c>
      <c r="E1571" s="26">
        <v>0.0</v>
      </c>
      <c r="F1571" s="26" t="s">
        <v>1522</v>
      </c>
    </row>
    <row r="1572">
      <c r="A1572" s="26" t="s">
        <v>1877</v>
      </c>
      <c r="B1572" s="26" t="s">
        <v>2434</v>
      </c>
      <c r="C1572" s="26">
        <v>1.0</v>
      </c>
      <c r="D1572" s="29">
        <v>1350000.0</v>
      </c>
    </row>
    <row r="1573">
      <c r="A1573" s="26" t="s">
        <v>1877</v>
      </c>
      <c r="B1573" s="26" t="s">
        <v>2433</v>
      </c>
      <c r="C1573" s="26">
        <v>1.0</v>
      </c>
      <c r="D1573" s="29">
        <v>1450000.0</v>
      </c>
    </row>
    <row r="1574">
      <c r="A1574" s="26" t="s">
        <v>1877</v>
      </c>
      <c r="B1574" s="26" t="s">
        <v>2486</v>
      </c>
      <c r="C1574" s="26">
        <v>50.0</v>
      </c>
      <c r="D1574" s="26">
        <v>0.0</v>
      </c>
      <c r="E1574" s="26">
        <v>0.0</v>
      </c>
      <c r="F1574" s="26" t="s">
        <v>2438</v>
      </c>
    </row>
    <row r="1575">
      <c r="A1575" s="26" t="s">
        <v>1878</v>
      </c>
      <c r="B1575" s="26" t="s">
        <v>2477</v>
      </c>
      <c r="C1575" s="26">
        <v>1.0</v>
      </c>
      <c r="D1575" s="26">
        <v>0.0</v>
      </c>
      <c r="E1575" s="26">
        <v>0.0</v>
      </c>
      <c r="F1575" s="26" t="s">
        <v>1522</v>
      </c>
    </row>
    <row r="1576">
      <c r="A1576" s="26" t="s">
        <v>1878</v>
      </c>
      <c r="B1576" s="26" t="s">
        <v>2435</v>
      </c>
      <c r="C1576" s="26">
        <v>1.0</v>
      </c>
      <c r="D1576" s="26">
        <v>0.0</v>
      </c>
      <c r="E1576" s="26">
        <v>0.0</v>
      </c>
      <c r="F1576" s="26" t="s">
        <v>1522</v>
      </c>
    </row>
    <row r="1577">
      <c r="A1577" s="26" t="s">
        <v>1878</v>
      </c>
      <c r="B1577" s="26" t="s">
        <v>2458</v>
      </c>
      <c r="C1577" s="26">
        <v>1.0</v>
      </c>
      <c r="D1577" s="26">
        <v>0.0</v>
      </c>
      <c r="E1577" s="26">
        <v>0.0</v>
      </c>
      <c r="F1577" s="26" t="s">
        <v>1522</v>
      </c>
    </row>
    <row r="1578">
      <c r="A1578" s="26" t="s">
        <v>1878</v>
      </c>
      <c r="B1578" s="26" t="s">
        <v>2483</v>
      </c>
      <c r="C1578" s="26">
        <v>1.0</v>
      </c>
      <c r="D1578" s="26">
        <v>0.0</v>
      </c>
      <c r="E1578" s="26">
        <v>0.0</v>
      </c>
      <c r="F1578" s="26" t="s">
        <v>1522</v>
      </c>
    </row>
    <row r="1579">
      <c r="A1579" s="26" t="s">
        <v>1879</v>
      </c>
      <c r="B1579" s="26" t="s">
        <v>2431</v>
      </c>
      <c r="C1579" s="26">
        <v>1.0</v>
      </c>
      <c r="D1579" s="29">
        <v>2380000.0</v>
      </c>
      <c r="E1579" s="26">
        <v>0.0</v>
      </c>
    </row>
    <row r="1580">
      <c r="A1580" s="26" t="s">
        <v>1880</v>
      </c>
      <c r="B1580" s="26" t="s">
        <v>2429</v>
      </c>
      <c r="C1580" s="26">
        <v>48.0</v>
      </c>
      <c r="D1580" s="29">
        <v>45000.0</v>
      </c>
      <c r="E1580" s="26">
        <v>0.0</v>
      </c>
    </row>
    <row r="1581">
      <c r="A1581" s="26" t="s">
        <v>1881</v>
      </c>
      <c r="B1581" s="26" t="s">
        <v>2433</v>
      </c>
      <c r="C1581" s="26">
        <v>1.0</v>
      </c>
      <c r="D1581" s="29">
        <v>1450000.0</v>
      </c>
      <c r="E1581" s="26">
        <v>0.0</v>
      </c>
    </row>
    <row r="1582">
      <c r="A1582" s="26" t="s">
        <v>1881</v>
      </c>
      <c r="B1582" s="26" t="s">
        <v>2434</v>
      </c>
      <c r="C1582" s="26">
        <v>1.0</v>
      </c>
      <c r="D1582" s="29">
        <v>1350000.0</v>
      </c>
      <c r="E1582" s="26">
        <v>0.0</v>
      </c>
    </row>
    <row r="1583">
      <c r="A1583" s="26" t="s">
        <v>1882</v>
      </c>
      <c r="B1583" s="26" t="s">
        <v>2429</v>
      </c>
      <c r="C1583" s="26">
        <v>480.0</v>
      </c>
      <c r="D1583" s="26">
        <v>45000.0</v>
      </c>
      <c r="E1583" s="26">
        <v>0.0</v>
      </c>
    </row>
    <row r="1584">
      <c r="A1584" s="26" t="s">
        <v>1882</v>
      </c>
      <c r="B1584" s="26" t="s">
        <v>2426</v>
      </c>
      <c r="C1584" s="26">
        <v>120.0</v>
      </c>
      <c r="D1584" s="26">
        <v>55000.0</v>
      </c>
      <c r="E1584" s="26">
        <v>0.0</v>
      </c>
    </row>
    <row r="1585">
      <c r="A1585" s="26" t="s">
        <v>1882</v>
      </c>
      <c r="B1585" s="26" t="s">
        <v>2427</v>
      </c>
      <c r="C1585" s="26">
        <v>24.0</v>
      </c>
      <c r="D1585" s="26">
        <v>60000.0</v>
      </c>
      <c r="E1585" s="26">
        <v>0.0</v>
      </c>
    </row>
    <row r="1586">
      <c r="A1586" s="26" t="s">
        <v>1882</v>
      </c>
      <c r="B1586" s="26" t="s">
        <v>2432</v>
      </c>
      <c r="C1586" s="26">
        <v>5.0</v>
      </c>
      <c r="D1586" s="26">
        <v>1480000.0</v>
      </c>
      <c r="E1586" s="26">
        <v>0.0</v>
      </c>
    </row>
    <row r="1587">
      <c r="A1587" s="26" t="s">
        <v>1882</v>
      </c>
      <c r="B1587" s="26" t="s">
        <v>2495</v>
      </c>
      <c r="C1587" s="26">
        <v>5.0</v>
      </c>
      <c r="D1587" s="26">
        <v>1790000.0</v>
      </c>
      <c r="E1587" s="26">
        <v>0.0</v>
      </c>
    </row>
    <row r="1588">
      <c r="A1588" s="26" t="s">
        <v>1882</v>
      </c>
      <c r="B1588" s="26" t="s">
        <v>2433</v>
      </c>
      <c r="C1588" s="26">
        <v>15.0</v>
      </c>
      <c r="D1588" s="26">
        <v>1450000.0</v>
      </c>
      <c r="E1588" s="26">
        <v>0.0</v>
      </c>
    </row>
    <row r="1589">
      <c r="A1589" s="26" t="s">
        <v>1882</v>
      </c>
      <c r="B1589" s="26" t="s">
        <v>2431</v>
      </c>
      <c r="C1589" s="26">
        <v>5.0</v>
      </c>
      <c r="D1589" s="26">
        <v>2380000.0</v>
      </c>
      <c r="E1589" s="26">
        <v>0.0</v>
      </c>
    </row>
    <row r="1590">
      <c r="A1590" s="26" t="s">
        <v>1882</v>
      </c>
      <c r="B1590" s="26" t="s">
        <v>2437</v>
      </c>
      <c r="C1590" s="26">
        <v>72.0</v>
      </c>
      <c r="D1590" s="26">
        <v>0.0</v>
      </c>
      <c r="E1590" s="26">
        <v>0.0</v>
      </c>
      <c r="F1590" s="26" t="s">
        <v>2438</v>
      </c>
    </row>
    <row r="1591">
      <c r="A1591" s="26" t="s">
        <v>1883</v>
      </c>
      <c r="B1591" s="26" t="s">
        <v>2425</v>
      </c>
      <c r="C1591" s="26">
        <v>1.0</v>
      </c>
      <c r="D1591" s="29">
        <v>1875000.0</v>
      </c>
      <c r="E1591" s="26">
        <v>0.0</v>
      </c>
    </row>
    <row r="1592">
      <c r="A1592" s="29" t="s">
        <v>1884</v>
      </c>
      <c r="B1592" s="26" t="s">
        <v>2432</v>
      </c>
      <c r="C1592" s="26">
        <v>1.0</v>
      </c>
      <c r="D1592" s="29">
        <v>1480000.0</v>
      </c>
      <c r="E1592" s="29">
        <v>296000.0</v>
      </c>
    </row>
    <row r="1593">
      <c r="A1593" s="26" t="s">
        <v>1885</v>
      </c>
      <c r="B1593" s="26" t="s">
        <v>2430</v>
      </c>
      <c r="C1593" s="26">
        <v>12.0</v>
      </c>
      <c r="D1593" s="29">
        <v>45000.0</v>
      </c>
      <c r="E1593" s="26">
        <v>0.0</v>
      </c>
    </row>
    <row r="1594">
      <c r="A1594" s="26" t="s">
        <v>1885</v>
      </c>
      <c r="B1594" s="26" t="s">
        <v>2426</v>
      </c>
      <c r="C1594" s="26">
        <v>12.0</v>
      </c>
      <c r="D1594" s="29">
        <v>55000.0</v>
      </c>
      <c r="E1594" s="26">
        <v>0.0</v>
      </c>
    </row>
    <row r="1595">
      <c r="A1595" s="26" t="s">
        <v>1886</v>
      </c>
      <c r="B1595" s="26" t="s">
        <v>2483</v>
      </c>
      <c r="C1595" s="26">
        <v>8.0</v>
      </c>
      <c r="D1595" s="26">
        <v>60000.0</v>
      </c>
      <c r="E1595" s="26">
        <v>0.0</v>
      </c>
    </row>
    <row r="1596">
      <c r="A1596" s="26" t="s">
        <v>1886</v>
      </c>
      <c r="B1596" s="26" t="s">
        <v>2426</v>
      </c>
      <c r="C1596" s="26">
        <v>6.0</v>
      </c>
      <c r="D1596" s="29">
        <v>55000.0</v>
      </c>
      <c r="E1596" s="26">
        <v>0.0</v>
      </c>
    </row>
    <row r="1597">
      <c r="A1597" s="26" t="s">
        <v>1886</v>
      </c>
      <c r="B1597" s="26" t="s">
        <v>2430</v>
      </c>
      <c r="C1597" s="26">
        <v>6.0</v>
      </c>
      <c r="D1597" s="29">
        <v>45000.0</v>
      </c>
      <c r="E1597" s="26">
        <v>0.0</v>
      </c>
    </row>
    <row r="1598">
      <c r="A1598" s="26" t="s">
        <v>1886</v>
      </c>
      <c r="B1598" s="26" t="s">
        <v>2429</v>
      </c>
      <c r="C1598" s="26">
        <v>4.0</v>
      </c>
      <c r="D1598" s="29">
        <v>45000.0</v>
      </c>
      <c r="E1598" s="26">
        <v>0.0</v>
      </c>
    </row>
    <row r="1599">
      <c r="A1599" s="26" t="s">
        <v>1887</v>
      </c>
      <c r="B1599" s="26" t="s">
        <v>2435</v>
      </c>
      <c r="C1599" s="26">
        <v>4.0</v>
      </c>
      <c r="D1599" s="26">
        <v>0.0</v>
      </c>
      <c r="E1599" s="26">
        <v>0.0</v>
      </c>
      <c r="F1599" s="26" t="s">
        <v>1522</v>
      </c>
    </row>
    <row r="1600">
      <c r="A1600" s="26" t="s">
        <v>1887</v>
      </c>
      <c r="B1600" s="26" t="s">
        <v>2430</v>
      </c>
      <c r="C1600" s="26">
        <v>2.0</v>
      </c>
      <c r="D1600" s="26">
        <v>0.0</v>
      </c>
      <c r="E1600" s="26">
        <v>0.0</v>
      </c>
      <c r="F1600" s="26" t="s">
        <v>1522</v>
      </c>
    </row>
    <row r="1601">
      <c r="A1601" s="26" t="s">
        <v>1887</v>
      </c>
      <c r="B1601" s="26" t="s">
        <v>2426</v>
      </c>
      <c r="C1601" s="26">
        <v>2.0</v>
      </c>
      <c r="D1601" s="26">
        <v>0.0</v>
      </c>
      <c r="E1601" s="26">
        <v>0.0</v>
      </c>
      <c r="F1601" s="26" t="s">
        <v>1522</v>
      </c>
    </row>
    <row r="1602">
      <c r="A1602" s="26" t="s">
        <v>1887</v>
      </c>
      <c r="B1602" s="26" t="s">
        <v>2427</v>
      </c>
      <c r="C1602" s="26">
        <v>2.0</v>
      </c>
      <c r="D1602" s="26">
        <v>0.0</v>
      </c>
      <c r="E1602" s="26">
        <v>0.0</v>
      </c>
      <c r="F1602" s="26" t="s">
        <v>1522</v>
      </c>
    </row>
    <row r="1603">
      <c r="A1603" s="26" t="s">
        <v>1887</v>
      </c>
      <c r="B1603" s="26" t="s">
        <v>2483</v>
      </c>
      <c r="C1603" s="26">
        <v>2.0</v>
      </c>
      <c r="D1603" s="26">
        <v>0.0</v>
      </c>
      <c r="E1603" s="26">
        <v>0.0</v>
      </c>
      <c r="F1603" s="26" t="s">
        <v>1522</v>
      </c>
    </row>
    <row r="1604">
      <c r="A1604" s="26" t="s">
        <v>1888</v>
      </c>
      <c r="B1604" s="26" t="s">
        <v>2429</v>
      </c>
      <c r="C1604" s="26">
        <v>24.0</v>
      </c>
      <c r="D1604" s="29">
        <v>45000.0</v>
      </c>
      <c r="E1604" s="26">
        <v>0.0</v>
      </c>
    </row>
    <row r="1605">
      <c r="A1605" s="26" t="s">
        <v>1889</v>
      </c>
      <c r="B1605" s="26" t="s">
        <v>2430</v>
      </c>
      <c r="C1605" s="26">
        <v>16.0</v>
      </c>
      <c r="D1605" s="29">
        <v>45000.0</v>
      </c>
      <c r="E1605" s="26">
        <v>0.0</v>
      </c>
    </row>
    <row r="1606">
      <c r="A1606" s="26" t="s">
        <v>1889</v>
      </c>
      <c r="B1606" s="26" t="s">
        <v>2426</v>
      </c>
      <c r="C1606" s="26">
        <v>8.0</v>
      </c>
      <c r="D1606" s="29">
        <v>55000.0</v>
      </c>
      <c r="E1606" s="26">
        <v>0.0</v>
      </c>
    </row>
    <row r="1607">
      <c r="A1607" s="26" t="s">
        <v>1890</v>
      </c>
      <c r="B1607" s="26" t="s">
        <v>2433</v>
      </c>
      <c r="C1607" s="26">
        <v>1.0</v>
      </c>
      <c r="D1607" s="29">
        <v>1450000.0</v>
      </c>
      <c r="E1607" s="26">
        <v>0.0</v>
      </c>
    </row>
    <row r="1608">
      <c r="A1608" s="26" t="s">
        <v>1891</v>
      </c>
      <c r="B1608" s="26" t="s">
        <v>2501</v>
      </c>
      <c r="C1608" s="26">
        <v>1.0</v>
      </c>
      <c r="D1608" s="29">
        <v>2500000.0</v>
      </c>
      <c r="E1608" s="26">
        <v>0.0</v>
      </c>
    </row>
    <row r="1609">
      <c r="A1609" s="26" t="s">
        <v>1891</v>
      </c>
      <c r="B1609" s="26" t="s">
        <v>2501</v>
      </c>
      <c r="C1609" s="26">
        <v>2.0</v>
      </c>
      <c r="D1609" s="26">
        <v>0.0</v>
      </c>
      <c r="E1609" s="26">
        <v>0.0</v>
      </c>
      <c r="F1609" s="26" t="s">
        <v>2436</v>
      </c>
    </row>
    <row r="1610">
      <c r="A1610" s="26" t="s">
        <v>1891</v>
      </c>
      <c r="B1610" s="26" t="s">
        <v>2442</v>
      </c>
      <c r="C1610" s="26">
        <v>50.0</v>
      </c>
      <c r="D1610" s="26">
        <v>0.0</v>
      </c>
      <c r="E1610" s="26">
        <v>0.0</v>
      </c>
      <c r="F1610" s="26" t="s">
        <v>2438</v>
      </c>
    </row>
    <row r="1611">
      <c r="A1611" s="26" t="s">
        <v>1892</v>
      </c>
      <c r="B1611" s="26" t="s">
        <v>2458</v>
      </c>
      <c r="C1611" s="26">
        <v>8.0</v>
      </c>
      <c r="D1611" s="29">
        <v>60000.0</v>
      </c>
      <c r="E1611" s="26">
        <v>0.0</v>
      </c>
    </row>
    <row r="1612">
      <c r="A1612" s="26" t="s">
        <v>1892</v>
      </c>
      <c r="B1612" s="26" t="s">
        <v>2476</v>
      </c>
      <c r="C1612" s="26">
        <v>8.0</v>
      </c>
      <c r="D1612" s="29">
        <v>60000.0</v>
      </c>
      <c r="E1612" s="26">
        <v>0.0</v>
      </c>
    </row>
    <row r="1613">
      <c r="A1613" s="26" t="s">
        <v>1892</v>
      </c>
      <c r="B1613" s="26" t="s">
        <v>2483</v>
      </c>
      <c r="C1613" s="26">
        <v>8.0</v>
      </c>
      <c r="D1613" s="26">
        <v>60000.0</v>
      </c>
      <c r="E1613" s="26">
        <v>0.0</v>
      </c>
    </row>
    <row r="1614">
      <c r="A1614" s="26" t="s">
        <v>1892</v>
      </c>
      <c r="B1614" s="26" t="s">
        <v>2458</v>
      </c>
      <c r="C1614" s="26">
        <v>8.0</v>
      </c>
      <c r="D1614" s="26">
        <v>0.0</v>
      </c>
      <c r="E1614" s="26">
        <v>0.0</v>
      </c>
      <c r="F1614" s="26" t="s">
        <v>1522</v>
      </c>
    </row>
    <row r="1615">
      <c r="A1615" s="26" t="s">
        <v>1892</v>
      </c>
      <c r="B1615" s="26" t="s">
        <v>2476</v>
      </c>
      <c r="C1615" s="26">
        <v>8.0</v>
      </c>
      <c r="D1615" s="26">
        <v>0.0</v>
      </c>
      <c r="E1615" s="26">
        <v>0.0</v>
      </c>
      <c r="F1615" s="26" t="s">
        <v>1522</v>
      </c>
    </row>
    <row r="1616">
      <c r="A1616" s="26" t="s">
        <v>1892</v>
      </c>
      <c r="B1616" s="26" t="s">
        <v>2483</v>
      </c>
      <c r="C1616" s="26">
        <v>8.0</v>
      </c>
      <c r="D1616" s="26">
        <v>0.0</v>
      </c>
      <c r="E1616" s="26">
        <v>0.0</v>
      </c>
      <c r="F1616" s="26" t="s">
        <v>1522</v>
      </c>
    </row>
    <row r="1617">
      <c r="A1617" s="26" t="s">
        <v>1893</v>
      </c>
      <c r="B1617" s="26" t="s">
        <v>2429</v>
      </c>
      <c r="C1617" s="26">
        <v>48.0</v>
      </c>
      <c r="D1617" s="29">
        <v>45000.0</v>
      </c>
      <c r="E1617" s="26">
        <v>0.0</v>
      </c>
    </row>
    <row r="1618">
      <c r="A1618" s="26" t="s">
        <v>1894</v>
      </c>
      <c r="B1618" s="26" t="s">
        <v>2501</v>
      </c>
      <c r="C1618" s="26">
        <v>1.0</v>
      </c>
      <c r="D1618" s="29">
        <v>2500000.0</v>
      </c>
      <c r="E1618" s="26">
        <v>0.0</v>
      </c>
    </row>
    <row r="1619">
      <c r="A1619" s="26" t="s">
        <v>1894</v>
      </c>
      <c r="B1619" s="26" t="s">
        <v>2441</v>
      </c>
      <c r="C1619" s="26">
        <v>10.0</v>
      </c>
      <c r="D1619" s="29">
        <v>32000.0</v>
      </c>
      <c r="E1619" s="26">
        <v>0.0</v>
      </c>
    </row>
    <row r="1620">
      <c r="A1620" s="26" t="s">
        <v>1894</v>
      </c>
      <c r="B1620" s="26" t="s">
        <v>2442</v>
      </c>
      <c r="C1620" s="26">
        <v>50.0</v>
      </c>
      <c r="D1620" s="26">
        <v>0.0</v>
      </c>
      <c r="E1620" s="26">
        <v>0.0</v>
      </c>
      <c r="F1620" s="26" t="s">
        <v>2438</v>
      </c>
    </row>
    <row r="1621">
      <c r="A1621" s="26" t="s">
        <v>1895</v>
      </c>
      <c r="B1621" s="26" t="s">
        <v>2429</v>
      </c>
      <c r="C1621" s="26">
        <v>12.0</v>
      </c>
      <c r="D1621" s="29">
        <v>70000.0</v>
      </c>
      <c r="E1621" s="26">
        <v>0.0</v>
      </c>
    </row>
    <row r="1622">
      <c r="A1622" s="26" t="s">
        <v>1895</v>
      </c>
      <c r="B1622" s="26" t="s">
        <v>2455</v>
      </c>
      <c r="C1622" s="26">
        <v>3.0</v>
      </c>
      <c r="D1622" s="26">
        <v>0.0</v>
      </c>
      <c r="E1622" s="26">
        <v>0.0</v>
      </c>
      <c r="F1622" s="26" t="s">
        <v>2438</v>
      </c>
    </row>
    <row r="1623">
      <c r="A1623" s="28" t="s">
        <v>1896</v>
      </c>
      <c r="B1623" s="28" t="s">
        <v>2429</v>
      </c>
      <c r="C1623" s="28">
        <v>24.0</v>
      </c>
      <c r="D1623" s="106">
        <v>45000.0</v>
      </c>
      <c r="E1623" s="26">
        <v>0.0</v>
      </c>
    </row>
    <row r="1624">
      <c r="A1624" s="28" t="s">
        <v>1896</v>
      </c>
      <c r="B1624" s="28" t="s">
        <v>2442</v>
      </c>
      <c r="C1624" s="28">
        <v>50.0</v>
      </c>
      <c r="D1624" s="26">
        <v>0.0</v>
      </c>
      <c r="E1624" s="26">
        <v>0.0</v>
      </c>
      <c r="F1624" s="26" t="s">
        <v>2438</v>
      </c>
    </row>
    <row r="1625">
      <c r="A1625" s="28" t="s">
        <v>1897</v>
      </c>
      <c r="B1625" s="28" t="s">
        <v>2432</v>
      </c>
      <c r="C1625" s="28">
        <v>1.0</v>
      </c>
      <c r="D1625" s="106">
        <v>1480000.0</v>
      </c>
      <c r="E1625" s="26">
        <v>0.0</v>
      </c>
    </row>
    <row r="1626">
      <c r="A1626" s="28" t="s">
        <v>1898</v>
      </c>
      <c r="B1626" s="28" t="s">
        <v>2433</v>
      </c>
      <c r="C1626" s="28">
        <v>1.0</v>
      </c>
      <c r="D1626" s="106">
        <v>1450000.0</v>
      </c>
      <c r="E1626" s="26">
        <v>0.0</v>
      </c>
    </row>
    <row r="1627">
      <c r="A1627" s="28" t="s">
        <v>1899</v>
      </c>
      <c r="B1627" s="28" t="s">
        <v>2433</v>
      </c>
      <c r="C1627" s="28">
        <v>1.0</v>
      </c>
      <c r="D1627" s="106">
        <v>1450000.0</v>
      </c>
      <c r="E1627" s="26">
        <v>0.0</v>
      </c>
    </row>
    <row r="1628">
      <c r="A1628" s="28" t="s">
        <v>1899</v>
      </c>
      <c r="B1628" s="28" t="s">
        <v>2425</v>
      </c>
      <c r="C1628" s="28">
        <v>1.0</v>
      </c>
      <c r="D1628" s="106">
        <v>1875000.0</v>
      </c>
      <c r="E1628" s="26">
        <v>0.0</v>
      </c>
    </row>
    <row r="1629">
      <c r="A1629" s="28" t="s">
        <v>1900</v>
      </c>
      <c r="B1629" s="28" t="s">
        <v>2433</v>
      </c>
      <c r="C1629" s="28">
        <v>1.0</v>
      </c>
      <c r="D1629" s="106">
        <v>1450000.0</v>
      </c>
      <c r="E1629" s="26">
        <v>0.0</v>
      </c>
    </row>
    <row r="1630">
      <c r="A1630" s="28" t="s">
        <v>1901</v>
      </c>
      <c r="B1630" s="107" t="s">
        <v>2430</v>
      </c>
      <c r="C1630" s="28">
        <v>2.0</v>
      </c>
      <c r="D1630" s="106">
        <v>45000.0</v>
      </c>
      <c r="E1630" s="29">
        <v>50000.0</v>
      </c>
    </row>
    <row r="1631">
      <c r="A1631" s="28" t="s">
        <v>1901</v>
      </c>
      <c r="B1631" s="107" t="s">
        <v>2478</v>
      </c>
      <c r="C1631" s="28">
        <v>2.0</v>
      </c>
      <c r="D1631" s="106">
        <v>45000.0</v>
      </c>
      <c r="E1631" s="29">
        <v>50000.0</v>
      </c>
    </row>
    <row r="1632">
      <c r="A1632" s="28" t="s">
        <v>1901</v>
      </c>
      <c r="B1632" s="107" t="s">
        <v>2428</v>
      </c>
      <c r="C1632" s="28">
        <v>2.0</v>
      </c>
      <c r="D1632" s="106">
        <v>45000.0</v>
      </c>
      <c r="E1632" s="29">
        <v>50000.0</v>
      </c>
    </row>
    <row r="1633">
      <c r="A1633" s="28" t="s">
        <v>1901</v>
      </c>
      <c r="B1633" s="107" t="s">
        <v>2429</v>
      </c>
      <c r="C1633" s="28">
        <v>2.0</v>
      </c>
      <c r="D1633" s="106">
        <v>45000.0</v>
      </c>
      <c r="E1633" s="29">
        <v>50000.0</v>
      </c>
    </row>
    <row r="1634">
      <c r="A1634" s="28" t="s">
        <v>1901</v>
      </c>
      <c r="B1634" s="107" t="s">
        <v>2426</v>
      </c>
      <c r="C1634" s="28">
        <v>2.0</v>
      </c>
      <c r="D1634" s="106">
        <v>55000.0</v>
      </c>
      <c r="E1634" s="29">
        <v>50000.0</v>
      </c>
    </row>
    <row r="1635">
      <c r="A1635" s="28" t="s">
        <v>1901</v>
      </c>
      <c r="B1635" s="107" t="s">
        <v>2476</v>
      </c>
      <c r="C1635" s="28">
        <v>2.0</v>
      </c>
      <c r="D1635" s="106">
        <v>60000.0</v>
      </c>
      <c r="E1635" s="29">
        <v>60000.0</v>
      </c>
    </row>
    <row r="1636">
      <c r="A1636" s="28" t="s">
        <v>1901</v>
      </c>
      <c r="B1636" s="107" t="s">
        <v>2502</v>
      </c>
      <c r="C1636" s="28">
        <v>1.0</v>
      </c>
      <c r="D1636" s="26">
        <v>0.0</v>
      </c>
      <c r="E1636" s="26">
        <v>0.0</v>
      </c>
      <c r="F1636" s="26" t="s">
        <v>1522</v>
      </c>
    </row>
    <row r="1637">
      <c r="A1637" s="28" t="s">
        <v>1902</v>
      </c>
      <c r="B1637" s="107" t="s">
        <v>2433</v>
      </c>
      <c r="C1637" s="28">
        <v>1.0</v>
      </c>
      <c r="D1637" s="106">
        <v>1450000.0</v>
      </c>
      <c r="E1637" s="26">
        <v>0.0</v>
      </c>
    </row>
    <row r="1638">
      <c r="A1638" s="28" t="s">
        <v>1903</v>
      </c>
      <c r="B1638" s="28" t="s">
        <v>2432</v>
      </c>
      <c r="C1638" s="28">
        <v>1.0</v>
      </c>
      <c r="D1638" s="106">
        <v>1480000.0</v>
      </c>
      <c r="E1638" s="26">
        <v>0.0</v>
      </c>
    </row>
    <row r="1639">
      <c r="A1639" s="28" t="s">
        <v>1904</v>
      </c>
      <c r="B1639" s="28" t="s">
        <v>2433</v>
      </c>
      <c r="C1639" s="28">
        <v>1.0</v>
      </c>
      <c r="D1639" s="106">
        <v>1450000.0</v>
      </c>
      <c r="E1639" s="26">
        <v>0.0</v>
      </c>
    </row>
    <row r="1640">
      <c r="A1640" s="28" t="s">
        <v>1905</v>
      </c>
      <c r="B1640" s="28" t="s">
        <v>2431</v>
      </c>
      <c r="C1640" s="28">
        <v>1.0</v>
      </c>
      <c r="D1640" s="106">
        <v>2380000.0</v>
      </c>
      <c r="E1640" s="26">
        <v>0.0</v>
      </c>
    </row>
    <row r="1641">
      <c r="A1641" s="28" t="s">
        <v>1906</v>
      </c>
      <c r="B1641" s="28" t="s">
        <v>2425</v>
      </c>
      <c r="C1641" s="28">
        <v>1.0</v>
      </c>
      <c r="D1641" s="106">
        <v>1875000.0</v>
      </c>
      <c r="E1641" s="26">
        <v>0.0</v>
      </c>
    </row>
    <row r="1642">
      <c r="A1642" s="28" t="s">
        <v>1906</v>
      </c>
      <c r="B1642" s="28" t="s">
        <v>2433</v>
      </c>
      <c r="C1642" s="28">
        <v>1.0</v>
      </c>
      <c r="D1642" s="106">
        <v>1450000.0</v>
      </c>
      <c r="E1642" s="26">
        <v>0.0</v>
      </c>
    </row>
    <row r="1643">
      <c r="A1643" s="28" t="s">
        <v>1907</v>
      </c>
      <c r="B1643" s="28" t="s">
        <v>2434</v>
      </c>
      <c r="C1643" s="28">
        <v>1.0</v>
      </c>
      <c r="D1643" s="106">
        <v>1350000.0</v>
      </c>
      <c r="E1643" s="26">
        <v>0.0</v>
      </c>
    </row>
    <row r="1644">
      <c r="A1644" s="28" t="s">
        <v>1907</v>
      </c>
      <c r="B1644" s="28" t="s">
        <v>2437</v>
      </c>
      <c r="C1644" s="28">
        <v>6.0</v>
      </c>
      <c r="D1644" s="26">
        <v>0.0</v>
      </c>
      <c r="E1644" s="26">
        <v>0.0</v>
      </c>
      <c r="F1644" s="26" t="s">
        <v>2438</v>
      </c>
    </row>
    <row r="1645">
      <c r="A1645" s="28" t="s">
        <v>1907</v>
      </c>
      <c r="B1645" s="28" t="s">
        <v>2442</v>
      </c>
      <c r="C1645" s="28">
        <v>50.0</v>
      </c>
      <c r="D1645" s="26">
        <v>0.0</v>
      </c>
      <c r="E1645" s="26">
        <v>0.0</v>
      </c>
      <c r="F1645" s="26" t="s">
        <v>2438</v>
      </c>
    </row>
    <row r="1646">
      <c r="A1646" s="28" t="s">
        <v>1908</v>
      </c>
      <c r="B1646" s="107" t="s">
        <v>2433</v>
      </c>
      <c r="C1646" s="28">
        <v>1.0</v>
      </c>
      <c r="D1646" s="106">
        <v>1450000.0</v>
      </c>
      <c r="E1646" s="26">
        <v>0.0</v>
      </c>
    </row>
    <row r="1647">
      <c r="A1647" s="28" t="s">
        <v>1909</v>
      </c>
      <c r="B1647" s="107" t="s">
        <v>2426</v>
      </c>
      <c r="C1647" s="28">
        <v>96.0</v>
      </c>
      <c r="D1647" s="106">
        <v>55000.0</v>
      </c>
      <c r="E1647" s="26">
        <v>0.0</v>
      </c>
    </row>
    <row r="1648">
      <c r="A1648" s="28" t="s">
        <v>1909</v>
      </c>
      <c r="B1648" s="107" t="s">
        <v>2503</v>
      </c>
      <c r="C1648" s="28">
        <v>24.0</v>
      </c>
      <c r="D1648" s="26">
        <v>0.0</v>
      </c>
      <c r="E1648" s="26">
        <v>0.0</v>
      </c>
      <c r="F1648" s="26" t="s">
        <v>1522</v>
      </c>
    </row>
    <row r="1649">
      <c r="A1649" s="28" t="s">
        <v>1909</v>
      </c>
      <c r="B1649" s="107" t="s">
        <v>2442</v>
      </c>
      <c r="C1649" s="28">
        <v>50.0</v>
      </c>
      <c r="D1649" s="26">
        <v>0.0</v>
      </c>
      <c r="E1649" s="26">
        <v>0.0</v>
      </c>
      <c r="F1649" s="26" t="s">
        <v>2438</v>
      </c>
    </row>
    <row r="1650">
      <c r="A1650" s="28" t="s">
        <v>1910</v>
      </c>
      <c r="B1650" s="107" t="s">
        <v>2432</v>
      </c>
      <c r="C1650" s="28">
        <v>1.0</v>
      </c>
      <c r="D1650" s="106">
        <v>1480000.0</v>
      </c>
      <c r="E1650" s="26">
        <v>0.0</v>
      </c>
    </row>
    <row r="1651">
      <c r="A1651" s="28" t="s">
        <v>1911</v>
      </c>
      <c r="B1651" s="107" t="s">
        <v>2429</v>
      </c>
      <c r="C1651" s="28">
        <v>24.0</v>
      </c>
      <c r="D1651" s="106">
        <v>45000.0</v>
      </c>
      <c r="E1651" s="26">
        <v>0.0</v>
      </c>
    </row>
    <row r="1652">
      <c r="A1652" s="28" t="s">
        <v>1911</v>
      </c>
      <c r="B1652" s="107" t="s">
        <v>2502</v>
      </c>
      <c r="C1652" s="28">
        <v>1.0</v>
      </c>
      <c r="D1652" s="26">
        <v>0.0</v>
      </c>
      <c r="E1652" s="26">
        <v>0.0</v>
      </c>
      <c r="F1652" s="26" t="s">
        <v>1522</v>
      </c>
    </row>
    <row r="1653">
      <c r="A1653" s="28" t="s">
        <v>1911</v>
      </c>
      <c r="B1653" s="107" t="s">
        <v>2504</v>
      </c>
      <c r="C1653" s="28">
        <v>1.0</v>
      </c>
      <c r="D1653" s="26">
        <v>0.0</v>
      </c>
      <c r="E1653" s="26">
        <v>0.0</v>
      </c>
      <c r="F1653" s="26" t="s">
        <v>1522</v>
      </c>
    </row>
    <row r="1654">
      <c r="A1654" s="28" t="s">
        <v>1911</v>
      </c>
      <c r="B1654" s="107" t="s">
        <v>2505</v>
      </c>
      <c r="C1654" s="28">
        <v>1.0</v>
      </c>
      <c r="D1654" s="26">
        <v>0.0</v>
      </c>
      <c r="E1654" s="26">
        <v>0.0</v>
      </c>
      <c r="F1654" s="26" t="s">
        <v>1522</v>
      </c>
    </row>
    <row r="1655">
      <c r="A1655" s="28" t="s">
        <v>1912</v>
      </c>
      <c r="B1655" s="28" t="s">
        <v>2434</v>
      </c>
      <c r="C1655" s="28">
        <v>3.0</v>
      </c>
      <c r="D1655" s="106">
        <v>1350000.0</v>
      </c>
      <c r="E1655" s="26">
        <v>0.0</v>
      </c>
    </row>
    <row r="1656">
      <c r="A1656" s="28" t="s">
        <v>1912</v>
      </c>
      <c r="B1656" s="28" t="s">
        <v>2437</v>
      </c>
      <c r="C1656" s="28">
        <v>12.0</v>
      </c>
      <c r="D1656" s="26">
        <v>0.0</v>
      </c>
      <c r="E1656" s="26">
        <v>0.0</v>
      </c>
      <c r="F1656" s="26" t="s">
        <v>2438</v>
      </c>
    </row>
    <row r="1657">
      <c r="A1657" s="28" t="s">
        <v>1912</v>
      </c>
      <c r="B1657" s="28" t="s">
        <v>2486</v>
      </c>
      <c r="C1657" s="28">
        <v>100.0</v>
      </c>
      <c r="D1657" s="26">
        <v>0.0</v>
      </c>
      <c r="E1657" s="26">
        <v>0.0</v>
      </c>
      <c r="F1657" s="26" t="s">
        <v>2438</v>
      </c>
    </row>
    <row r="1658">
      <c r="A1658" s="28" t="s">
        <v>1913</v>
      </c>
      <c r="B1658" s="107" t="s">
        <v>2429</v>
      </c>
      <c r="C1658" s="28">
        <v>48.0</v>
      </c>
      <c r="D1658" s="106">
        <v>45000.0</v>
      </c>
      <c r="E1658" s="26">
        <v>0.0</v>
      </c>
    </row>
    <row r="1659">
      <c r="A1659" s="28" t="s">
        <v>1913</v>
      </c>
      <c r="B1659" s="107" t="s">
        <v>2478</v>
      </c>
      <c r="C1659" s="28">
        <v>10.0</v>
      </c>
      <c r="D1659" s="106">
        <v>45000.0</v>
      </c>
      <c r="E1659" s="26">
        <v>0.0</v>
      </c>
    </row>
    <row r="1660">
      <c r="A1660" s="28" t="s">
        <v>1913</v>
      </c>
      <c r="B1660" s="107" t="s">
        <v>2502</v>
      </c>
      <c r="C1660" s="28">
        <v>24.0</v>
      </c>
      <c r="D1660" s="29">
        <v>0.0</v>
      </c>
      <c r="E1660" s="26">
        <v>0.0</v>
      </c>
      <c r="F1660" s="26" t="s">
        <v>2443</v>
      </c>
    </row>
    <row r="1661">
      <c r="A1661" s="28" t="s">
        <v>1913</v>
      </c>
      <c r="B1661" s="107" t="s">
        <v>2486</v>
      </c>
      <c r="C1661" s="28">
        <v>50.0</v>
      </c>
      <c r="D1661" s="26">
        <v>0.0</v>
      </c>
      <c r="E1661" s="26">
        <v>0.0</v>
      </c>
      <c r="F1661" s="26" t="s">
        <v>2438</v>
      </c>
    </row>
    <row r="1662">
      <c r="A1662" s="28" t="s">
        <v>1914</v>
      </c>
      <c r="B1662" s="107" t="s">
        <v>2502</v>
      </c>
      <c r="C1662" s="28">
        <v>360.0</v>
      </c>
      <c r="D1662" s="29">
        <v>0.0</v>
      </c>
      <c r="E1662" s="26">
        <v>0.0</v>
      </c>
      <c r="F1662" s="26" t="s">
        <v>2506</v>
      </c>
    </row>
    <row r="1663">
      <c r="A1663" s="28" t="s">
        <v>1914</v>
      </c>
      <c r="B1663" s="107" t="s">
        <v>2507</v>
      </c>
      <c r="C1663" s="28">
        <v>480.0</v>
      </c>
      <c r="D1663" s="29">
        <v>45000.0</v>
      </c>
      <c r="E1663" s="26">
        <v>0.0</v>
      </c>
    </row>
    <row r="1664">
      <c r="A1664" s="28" t="s">
        <v>1914</v>
      </c>
      <c r="B1664" s="107" t="s">
        <v>2508</v>
      </c>
      <c r="C1664" s="28">
        <v>48.0</v>
      </c>
      <c r="D1664" s="29">
        <v>0.0</v>
      </c>
      <c r="E1664" s="26">
        <v>0.0</v>
      </c>
      <c r="F1664" s="26" t="s">
        <v>2506</v>
      </c>
    </row>
    <row r="1665">
      <c r="A1665" s="28" t="s">
        <v>1915</v>
      </c>
      <c r="B1665" s="28" t="s">
        <v>2429</v>
      </c>
      <c r="C1665" s="28">
        <v>24.0</v>
      </c>
      <c r="D1665" s="106">
        <v>45000.0</v>
      </c>
      <c r="E1665" s="26">
        <v>0.0</v>
      </c>
    </row>
    <row r="1666">
      <c r="A1666" s="28" t="s">
        <v>1917</v>
      </c>
      <c r="B1666" s="28" t="s">
        <v>2433</v>
      </c>
      <c r="C1666" s="28">
        <v>1.0</v>
      </c>
      <c r="D1666" s="106">
        <v>1450000.0</v>
      </c>
      <c r="E1666" s="26">
        <v>0.0</v>
      </c>
    </row>
    <row r="1667">
      <c r="A1667" s="28" t="s">
        <v>1918</v>
      </c>
      <c r="B1667" s="28" t="s">
        <v>2435</v>
      </c>
      <c r="C1667" s="28">
        <v>72.0</v>
      </c>
      <c r="D1667" s="106">
        <v>40000.0</v>
      </c>
      <c r="E1667" s="26">
        <v>0.0</v>
      </c>
    </row>
    <row r="1668">
      <c r="A1668" s="28" t="s">
        <v>1918</v>
      </c>
      <c r="B1668" s="28" t="s">
        <v>2483</v>
      </c>
      <c r="C1668" s="28">
        <v>24.0</v>
      </c>
      <c r="D1668" s="106">
        <v>60000.0</v>
      </c>
      <c r="E1668" s="26">
        <v>0.0</v>
      </c>
    </row>
    <row r="1669">
      <c r="A1669" s="28" t="s">
        <v>1918</v>
      </c>
      <c r="B1669" s="107" t="s">
        <v>2503</v>
      </c>
      <c r="C1669" s="28">
        <v>24.0</v>
      </c>
      <c r="D1669" s="29">
        <v>0.0</v>
      </c>
      <c r="E1669" s="26">
        <v>0.0</v>
      </c>
      <c r="F1669" s="26" t="s">
        <v>2436</v>
      </c>
    </row>
    <row r="1670">
      <c r="A1670" s="28" t="s">
        <v>1918</v>
      </c>
      <c r="B1670" s="28" t="s">
        <v>2486</v>
      </c>
      <c r="C1670" s="28">
        <v>50.0</v>
      </c>
      <c r="D1670" s="26">
        <v>0.0</v>
      </c>
      <c r="E1670" s="26">
        <v>0.0</v>
      </c>
      <c r="F1670" s="26" t="s">
        <v>2438</v>
      </c>
    </row>
    <row r="1671">
      <c r="A1671" s="28" t="s">
        <v>1918</v>
      </c>
      <c r="B1671" s="28" t="s">
        <v>2508</v>
      </c>
      <c r="C1671" s="28">
        <v>6.0</v>
      </c>
      <c r="D1671" s="26">
        <v>0.0</v>
      </c>
      <c r="E1671" s="26">
        <v>0.0</v>
      </c>
      <c r="F1671" s="26" t="s">
        <v>2438</v>
      </c>
    </row>
    <row r="1672">
      <c r="A1672" s="28" t="s">
        <v>1919</v>
      </c>
      <c r="B1672" s="28" t="s">
        <v>2429</v>
      </c>
      <c r="C1672" s="28">
        <v>48.0</v>
      </c>
      <c r="D1672" s="106">
        <v>45000.0</v>
      </c>
      <c r="E1672" s="26">
        <v>0.0</v>
      </c>
    </row>
    <row r="1673">
      <c r="A1673" s="28" t="s">
        <v>1919</v>
      </c>
      <c r="B1673" s="107" t="s">
        <v>2502</v>
      </c>
      <c r="C1673" s="28">
        <v>2.0</v>
      </c>
      <c r="D1673" s="26">
        <v>0.0</v>
      </c>
      <c r="E1673" s="26">
        <v>0.0</v>
      </c>
      <c r="F1673" s="26" t="s">
        <v>1522</v>
      </c>
    </row>
    <row r="1674">
      <c r="A1674" s="28" t="s">
        <v>1920</v>
      </c>
      <c r="B1674" s="28" t="s">
        <v>2432</v>
      </c>
      <c r="C1674" s="28">
        <v>1.0</v>
      </c>
      <c r="D1674" s="106">
        <v>1480000.0</v>
      </c>
      <c r="E1674" s="26">
        <v>0.0</v>
      </c>
    </row>
    <row r="1675">
      <c r="A1675" s="28" t="s">
        <v>1920</v>
      </c>
      <c r="B1675" s="28" t="s">
        <v>2433</v>
      </c>
      <c r="C1675" s="28">
        <v>1.0</v>
      </c>
      <c r="D1675" s="106">
        <v>1450000.0</v>
      </c>
      <c r="E1675" s="26">
        <v>0.0</v>
      </c>
    </row>
    <row r="1676">
      <c r="A1676" s="28" t="s">
        <v>1920</v>
      </c>
      <c r="B1676" s="28" t="s">
        <v>2425</v>
      </c>
      <c r="C1676" s="28">
        <v>1.0</v>
      </c>
      <c r="D1676" s="106">
        <v>1875000.0</v>
      </c>
      <c r="E1676" s="26">
        <v>0.0</v>
      </c>
    </row>
    <row r="1677">
      <c r="A1677" s="28" t="s">
        <v>1921</v>
      </c>
      <c r="B1677" s="28" t="s">
        <v>2431</v>
      </c>
      <c r="C1677" s="28">
        <v>1.0</v>
      </c>
      <c r="D1677" s="106">
        <v>2380000.0</v>
      </c>
      <c r="E1677" s="26">
        <v>0.0</v>
      </c>
    </row>
    <row r="1678">
      <c r="A1678" s="28" t="s">
        <v>1922</v>
      </c>
      <c r="B1678" s="28" t="s">
        <v>2481</v>
      </c>
      <c r="C1678" s="28">
        <v>1000.0</v>
      </c>
      <c r="D1678" s="106">
        <v>3616.28</v>
      </c>
      <c r="E1678" s="26">
        <v>0.0</v>
      </c>
    </row>
    <row r="1679">
      <c r="A1679" s="28" t="s">
        <v>1923</v>
      </c>
      <c r="B1679" s="28" t="s">
        <v>2425</v>
      </c>
      <c r="C1679" s="28">
        <v>2.0</v>
      </c>
      <c r="D1679" s="106">
        <v>1875000.0</v>
      </c>
      <c r="E1679" s="26">
        <v>0.0</v>
      </c>
    </row>
    <row r="1680">
      <c r="A1680" s="28" t="s">
        <v>1923</v>
      </c>
      <c r="B1680" s="28" t="s">
        <v>2508</v>
      </c>
      <c r="C1680" s="28">
        <v>6.0</v>
      </c>
      <c r="D1680" s="26">
        <v>0.0</v>
      </c>
      <c r="E1680" s="26">
        <v>0.0</v>
      </c>
      <c r="F1680" s="26" t="s">
        <v>2438</v>
      </c>
    </row>
    <row r="1681">
      <c r="A1681" s="28" t="s">
        <v>1923</v>
      </c>
      <c r="B1681" s="28" t="s">
        <v>2442</v>
      </c>
      <c r="C1681" s="28">
        <v>50.0</v>
      </c>
      <c r="D1681" s="26">
        <v>0.0</v>
      </c>
      <c r="E1681" s="26">
        <v>0.0</v>
      </c>
      <c r="F1681" s="26" t="s">
        <v>2438</v>
      </c>
    </row>
    <row r="1682">
      <c r="A1682" s="28" t="s">
        <v>1924</v>
      </c>
      <c r="B1682" s="28" t="s">
        <v>2433</v>
      </c>
      <c r="C1682" s="28">
        <v>1.0</v>
      </c>
      <c r="D1682" s="106">
        <v>1450000.0</v>
      </c>
      <c r="E1682" s="26">
        <v>0.0</v>
      </c>
    </row>
    <row r="1683">
      <c r="A1683" s="28" t="s">
        <v>1925</v>
      </c>
      <c r="B1683" s="28" t="s">
        <v>2434</v>
      </c>
      <c r="C1683" s="28">
        <v>1.0</v>
      </c>
      <c r="D1683" s="106">
        <v>1350000.0</v>
      </c>
      <c r="E1683" s="26">
        <v>0.0</v>
      </c>
    </row>
    <row r="1684">
      <c r="A1684" s="28" t="s">
        <v>1925</v>
      </c>
      <c r="B1684" s="28" t="s">
        <v>2433</v>
      </c>
      <c r="C1684" s="28">
        <v>1.0</v>
      </c>
      <c r="D1684" s="106">
        <v>1450000.0</v>
      </c>
      <c r="E1684" s="26">
        <v>0.0</v>
      </c>
    </row>
    <row r="1685">
      <c r="A1685" s="28" t="s">
        <v>1925</v>
      </c>
      <c r="B1685" s="28" t="s">
        <v>2508</v>
      </c>
      <c r="C1685" s="28">
        <v>12.0</v>
      </c>
      <c r="D1685" s="26">
        <v>0.0</v>
      </c>
      <c r="E1685" s="26">
        <v>0.0</v>
      </c>
      <c r="F1685" s="26" t="s">
        <v>2438</v>
      </c>
    </row>
    <row r="1686">
      <c r="A1686" s="28" t="s">
        <v>1925</v>
      </c>
      <c r="B1686" s="28" t="s">
        <v>2486</v>
      </c>
      <c r="C1686" s="28">
        <v>50.0</v>
      </c>
      <c r="D1686" s="26">
        <v>0.0</v>
      </c>
      <c r="E1686" s="26">
        <v>0.0</v>
      </c>
      <c r="F1686" s="26" t="s">
        <v>2438</v>
      </c>
    </row>
    <row r="1687">
      <c r="A1687" s="28" t="s">
        <v>1926</v>
      </c>
      <c r="B1687" s="107" t="s">
        <v>2434</v>
      </c>
      <c r="C1687" s="28">
        <v>15.0</v>
      </c>
      <c r="D1687" s="106">
        <v>1350000.0</v>
      </c>
      <c r="E1687" s="26">
        <v>0.0</v>
      </c>
    </row>
    <row r="1688">
      <c r="A1688" s="28" t="s">
        <v>1926</v>
      </c>
      <c r="B1688" s="107" t="s">
        <v>2432</v>
      </c>
      <c r="C1688" s="28">
        <v>15.0</v>
      </c>
      <c r="D1688" s="106">
        <v>1480000.0</v>
      </c>
      <c r="E1688" s="26">
        <v>0.0</v>
      </c>
    </row>
    <row r="1689">
      <c r="A1689" s="28" t="s">
        <v>1926</v>
      </c>
      <c r="B1689" s="107" t="s">
        <v>2509</v>
      </c>
      <c r="C1689" s="28">
        <v>1.0</v>
      </c>
      <c r="D1689" s="108">
        <v>0.0</v>
      </c>
      <c r="E1689" s="109">
        <v>0.0</v>
      </c>
      <c r="F1689" s="110" t="s">
        <v>2436</v>
      </c>
    </row>
    <row r="1690">
      <c r="A1690" s="28" t="s">
        <v>1926</v>
      </c>
      <c r="B1690" s="107" t="s">
        <v>2510</v>
      </c>
      <c r="C1690" s="28">
        <v>12.0</v>
      </c>
      <c r="D1690" s="108">
        <v>0.0</v>
      </c>
      <c r="E1690" s="109">
        <v>0.0</v>
      </c>
      <c r="F1690" s="110" t="s">
        <v>2436</v>
      </c>
    </row>
    <row r="1691">
      <c r="A1691" s="28" t="s">
        <v>1926</v>
      </c>
      <c r="B1691" s="107" t="s">
        <v>2511</v>
      </c>
      <c r="C1691" s="28">
        <v>12.0</v>
      </c>
      <c r="D1691" s="108">
        <v>0.0</v>
      </c>
      <c r="E1691" s="109">
        <v>0.0</v>
      </c>
      <c r="F1691" s="110" t="s">
        <v>2436</v>
      </c>
    </row>
    <row r="1692">
      <c r="A1692" s="28" t="s">
        <v>1926</v>
      </c>
      <c r="B1692" s="107" t="s">
        <v>2512</v>
      </c>
      <c r="C1692" s="28">
        <v>12.0</v>
      </c>
      <c r="D1692" s="108">
        <v>0.0</v>
      </c>
      <c r="E1692" s="109">
        <v>0.0</v>
      </c>
      <c r="F1692" s="110" t="s">
        <v>2436</v>
      </c>
    </row>
    <row r="1693">
      <c r="A1693" s="28" t="s">
        <v>1926</v>
      </c>
      <c r="B1693" s="107" t="s">
        <v>2503</v>
      </c>
      <c r="C1693" s="28">
        <v>12.0</v>
      </c>
      <c r="D1693" s="108">
        <v>0.0</v>
      </c>
      <c r="E1693" s="109">
        <v>0.0</v>
      </c>
      <c r="F1693" s="110" t="s">
        <v>2436</v>
      </c>
    </row>
    <row r="1694">
      <c r="A1694" s="28" t="s">
        <v>1926</v>
      </c>
      <c r="B1694" s="107" t="s">
        <v>2507</v>
      </c>
      <c r="C1694" s="28">
        <v>12.0</v>
      </c>
      <c r="D1694" s="108">
        <v>0.0</v>
      </c>
      <c r="E1694" s="109">
        <v>0.0</v>
      </c>
      <c r="F1694" s="110" t="s">
        <v>2436</v>
      </c>
    </row>
    <row r="1695">
      <c r="A1695" s="28" t="s">
        <v>1926</v>
      </c>
      <c r="B1695" s="107" t="s">
        <v>2513</v>
      </c>
      <c r="C1695" s="28">
        <v>12.0</v>
      </c>
      <c r="D1695" s="108">
        <v>0.0</v>
      </c>
      <c r="E1695" s="109">
        <v>0.0</v>
      </c>
      <c r="F1695" s="110" t="s">
        <v>2436</v>
      </c>
    </row>
    <row r="1696">
      <c r="A1696" s="28" t="s">
        <v>1926</v>
      </c>
      <c r="B1696" s="107" t="s">
        <v>2502</v>
      </c>
      <c r="C1696" s="28">
        <v>12.0</v>
      </c>
      <c r="D1696" s="108">
        <v>0.0</v>
      </c>
      <c r="E1696" s="109">
        <v>0.0</v>
      </c>
      <c r="F1696" s="110" t="s">
        <v>2436</v>
      </c>
    </row>
    <row r="1697">
      <c r="A1697" s="28" t="s">
        <v>1926</v>
      </c>
      <c r="B1697" s="107" t="s">
        <v>2505</v>
      </c>
      <c r="C1697" s="28">
        <v>12.0</v>
      </c>
      <c r="D1697" s="108">
        <v>0.0</v>
      </c>
      <c r="E1697" s="109">
        <v>0.0</v>
      </c>
      <c r="F1697" s="110" t="s">
        <v>2436</v>
      </c>
    </row>
    <row r="1698">
      <c r="A1698" s="28" t="s">
        <v>1926</v>
      </c>
      <c r="B1698" s="107" t="s">
        <v>2504</v>
      </c>
      <c r="C1698" s="28">
        <v>12.0</v>
      </c>
      <c r="D1698" s="108">
        <v>0.0</v>
      </c>
      <c r="E1698" s="109">
        <v>0.0</v>
      </c>
      <c r="F1698" s="110" t="s">
        <v>2436</v>
      </c>
    </row>
    <row r="1699">
      <c r="A1699" s="28" t="s">
        <v>1926</v>
      </c>
      <c r="B1699" s="107" t="s">
        <v>2514</v>
      </c>
      <c r="C1699" s="28">
        <v>24.0</v>
      </c>
      <c r="D1699" s="108">
        <v>0.0</v>
      </c>
      <c r="E1699" s="109">
        <v>0.0</v>
      </c>
      <c r="F1699" s="110" t="s">
        <v>2436</v>
      </c>
    </row>
    <row r="1700">
      <c r="A1700" s="28" t="s">
        <v>1926</v>
      </c>
      <c r="B1700" s="107" t="s">
        <v>2502</v>
      </c>
      <c r="C1700" s="28">
        <v>24.0</v>
      </c>
      <c r="D1700" s="108">
        <v>0.0</v>
      </c>
      <c r="E1700" s="109">
        <v>0.0</v>
      </c>
      <c r="F1700" s="110" t="s">
        <v>2436</v>
      </c>
    </row>
    <row r="1701">
      <c r="A1701" s="28" t="s">
        <v>1926</v>
      </c>
      <c r="B1701" s="107" t="s">
        <v>2437</v>
      </c>
      <c r="C1701" s="28">
        <v>48.0</v>
      </c>
      <c r="D1701" s="26">
        <v>0.0</v>
      </c>
      <c r="E1701" s="26">
        <v>0.0</v>
      </c>
      <c r="F1701" s="26" t="s">
        <v>2438</v>
      </c>
    </row>
    <row r="1702">
      <c r="A1702" s="28" t="s">
        <v>1926</v>
      </c>
      <c r="B1702" s="107" t="s">
        <v>2508</v>
      </c>
      <c r="C1702" s="28">
        <v>48.0</v>
      </c>
      <c r="D1702" s="26">
        <v>0.0</v>
      </c>
      <c r="E1702" s="26">
        <v>0.0</v>
      </c>
      <c r="F1702" s="26" t="s">
        <v>2438</v>
      </c>
    </row>
    <row r="1703">
      <c r="A1703" s="28" t="s">
        <v>1926</v>
      </c>
      <c r="B1703" s="107" t="s">
        <v>2442</v>
      </c>
      <c r="C1703" s="28">
        <v>500.0</v>
      </c>
      <c r="D1703" s="26">
        <v>0.0</v>
      </c>
      <c r="E1703" s="26">
        <v>0.0</v>
      </c>
      <c r="F1703" s="26" t="s">
        <v>2438</v>
      </c>
    </row>
    <row r="1704">
      <c r="A1704" s="28" t="s">
        <v>1926</v>
      </c>
      <c r="B1704" s="107" t="s">
        <v>2486</v>
      </c>
      <c r="C1704" s="28">
        <v>500.0</v>
      </c>
      <c r="D1704" s="26">
        <v>0.0</v>
      </c>
      <c r="E1704" s="26">
        <v>0.0</v>
      </c>
      <c r="F1704" s="26" t="s">
        <v>2438</v>
      </c>
    </row>
    <row r="1705">
      <c r="A1705" s="28" t="s">
        <v>1926</v>
      </c>
      <c r="B1705" s="107" t="s">
        <v>2447</v>
      </c>
      <c r="C1705" s="28">
        <v>2.0</v>
      </c>
      <c r="D1705" s="26">
        <v>0.0</v>
      </c>
      <c r="E1705" s="26">
        <v>0.0</v>
      </c>
      <c r="F1705" s="26" t="s">
        <v>2438</v>
      </c>
    </row>
    <row r="1706">
      <c r="A1706" s="28" t="s">
        <v>1927</v>
      </c>
      <c r="B1706" s="28" t="s">
        <v>2426</v>
      </c>
      <c r="C1706" s="28">
        <v>24.0</v>
      </c>
      <c r="D1706" s="106">
        <v>55000.0</v>
      </c>
      <c r="E1706" s="26">
        <v>0.0</v>
      </c>
    </row>
    <row r="1707">
      <c r="A1707" s="28" t="s">
        <v>1927</v>
      </c>
      <c r="B1707" s="28" t="s">
        <v>2435</v>
      </c>
      <c r="C1707" s="28">
        <v>6.0</v>
      </c>
      <c r="D1707" s="106">
        <v>40000.0</v>
      </c>
      <c r="E1707" s="26">
        <v>0.0</v>
      </c>
    </row>
    <row r="1708">
      <c r="A1708" s="28" t="s">
        <v>1927</v>
      </c>
      <c r="B1708" s="28" t="s">
        <v>2430</v>
      </c>
      <c r="C1708" s="28">
        <v>6.0</v>
      </c>
      <c r="D1708" s="106">
        <v>45000.0</v>
      </c>
      <c r="E1708" s="26">
        <v>0.0</v>
      </c>
    </row>
    <row r="1709">
      <c r="A1709" s="28" t="s">
        <v>1927</v>
      </c>
      <c r="B1709" s="28" t="s">
        <v>2458</v>
      </c>
      <c r="C1709" s="28">
        <v>6.0</v>
      </c>
      <c r="D1709" s="106">
        <v>60000.0</v>
      </c>
      <c r="E1709" s="26">
        <v>0.0</v>
      </c>
    </row>
    <row r="1710">
      <c r="A1710" s="28" t="s">
        <v>1927</v>
      </c>
      <c r="B1710" s="28" t="s">
        <v>2476</v>
      </c>
      <c r="C1710" s="28">
        <v>6.0</v>
      </c>
      <c r="D1710" s="106">
        <v>60000.0</v>
      </c>
      <c r="E1710" s="26">
        <v>0.0</v>
      </c>
    </row>
    <row r="1711">
      <c r="A1711" s="28" t="s">
        <v>1927</v>
      </c>
      <c r="B1711" s="107" t="s">
        <v>2514</v>
      </c>
      <c r="C1711" s="28">
        <v>3.0</v>
      </c>
      <c r="D1711" s="26">
        <v>0.0</v>
      </c>
      <c r="E1711" s="26">
        <v>0.0</v>
      </c>
      <c r="F1711" s="26" t="s">
        <v>1522</v>
      </c>
    </row>
    <row r="1712">
      <c r="A1712" s="28" t="s">
        <v>1927</v>
      </c>
      <c r="B1712" s="28" t="s">
        <v>2437</v>
      </c>
      <c r="C1712" s="28">
        <v>6.0</v>
      </c>
      <c r="D1712" s="26">
        <v>0.0</v>
      </c>
      <c r="E1712" s="26">
        <v>0.0</v>
      </c>
      <c r="F1712" s="26" t="s">
        <v>2438</v>
      </c>
    </row>
    <row r="1713">
      <c r="A1713" s="28" t="s">
        <v>1927</v>
      </c>
      <c r="B1713" s="28" t="s">
        <v>2442</v>
      </c>
      <c r="C1713" s="28">
        <v>50.0</v>
      </c>
      <c r="D1713" s="26">
        <v>0.0</v>
      </c>
      <c r="E1713" s="26">
        <v>0.0</v>
      </c>
      <c r="F1713" s="26" t="s">
        <v>2438</v>
      </c>
    </row>
    <row r="1714">
      <c r="A1714" s="28" t="s">
        <v>1927</v>
      </c>
      <c r="B1714" s="28" t="s">
        <v>2486</v>
      </c>
      <c r="C1714" s="28">
        <v>50.0</v>
      </c>
      <c r="D1714" s="26">
        <v>0.0</v>
      </c>
      <c r="E1714" s="26">
        <v>0.0</v>
      </c>
      <c r="F1714" s="26" t="s">
        <v>2438</v>
      </c>
    </row>
    <row r="1715">
      <c r="A1715" s="28" t="s">
        <v>1929</v>
      </c>
      <c r="B1715" s="28" t="s">
        <v>2433</v>
      </c>
      <c r="C1715" s="28">
        <v>1.0</v>
      </c>
      <c r="D1715" s="106">
        <v>1450000.0</v>
      </c>
      <c r="E1715" s="26">
        <v>0.0</v>
      </c>
    </row>
    <row r="1716">
      <c r="A1716" s="28" t="s">
        <v>1930</v>
      </c>
      <c r="B1716" s="28" t="s">
        <v>2429</v>
      </c>
      <c r="C1716" s="28">
        <v>24.0</v>
      </c>
      <c r="D1716" s="106">
        <v>45000.0</v>
      </c>
      <c r="E1716" s="26">
        <v>0.0</v>
      </c>
    </row>
    <row r="1717">
      <c r="A1717" s="28" t="s">
        <v>1930</v>
      </c>
      <c r="B1717" s="107" t="s">
        <v>2502</v>
      </c>
      <c r="C1717" s="28">
        <v>2.0</v>
      </c>
      <c r="D1717" s="26">
        <v>0.0</v>
      </c>
      <c r="E1717" s="26">
        <v>0.0</v>
      </c>
      <c r="F1717" s="26" t="s">
        <v>1522</v>
      </c>
    </row>
    <row r="1718">
      <c r="A1718" s="28" t="s">
        <v>1931</v>
      </c>
      <c r="B1718" s="107" t="s">
        <v>2433</v>
      </c>
      <c r="C1718" s="28">
        <v>1.0</v>
      </c>
      <c r="D1718" s="106">
        <v>1450000.0</v>
      </c>
      <c r="E1718" s="26">
        <v>0.0</v>
      </c>
    </row>
    <row r="1719">
      <c r="A1719" s="28" t="s">
        <v>1931</v>
      </c>
      <c r="B1719" s="107" t="s">
        <v>2425</v>
      </c>
      <c r="C1719" s="28">
        <v>1.0</v>
      </c>
      <c r="D1719" s="106">
        <v>1875000.0</v>
      </c>
      <c r="E1719" s="26">
        <v>0.0</v>
      </c>
    </row>
    <row r="1720">
      <c r="A1720" s="28" t="s">
        <v>1932</v>
      </c>
      <c r="B1720" s="107" t="s">
        <v>2431</v>
      </c>
      <c r="C1720" s="28">
        <v>1.0</v>
      </c>
      <c r="D1720" s="106">
        <v>2380000.0</v>
      </c>
      <c r="E1720" s="26">
        <v>0.0</v>
      </c>
    </row>
    <row r="1721">
      <c r="A1721" s="28" t="s">
        <v>1932</v>
      </c>
      <c r="B1721" s="107" t="s">
        <v>2458</v>
      </c>
      <c r="C1721" s="28">
        <v>14.0</v>
      </c>
      <c r="D1721" s="106">
        <v>60000.0</v>
      </c>
      <c r="E1721" s="26">
        <v>0.0</v>
      </c>
    </row>
    <row r="1722">
      <c r="A1722" s="28" t="s">
        <v>1932</v>
      </c>
      <c r="B1722" s="107" t="s">
        <v>2476</v>
      </c>
      <c r="C1722" s="28">
        <v>3.0</v>
      </c>
      <c r="D1722" s="106">
        <v>60000.0</v>
      </c>
      <c r="E1722" s="26">
        <v>0.0</v>
      </c>
    </row>
    <row r="1723">
      <c r="A1723" s="28" t="s">
        <v>1932</v>
      </c>
      <c r="B1723" s="107" t="s">
        <v>2483</v>
      </c>
      <c r="C1723" s="28">
        <v>7.0</v>
      </c>
      <c r="D1723" s="106">
        <v>60000.0</v>
      </c>
      <c r="E1723" s="26">
        <v>0.0</v>
      </c>
    </row>
    <row r="1724">
      <c r="A1724" s="28" t="s">
        <v>1932</v>
      </c>
      <c r="B1724" s="107" t="s">
        <v>2502</v>
      </c>
      <c r="C1724" s="28">
        <v>3.0</v>
      </c>
      <c r="D1724" s="26">
        <v>0.0</v>
      </c>
      <c r="E1724" s="26">
        <v>0.0</v>
      </c>
      <c r="F1724" s="26" t="s">
        <v>1522</v>
      </c>
    </row>
    <row r="1725">
      <c r="A1725" s="28" t="s">
        <v>1932</v>
      </c>
      <c r="B1725" s="107" t="s">
        <v>2442</v>
      </c>
      <c r="C1725" s="28">
        <v>50.0</v>
      </c>
      <c r="D1725" s="26">
        <v>0.0</v>
      </c>
      <c r="E1725" s="26">
        <v>0.0</v>
      </c>
      <c r="F1725" s="26" t="s">
        <v>2438</v>
      </c>
    </row>
    <row r="1726">
      <c r="A1726" s="28" t="s">
        <v>1933</v>
      </c>
      <c r="B1726" s="107" t="s">
        <v>2508</v>
      </c>
      <c r="C1726" s="28">
        <v>6.0</v>
      </c>
      <c r="D1726" s="26">
        <v>0.0</v>
      </c>
      <c r="E1726" s="26">
        <v>0.0</v>
      </c>
      <c r="F1726" s="26" t="s">
        <v>2438</v>
      </c>
    </row>
    <row r="1727">
      <c r="A1727" s="28" t="s">
        <v>1933</v>
      </c>
      <c r="B1727" s="107" t="s">
        <v>2486</v>
      </c>
      <c r="C1727" s="28">
        <v>50.0</v>
      </c>
      <c r="D1727" s="26">
        <v>0.0</v>
      </c>
      <c r="E1727" s="26">
        <v>0.0</v>
      </c>
      <c r="F1727" s="26" t="s">
        <v>2438</v>
      </c>
    </row>
    <row r="1728">
      <c r="A1728" s="28" t="s">
        <v>1934</v>
      </c>
      <c r="B1728" s="28" t="s">
        <v>2429</v>
      </c>
      <c r="C1728" s="28">
        <v>720.0</v>
      </c>
      <c r="D1728" s="106">
        <v>45000.0</v>
      </c>
      <c r="E1728" s="29">
        <v>1.053E7</v>
      </c>
    </row>
    <row r="1729">
      <c r="A1729" s="28" t="s">
        <v>1934</v>
      </c>
      <c r="B1729" s="28" t="s">
        <v>2426</v>
      </c>
      <c r="C1729" s="28">
        <v>360.0</v>
      </c>
      <c r="D1729" s="106">
        <v>55000.0</v>
      </c>
      <c r="E1729" s="29">
        <v>6435000.0</v>
      </c>
    </row>
    <row r="1730">
      <c r="A1730" s="28" t="s">
        <v>1934</v>
      </c>
      <c r="B1730" s="28" t="s">
        <v>2478</v>
      </c>
      <c r="C1730" s="28">
        <v>72.0</v>
      </c>
      <c r="D1730" s="106">
        <v>45000.0</v>
      </c>
      <c r="E1730" s="29">
        <v>1053000.0</v>
      </c>
    </row>
    <row r="1731">
      <c r="A1731" s="28" t="s">
        <v>1934</v>
      </c>
      <c r="B1731" s="28" t="s">
        <v>2430</v>
      </c>
      <c r="C1731" s="28">
        <v>48.0</v>
      </c>
      <c r="D1731" s="106">
        <v>45000.0</v>
      </c>
      <c r="E1731" s="29">
        <v>702000.0</v>
      </c>
    </row>
    <row r="1732">
      <c r="A1732" s="28" t="s">
        <v>1934</v>
      </c>
      <c r="B1732" s="28" t="s">
        <v>2427</v>
      </c>
      <c r="C1732" s="28">
        <v>120.0</v>
      </c>
      <c r="D1732" s="106">
        <v>60000.0</v>
      </c>
      <c r="E1732" s="29">
        <v>2340000.0</v>
      </c>
    </row>
    <row r="1733">
      <c r="A1733" s="28" t="s">
        <v>1934</v>
      </c>
      <c r="B1733" s="28" t="s">
        <v>2486</v>
      </c>
      <c r="C1733" s="28">
        <v>250.0</v>
      </c>
      <c r="D1733" s="26">
        <v>0.0</v>
      </c>
      <c r="E1733" s="26">
        <v>0.0</v>
      </c>
      <c r="F1733" s="26" t="s">
        <v>2438</v>
      </c>
    </row>
    <row r="1734">
      <c r="A1734" s="28" t="s">
        <v>1934</v>
      </c>
      <c r="B1734" s="28" t="s">
        <v>2508</v>
      </c>
      <c r="C1734" s="28">
        <v>48.0</v>
      </c>
      <c r="D1734" s="26">
        <v>0.0</v>
      </c>
      <c r="E1734" s="26">
        <v>0.0</v>
      </c>
      <c r="F1734" s="26" t="s">
        <v>2438</v>
      </c>
    </row>
    <row r="1735">
      <c r="A1735" s="28" t="s">
        <v>1935</v>
      </c>
      <c r="B1735" s="107" t="s">
        <v>2426</v>
      </c>
      <c r="C1735" s="28">
        <v>24.0</v>
      </c>
      <c r="D1735" s="106">
        <v>55000.0</v>
      </c>
      <c r="E1735" s="26">
        <v>0.0</v>
      </c>
    </row>
    <row r="1736">
      <c r="A1736" s="28" t="s">
        <v>1936</v>
      </c>
      <c r="B1736" s="107" t="s">
        <v>2507</v>
      </c>
      <c r="C1736" s="28">
        <v>24.0</v>
      </c>
      <c r="D1736" s="108">
        <v>0.0</v>
      </c>
      <c r="E1736" s="26">
        <v>0.0</v>
      </c>
      <c r="F1736" s="110" t="s">
        <v>2436</v>
      </c>
    </row>
    <row r="1737">
      <c r="A1737" s="28" t="s">
        <v>1938</v>
      </c>
      <c r="B1737" s="107" t="s">
        <v>2502</v>
      </c>
      <c r="C1737" s="28">
        <v>24.0</v>
      </c>
      <c r="D1737" s="108">
        <v>0.0</v>
      </c>
      <c r="E1737" s="26">
        <v>0.0</v>
      </c>
      <c r="F1737" s="110" t="s">
        <v>2436</v>
      </c>
    </row>
    <row r="1738">
      <c r="A1738" s="28" t="s">
        <v>1938</v>
      </c>
      <c r="B1738" s="28" t="s">
        <v>2508</v>
      </c>
      <c r="C1738" s="28">
        <v>6.0</v>
      </c>
      <c r="D1738" s="26">
        <v>0.0</v>
      </c>
      <c r="E1738" s="26">
        <v>0.0</v>
      </c>
      <c r="F1738" s="26" t="s">
        <v>2438</v>
      </c>
    </row>
    <row r="1739">
      <c r="A1739" s="28" t="s">
        <v>1939</v>
      </c>
      <c r="B1739" s="28" t="s">
        <v>2430</v>
      </c>
      <c r="C1739" s="28">
        <v>20.0</v>
      </c>
      <c r="D1739" s="106">
        <v>45000.0</v>
      </c>
      <c r="E1739" s="26">
        <v>0.0</v>
      </c>
    </row>
    <row r="1740">
      <c r="A1740" s="28" t="s">
        <v>1939</v>
      </c>
      <c r="B1740" s="28" t="s">
        <v>2426</v>
      </c>
      <c r="C1740" s="28">
        <v>10.0</v>
      </c>
      <c r="D1740" s="106">
        <v>55000.0</v>
      </c>
      <c r="E1740" s="26">
        <v>0.0</v>
      </c>
    </row>
    <row r="1741">
      <c r="A1741" s="28" t="s">
        <v>1940</v>
      </c>
      <c r="B1741" s="28" t="s">
        <v>2433</v>
      </c>
      <c r="C1741" s="28">
        <v>1.0</v>
      </c>
      <c r="D1741" s="106">
        <v>1450000.0</v>
      </c>
      <c r="E1741" s="26">
        <v>0.0</v>
      </c>
    </row>
    <row r="1742">
      <c r="A1742" s="28" t="s">
        <v>1941</v>
      </c>
      <c r="B1742" s="28" t="s">
        <v>2433</v>
      </c>
      <c r="C1742" s="28">
        <v>1.0</v>
      </c>
      <c r="D1742" s="106">
        <v>1450000.0</v>
      </c>
      <c r="E1742" s="26">
        <v>0.0</v>
      </c>
    </row>
    <row r="1743">
      <c r="A1743" s="28" t="s">
        <v>1942</v>
      </c>
      <c r="B1743" s="28" t="s">
        <v>2431</v>
      </c>
      <c r="C1743" s="28">
        <v>1.0</v>
      </c>
      <c r="D1743" s="106">
        <v>2380000.0</v>
      </c>
      <c r="E1743" s="26">
        <v>0.0</v>
      </c>
    </row>
    <row r="1744">
      <c r="A1744" s="28" t="s">
        <v>1942</v>
      </c>
      <c r="B1744" s="28" t="s">
        <v>2457</v>
      </c>
      <c r="C1744" s="28">
        <v>5.0</v>
      </c>
      <c r="D1744" s="26">
        <v>0.0</v>
      </c>
      <c r="E1744" s="26">
        <v>0.0</v>
      </c>
      <c r="F1744" s="26" t="s">
        <v>2438</v>
      </c>
    </row>
    <row r="1745">
      <c r="A1745" s="28" t="s">
        <v>1942</v>
      </c>
      <c r="B1745" s="28" t="s">
        <v>2457</v>
      </c>
      <c r="C1745" s="28">
        <v>15.0</v>
      </c>
      <c r="D1745" s="26">
        <v>0.0</v>
      </c>
      <c r="E1745" s="26">
        <v>0.0</v>
      </c>
      <c r="F1745" s="26" t="s">
        <v>2438</v>
      </c>
    </row>
    <row r="1746">
      <c r="A1746" s="28" t="s">
        <v>1943</v>
      </c>
      <c r="B1746" s="28" t="s">
        <v>2425</v>
      </c>
      <c r="C1746" s="28">
        <v>1.0</v>
      </c>
      <c r="D1746" s="106">
        <v>1875000.0</v>
      </c>
      <c r="E1746" s="26">
        <v>0.0</v>
      </c>
    </row>
    <row r="1747">
      <c r="A1747" s="28" t="s">
        <v>1944</v>
      </c>
      <c r="B1747" s="28" t="s">
        <v>2431</v>
      </c>
      <c r="C1747" s="28">
        <v>1.0</v>
      </c>
      <c r="D1747" s="106">
        <v>2380000.0</v>
      </c>
      <c r="E1747" s="29">
        <v>392700.0</v>
      </c>
    </row>
    <row r="1748">
      <c r="A1748" s="28" t="s">
        <v>1944</v>
      </c>
      <c r="B1748" s="28" t="s">
        <v>2425</v>
      </c>
      <c r="C1748" s="28">
        <v>2.0</v>
      </c>
      <c r="D1748" s="106">
        <v>1875000.0</v>
      </c>
      <c r="E1748" s="29">
        <v>618750.0</v>
      </c>
    </row>
    <row r="1749">
      <c r="A1749" s="28" t="s">
        <v>1944</v>
      </c>
      <c r="B1749" s="28" t="s">
        <v>2442</v>
      </c>
      <c r="C1749" s="28">
        <v>50.0</v>
      </c>
      <c r="D1749" s="26">
        <v>0.0</v>
      </c>
      <c r="E1749" s="26">
        <v>0.0</v>
      </c>
      <c r="F1749" s="26" t="s">
        <v>2438</v>
      </c>
    </row>
    <row r="1750">
      <c r="A1750" s="28" t="s">
        <v>1946</v>
      </c>
      <c r="B1750" s="28" t="s">
        <v>2429</v>
      </c>
      <c r="C1750" s="28">
        <v>24.0</v>
      </c>
      <c r="D1750" s="106">
        <v>45000.0</v>
      </c>
      <c r="E1750" s="26">
        <v>0.0</v>
      </c>
    </row>
    <row r="1751">
      <c r="A1751" s="28" t="s">
        <v>1947</v>
      </c>
      <c r="B1751" s="28" t="s">
        <v>2429</v>
      </c>
      <c r="C1751" s="28">
        <v>24.0</v>
      </c>
      <c r="D1751" s="106">
        <v>45000.0</v>
      </c>
      <c r="E1751" s="26">
        <v>0.0</v>
      </c>
    </row>
    <row r="1752">
      <c r="A1752" s="28" t="s">
        <v>1948</v>
      </c>
      <c r="B1752" s="28" t="s">
        <v>2434</v>
      </c>
      <c r="C1752" s="28">
        <v>2.0</v>
      </c>
      <c r="D1752" s="106">
        <v>1350000.0</v>
      </c>
      <c r="E1752" s="26">
        <v>0.0</v>
      </c>
    </row>
    <row r="1753">
      <c r="A1753" s="28" t="s">
        <v>1948</v>
      </c>
      <c r="B1753" s="28" t="s">
        <v>2486</v>
      </c>
      <c r="C1753" s="28">
        <v>100.0</v>
      </c>
      <c r="D1753" s="26">
        <v>0.0</v>
      </c>
      <c r="E1753" s="26">
        <v>0.0</v>
      </c>
      <c r="F1753" s="26" t="s">
        <v>2438</v>
      </c>
    </row>
    <row r="1754">
      <c r="A1754" s="28" t="s">
        <v>1949</v>
      </c>
      <c r="B1754" s="28" t="s">
        <v>2435</v>
      </c>
      <c r="C1754" s="28">
        <v>24.0</v>
      </c>
      <c r="D1754" s="106">
        <v>40000.0</v>
      </c>
      <c r="E1754" s="26">
        <v>0.0</v>
      </c>
    </row>
    <row r="1755">
      <c r="A1755" s="28" t="s">
        <v>1949</v>
      </c>
      <c r="B1755" s="107" t="s">
        <v>2486</v>
      </c>
      <c r="C1755" s="28">
        <v>50.0</v>
      </c>
      <c r="D1755" s="26">
        <v>0.0</v>
      </c>
      <c r="E1755" s="26">
        <v>0.0</v>
      </c>
      <c r="F1755" s="26" t="s">
        <v>2438</v>
      </c>
    </row>
    <row r="1756">
      <c r="A1756" s="28" t="s">
        <v>1950</v>
      </c>
      <c r="B1756" s="107" t="s">
        <v>2429</v>
      </c>
      <c r="C1756" s="28">
        <v>24.0</v>
      </c>
      <c r="D1756" s="106">
        <v>45000.0</v>
      </c>
      <c r="E1756" s="26">
        <v>0.0</v>
      </c>
    </row>
    <row r="1757">
      <c r="A1757" s="28" t="s">
        <v>1950</v>
      </c>
      <c r="B1757" s="107" t="s">
        <v>2442</v>
      </c>
      <c r="C1757" s="28">
        <v>50.0</v>
      </c>
      <c r="D1757" s="26">
        <v>0.0</v>
      </c>
      <c r="E1757" s="26">
        <v>0.0</v>
      </c>
      <c r="F1757" s="26" t="s">
        <v>2438</v>
      </c>
    </row>
    <row r="1758">
      <c r="A1758" s="28" t="s">
        <v>1951</v>
      </c>
      <c r="B1758" s="107" t="s">
        <v>2515</v>
      </c>
      <c r="C1758" s="28">
        <v>5.0</v>
      </c>
      <c r="D1758" s="29">
        <v>1450000.0</v>
      </c>
      <c r="E1758" s="26">
        <v>0.0</v>
      </c>
    </row>
    <row r="1759">
      <c r="A1759" s="28" t="s">
        <v>1951</v>
      </c>
      <c r="B1759" s="107" t="s">
        <v>2516</v>
      </c>
      <c r="C1759" s="28">
        <v>2.0</v>
      </c>
      <c r="D1759" s="29">
        <v>1480000.0</v>
      </c>
      <c r="E1759" s="26">
        <v>0.0</v>
      </c>
    </row>
    <row r="1760">
      <c r="A1760" s="28" t="s">
        <v>1951</v>
      </c>
      <c r="B1760" s="107" t="s">
        <v>2517</v>
      </c>
      <c r="C1760" s="28">
        <v>2.0</v>
      </c>
      <c r="D1760" s="29">
        <v>2380000.0</v>
      </c>
      <c r="E1760" s="26">
        <v>0.0</v>
      </c>
    </row>
    <row r="1761">
      <c r="A1761" s="28" t="s">
        <v>1951</v>
      </c>
      <c r="B1761" s="107" t="s">
        <v>2507</v>
      </c>
      <c r="C1761" s="28">
        <v>240.0</v>
      </c>
      <c r="D1761" s="29">
        <v>45000.0</v>
      </c>
      <c r="E1761" s="26">
        <v>0.0</v>
      </c>
    </row>
    <row r="1762">
      <c r="A1762" s="28" t="s">
        <v>1951</v>
      </c>
      <c r="B1762" s="107" t="s">
        <v>2502</v>
      </c>
      <c r="C1762" s="28">
        <v>120.0</v>
      </c>
      <c r="D1762" s="29">
        <v>40000.0</v>
      </c>
      <c r="E1762" s="26">
        <v>0.0</v>
      </c>
    </row>
    <row r="1763">
      <c r="A1763" s="28" t="s">
        <v>1952</v>
      </c>
      <c r="B1763" s="107" t="s">
        <v>2502</v>
      </c>
      <c r="C1763" s="28">
        <v>1.0</v>
      </c>
      <c r="D1763" s="26">
        <v>0.0</v>
      </c>
      <c r="E1763" s="26">
        <v>0.0</v>
      </c>
      <c r="F1763" s="26" t="s">
        <v>1522</v>
      </c>
    </row>
    <row r="1764">
      <c r="A1764" s="28" t="s">
        <v>1952</v>
      </c>
      <c r="B1764" s="107" t="s">
        <v>2512</v>
      </c>
      <c r="C1764" s="28">
        <v>1.0</v>
      </c>
      <c r="D1764" s="26">
        <v>0.0</v>
      </c>
      <c r="E1764" s="26">
        <v>0.0</v>
      </c>
      <c r="F1764" s="26" t="s">
        <v>1522</v>
      </c>
    </row>
    <row r="1765">
      <c r="A1765" s="28" t="s">
        <v>1952</v>
      </c>
      <c r="B1765" s="107" t="s">
        <v>2507</v>
      </c>
      <c r="C1765" s="28">
        <v>1.0</v>
      </c>
      <c r="D1765" s="26">
        <v>0.0</v>
      </c>
      <c r="E1765" s="26">
        <v>0.0</v>
      </c>
      <c r="F1765" s="26" t="s">
        <v>1522</v>
      </c>
    </row>
    <row r="1766">
      <c r="A1766" s="28" t="s">
        <v>1952</v>
      </c>
      <c r="B1766" s="107" t="s">
        <v>2503</v>
      </c>
      <c r="C1766" s="28">
        <v>1.0</v>
      </c>
      <c r="D1766" s="26">
        <v>0.0</v>
      </c>
      <c r="E1766" s="26">
        <v>0.0</v>
      </c>
      <c r="F1766" s="26" t="s">
        <v>1522</v>
      </c>
    </row>
    <row r="1767">
      <c r="A1767" s="28" t="s">
        <v>1952</v>
      </c>
      <c r="B1767" s="107" t="s">
        <v>2504</v>
      </c>
      <c r="C1767" s="28">
        <v>1.0</v>
      </c>
      <c r="D1767" s="26">
        <v>0.0</v>
      </c>
      <c r="E1767" s="26">
        <v>0.0</v>
      </c>
      <c r="F1767" s="26" t="s">
        <v>1522</v>
      </c>
    </row>
    <row r="1768">
      <c r="A1768" s="28" t="s">
        <v>1952</v>
      </c>
      <c r="B1768" s="107" t="s">
        <v>2514</v>
      </c>
      <c r="C1768" s="28">
        <v>1.0</v>
      </c>
      <c r="D1768" s="26">
        <v>0.0</v>
      </c>
      <c r="E1768" s="26">
        <v>0.0</v>
      </c>
      <c r="F1768" s="26" t="s">
        <v>1522</v>
      </c>
    </row>
    <row r="1769">
      <c r="A1769" s="28" t="s">
        <v>1953</v>
      </c>
      <c r="B1769" s="107" t="s">
        <v>2429</v>
      </c>
      <c r="C1769" s="28">
        <v>48.0</v>
      </c>
      <c r="D1769" s="106">
        <v>45000.0</v>
      </c>
      <c r="E1769" s="26">
        <v>0.0</v>
      </c>
    </row>
    <row r="1770">
      <c r="A1770" s="28" t="s">
        <v>1953</v>
      </c>
      <c r="B1770" s="107" t="s">
        <v>2478</v>
      </c>
      <c r="C1770" s="28">
        <v>24.0</v>
      </c>
      <c r="D1770" s="106">
        <v>45000.0</v>
      </c>
      <c r="E1770" s="26">
        <v>0.0</v>
      </c>
    </row>
    <row r="1771">
      <c r="A1771" s="28" t="s">
        <v>1953</v>
      </c>
      <c r="B1771" s="107" t="s">
        <v>2504</v>
      </c>
      <c r="C1771" s="28">
        <v>1.0</v>
      </c>
      <c r="D1771" s="26">
        <v>0.0</v>
      </c>
      <c r="E1771" s="26">
        <v>0.0</v>
      </c>
      <c r="F1771" s="26" t="s">
        <v>2438</v>
      </c>
    </row>
    <row r="1772">
      <c r="A1772" s="28" t="s">
        <v>1953</v>
      </c>
      <c r="B1772" s="107" t="s">
        <v>2502</v>
      </c>
      <c r="C1772" s="28">
        <v>1.0</v>
      </c>
      <c r="D1772" s="26">
        <v>0.0</v>
      </c>
      <c r="E1772" s="26">
        <v>0.0</v>
      </c>
      <c r="F1772" s="26" t="s">
        <v>2438</v>
      </c>
    </row>
    <row r="1773">
      <c r="A1773" s="28" t="s">
        <v>1954</v>
      </c>
      <c r="B1773" s="107" t="s">
        <v>2429</v>
      </c>
      <c r="C1773" s="28">
        <v>48.0</v>
      </c>
      <c r="D1773" s="106">
        <v>45000.0</v>
      </c>
      <c r="E1773" s="26">
        <v>0.0</v>
      </c>
    </row>
    <row r="1774">
      <c r="A1774" s="28" t="s">
        <v>1955</v>
      </c>
      <c r="B1774" s="107" t="s">
        <v>2502</v>
      </c>
      <c r="C1774" s="28">
        <v>24.0</v>
      </c>
      <c r="D1774" s="26">
        <v>0.0</v>
      </c>
      <c r="E1774" s="26">
        <v>0.0</v>
      </c>
      <c r="F1774" s="26" t="s">
        <v>2436</v>
      </c>
    </row>
    <row r="1775">
      <c r="A1775" s="28" t="s">
        <v>1955</v>
      </c>
      <c r="B1775" s="28" t="s">
        <v>2486</v>
      </c>
      <c r="C1775" s="28">
        <v>50.0</v>
      </c>
      <c r="D1775" s="26">
        <v>0.0</v>
      </c>
      <c r="E1775" s="26">
        <v>0.0</v>
      </c>
      <c r="F1775" s="26" t="s">
        <v>2438</v>
      </c>
    </row>
    <row r="1776">
      <c r="A1776" s="28" t="s">
        <v>1956</v>
      </c>
      <c r="B1776" s="28" t="s">
        <v>2434</v>
      </c>
      <c r="C1776" s="28">
        <v>1.0</v>
      </c>
      <c r="D1776" s="106">
        <v>1350000.0</v>
      </c>
      <c r="E1776" s="26">
        <v>0.0</v>
      </c>
    </row>
    <row r="1777">
      <c r="A1777" s="28" t="s">
        <v>1956</v>
      </c>
      <c r="B1777" s="28" t="s">
        <v>2486</v>
      </c>
      <c r="C1777" s="28">
        <v>50.0</v>
      </c>
      <c r="D1777" s="26">
        <v>0.0</v>
      </c>
      <c r="E1777" s="26">
        <v>0.0</v>
      </c>
      <c r="F1777" s="26" t="s">
        <v>2438</v>
      </c>
    </row>
    <row r="1778">
      <c r="A1778" s="28" t="s">
        <v>1957</v>
      </c>
      <c r="B1778" s="28" t="s">
        <v>2433</v>
      </c>
      <c r="C1778" s="28">
        <v>1.0</v>
      </c>
      <c r="D1778" s="106">
        <v>1450000.0</v>
      </c>
      <c r="E1778" s="26">
        <v>0.0</v>
      </c>
    </row>
    <row r="1779">
      <c r="A1779" s="28" t="s">
        <v>1957</v>
      </c>
      <c r="B1779" s="28" t="s">
        <v>2434</v>
      </c>
      <c r="C1779" s="28">
        <v>1.0</v>
      </c>
      <c r="D1779" s="106">
        <v>1350000.0</v>
      </c>
      <c r="E1779" s="26">
        <v>0.0</v>
      </c>
    </row>
    <row r="1780">
      <c r="A1780" s="28" t="s">
        <v>1958</v>
      </c>
      <c r="B1780" s="107" t="s">
        <v>2431</v>
      </c>
      <c r="C1780" s="28">
        <v>1.0</v>
      </c>
      <c r="D1780" s="106">
        <v>2380000.0</v>
      </c>
      <c r="E1780" s="26">
        <v>0.0</v>
      </c>
    </row>
    <row r="1781">
      <c r="A1781" s="28" t="s">
        <v>1958</v>
      </c>
      <c r="B1781" s="107" t="s">
        <v>2488</v>
      </c>
      <c r="C1781" s="28">
        <v>1.0</v>
      </c>
      <c r="D1781" s="106">
        <v>2500000.0</v>
      </c>
      <c r="E1781" s="26">
        <v>0.0</v>
      </c>
    </row>
    <row r="1782">
      <c r="A1782" s="28" t="s">
        <v>1958</v>
      </c>
      <c r="B1782" s="107" t="s">
        <v>2518</v>
      </c>
      <c r="C1782" s="28">
        <v>1.0</v>
      </c>
      <c r="D1782" s="26">
        <v>0.0</v>
      </c>
      <c r="E1782" s="26">
        <v>0.0</v>
      </c>
      <c r="F1782" s="26" t="s">
        <v>2436</v>
      </c>
    </row>
    <row r="1783">
      <c r="A1783" s="28" t="s">
        <v>1958</v>
      </c>
      <c r="B1783" s="107" t="s">
        <v>2486</v>
      </c>
      <c r="C1783" s="28">
        <v>50.0</v>
      </c>
      <c r="D1783" s="26">
        <v>0.0</v>
      </c>
      <c r="E1783" s="26">
        <v>0.0</v>
      </c>
      <c r="F1783" s="26" t="s">
        <v>2438</v>
      </c>
    </row>
    <row r="1784">
      <c r="A1784" s="28" t="s">
        <v>1959</v>
      </c>
      <c r="B1784" s="107" t="s">
        <v>2476</v>
      </c>
      <c r="C1784" s="28">
        <v>48.0</v>
      </c>
      <c r="D1784" s="106">
        <v>60000.0</v>
      </c>
      <c r="E1784" s="26">
        <v>0.0</v>
      </c>
    </row>
    <row r="1785">
      <c r="A1785" s="28" t="s">
        <v>1960</v>
      </c>
      <c r="B1785" s="107" t="s">
        <v>2433</v>
      </c>
      <c r="C1785" s="28">
        <v>1.0</v>
      </c>
      <c r="D1785" s="106">
        <v>1450000.0</v>
      </c>
      <c r="E1785" s="29">
        <v>290000.0</v>
      </c>
    </row>
    <row r="1786">
      <c r="A1786" s="28" t="s">
        <v>1960</v>
      </c>
      <c r="B1786" s="107" t="s">
        <v>2432</v>
      </c>
      <c r="C1786" s="28">
        <v>1.0</v>
      </c>
      <c r="D1786" s="106">
        <v>1480000.0</v>
      </c>
      <c r="E1786" s="29">
        <v>296000.0</v>
      </c>
    </row>
    <row r="1787">
      <c r="A1787" s="28" t="s">
        <v>1961</v>
      </c>
      <c r="B1787" s="107" t="s">
        <v>2512</v>
      </c>
      <c r="C1787" s="28">
        <v>2.0</v>
      </c>
      <c r="D1787" s="26">
        <v>0.0</v>
      </c>
      <c r="E1787" s="26">
        <v>0.0</v>
      </c>
      <c r="F1787" s="26" t="s">
        <v>1522</v>
      </c>
    </row>
    <row r="1788">
      <c r="A1788" s="28" t="s">
        <v>1961</v>
      </c>
      <c r="B1788" s="107" t="s">
        <v>2511</v>
      </c>
      <c r="C1788" s="28">
        <v>2.0</v>
      </c>
      <c r="D1788" s="26">
        <v>0.0</v>
      </c>
      <c r="E1788" s="26">
        <v>0.0</v>
      </c>
      <c r="F1788" s="26" t="s">
        <v>1522</v>
      </c>
    </row>
    <row r="1789">
      <c r="A1789" s="28" t="s">
        <v>1961</v>
      </c>
      <c r="B1789" s="107" t="s">
        <v>2510</v>
      </c>
      <c r="C1789" s="28">
        <v>2.0</v>
      </c>
      <c r="D1789" s="26">
        <v>0.0</v>
      </c>
      <c r="E1789" s="26">
        <v>0.0</v>
      </c>
      <c r="F1789" s="26" t="s">
        <v>1522</v>
      </c>
    </row>
    <row r="1790">
      <c r="A1790" s="28" t="s">
        <v>1961</v>
      </c>
      <c r="B1790" s="107" t="s">
        <v>2507</v>
      </c>
      <c r="C1790" s="28">
        <v>2.0</v>
      </c>
      <c r="D1790" s="26">
        <v>0.0</v>
      </c>
      <c r="E1790" s="26">
        <v>0.0</v>
      </c>
      <c r="F1790" s="26" t="s">
        <v>1522</v>
      </c>
    </row>
    <row r="1791">
      <c r="A1791" s="28" t="s">
        <v>1961</v>
      </c>
      <c r="B1791" s="107" t="s">
        <v>2503</v>
      </c>
      <c r="C1791" s="28">
        <v>2.0</v>
      </c>
      <c r="D1791" s="26">
        <v>0.0</v>
      </c>
      <c r="E1791" s="26">
        <v>0.0</v>
      </c>
      <c r="F1791" s="26" t="s">
        <v>1522</v>
      </c>
    </row>
    <row r="1792">
      <c r="A1792" s="28" t="s">
        <v>1961</v>
      </c>
      <c r="B1792" s="107" t="s">
        <v>2513</v>
      </c>
      <c r="C1792" s="28">
        <v>2.0</v>
      </c>
      <c r="D1792" s="26">
        <v>0.0</v>
      </c>
      <c r="E1792" s="26">
        <v>0.0</v>
      </c>
      <c r="F1792" s="26" t="s">
        <v>1522</v>
      </c>
    </row>
    <row r="1793">
      <c r="A1793" s="28" t="s">
        <v>1961</v>
      </c>
      <c r="B1793" s="107" t="s">
        <v>2502</v>
      </c>
      <c r="C1793" s="28">
        <v>2.0</v>
      </c>
      <c r="D1793" s="26">
        <v>0.0</v>
      </c>
      <c r="E1793" s="26">
        <v>0.0</v>
      </c>
      <c r="F1793" s="26" t="s">
        <v>1522</v>
      </c>
    </row>
    <row r="1794">
      <c r="A1794" s="28" t="s">
        <v>1961</v>
      </c>
      <c r="B1794" s="107" t="s">
        <v>2504</v>
      </c>
      <c r="C1794" s="28">
        <v>2.0</v>
      </c>
      <c r="D1794" s="26">
        <v>0.0</v>
      </c>
      <c r="E1794" s="26">
        <v>0.0</v>
      </c>
      <c r="F1794" s="26" t="s">
        <v>1522</v>
      </c>
    </row>
    <row r="1795">
      <c r="A1795" s="28" t="s">
        <v>1961</v>
      </c>
      <c r="B1795" s="107" t="s">
        <v>2505</v>
      </c>
      <c r="C1795" s="28">
        <v>2.0</v>
      </c>
      <c r="D1795" s="26">
        <v>0.0</v>
      </c>
      <c r="E1795" s="26">
        <v>0.0</v>
      </c>
      <c r="F1795" s="26" t="s">
        <v>1522</v>
      </c>
    </row>
    <row r="1796">
      <c r="A1796" s="28" t="s">
        <v>1962</v>
      </c>
      <c r="B1796" s="107" t="s">
        <v>2429</v>
      </c>
      <c r="C1796" s="28">
        <v>48.0</v>
      </c>
      <c r="D1796" s="106">
        <v>45000.0</v>
      </c>
      <c r="E1796" s="26">
        <v>0.0</v>
      </c>
    </row>
    <row r="1797">
      <c r="A1797" s="28" t="s">
        <v>1962</v>
      </c>
      <c r="B1797" s="107" t="s">
        <v>2507</v>
      </c>
      <c r="C1797" s="28">
        <v>24.0</v>
      </c>
      <c r="D1797" s="26">
        <v>0.0</v>
      </c>
      <c r="E1797" s="26">
        <v>0.0</v>
      </c>
      <c r="F1797" s="26" t="s">
        <v>2436</v>
      </c>
    </row>
    <row r="1798">
      <c r="A1798" s="28" t="s">
        <v>1962</v>
      </c>
      <c r="B1798" s="107" t="s">
        <v>2458</v>
      </c>
      <c r="C1798" s="28">
        <v>10.0</v>
      </c>
      <c r="D1798" s="106">
        <v>60000.0</v>
      </c>
      <c r="E1798" s="26">
        <v>0.0</v>
      </c>
    </row>
    <row r="1799">
      <c r="A1799" s="28" t="s">
        <v>1963</v>
      </c>
      <c r="B1799" s="107" t="s">
        <v>2501</v>
      </c>
      <c r="C1799" s="28">
        <v>1.0</v>
      </c>
      <c r="D1799" s="106">
        <v>2500000.0</v>
      </c>
      <c r="E1799" s="26">
        <v>0.0</v>
      </c>
    </row>
    <row r="1800">
      <c r="A1800" s="28" t="s">
        <v>1963</v>
      </c>
      <c r="B1800" s="107" t="s">
        <v>2442</v>
      </c>
      <c r="C1800" s="28">
        <v>50.0</v>
      </c>
      <c r="D1800" s="26">
        <v>0.0</v>
      </c>
      <c r="E1800" s="26">
        <v>0.0</v>
      </c>
      <c r="F1800" s="26" t="s">
        <v>2438</v>
      </c>
    </row>
    <row r="1801">
      <c r="A1801" s="28" t="s">
        <v>1964</v>
      </c>
      <c r="B1801" s="107" t="s">
        <v>2433</v>
      </c>
      <c r="C1801" s="28">
        <v>1.0</v>
      </c>
      <c r="D1801" s="106">
        <v>1450000.0</v>
      </c>
      <c r="E1801" s="26">
        <v>0.0</v>
      </c>
    </row>
    <row r="1802">
      <c r="A1802" s="28" t="s">
        <v>1965</v>
      </c>
      <c r="B1802" s="107" t="s">
        <v>2502</v>
      </c>
      <c r="C1802" s="28">
        <v>2.0</v>
      </c>
      <c r="D1802" s="26">
        <v>0.0</v>
      </c>
      <c r="E1802" s="26">
        <v>0.0</v>
      </c>
      <c r="F1802" s="26" t="s">
        <v>1522</v>
      </c>
    </row>
    <row r="1803">
      <c r="A1803" s="28" t="s">
        <v>1965</v>
      </c>
      <c r="B1803" s="107" t="s">
        <v>2510</v>
      </c>
      <c r="C1803" s="28">
        <v>2.0</v>
      </c>
      <c r="D1803" s="26">
        <v>0.0</v>
      </c>
      <c r="E1803" s="26">
        <v>0.0</v>
      </c>
      <c r="F1803" s="26" t="s">
        <v>1522</v>
      </c>
    </row>
    <row r="1804">
      <c r="A1804" s="28" t="s">
        <v>1965</v>
      </c>
      <c r="B1804" s="107" t="s">
        <v>2512</v>
      </c>
      <c r="C1804" s="28">
        <v>2.0</v>
      </c>
      <c r="D1804" s="26">
        <v>0.0</v>
      </c>
      <c r="E1804" s="26">
        <v>0.0</v>
      </c>
      <c r="F1804" s="26" t="s">
        <v>1522</v>
      </c>
    </row>
    <row r="1805">
      <c r="A1805" s="28" t="s">
        <v>1965</v>
      </c>
      <c r="B1805" s="107" t="s">
        <v>2511</v>
      </c>
      <c r="C1805" s="28">
        <v>2.0</v>
      </c>
      <c r="D1805" s="26">
        <v>0.0</v>
      </c>
      <c r="E1805" s="26">
        <v>0.0</v>
      </c>
      <c r="F1805" s="26" t="s">
        <v>1522</v>
      </c>
    </row>
    <row r="1806">
      <c r="A1806" s="28" t="s">
        <v>1965</v>
      </c>
      <c r="B1806" s="107" t="s">
        <v>2507</v>
      </c>
      <c r="C1806" s="28">
        <v>2.0</v>
      </c>
      <c r="D1806" s="26">
        <v>0.0</v>
      </c>
      <c r="E1806" s="26">
        <v>0.0</v>
      </c>
      <c r="F1806" s="26" t="s">
        <v>1522</v>
      </c>
    </row>
    <row r="1807">
      <c r="A1807" s="28" t="s">
        <v>1965</v>
      </c>
      <c r="B1807" s="107" t="s">
        <v>2503</v>
      </c>
      <c r="C1807" s="28">
        <v>2.0</v>
      </c>
      <c r="D1807" s="26">
        <v>0.0</v>
      </c>
      <c r="E1807" s="26">
        <v>0.0</v>
      </c>
      <c r="F1807" s="26" t="s">
        <v>1522</v>
      </c>
    </row>
    <row r="1808">
      <c r="A1808" s="28" t="s">
        <v>1967</v>
      </c>
      <c r="B1808" s="28" t="s">
        <v>2483</v>
      </c>
      <c r="C1808" s="28">
        <v>6.0</v>
      </c>
      <c r="D1808" s="106">
        <v>60000.0</v>
      </c>
      <c r="E1808" s="26">
        <v>0.0</v>
      </c>
    </row>
    <row r="1809">
      <c r="A1809" s="28" t="s">
        <v>1967</v>
      </c>
      <c r="B1809" s="28" t="s">
        <v>2426</v>
      </c>
      <c r="C1809" s="28">
        <v>6.0</v>
      </c>
      <c r="D1809" s="106">
        <v>55000.0</v>
      </c>
      <c r="E1809" s="26">
        <v>0.0</v>
      </c>
    </row>
    <row r="1810">
      <c r="A1810" s="28" t="s">
        <v>1967</v>
      </c>
      <c r="B1810" s="28" t="s">
        <v>2430</v>
      </c>
      <c r="C1810" s="28">
        <v>6.0</v>
      </c>
      <c r="D1810" s="106">
        <v>45000.0</v>
      </c>
      <c r="E1810" s="26">
        <v>0.0</v>
      </c>
    </row>
    <row r="1811">
      <c r="A1811" s="28" t="s">
        <v>1967</v>
      </c>
      <c r="B1811" s="28" t="s">
        <v>2429</v>
      </c>
      <c r="C1811" s="28">
        <v>6.0</v>
      </c>
      <c r="D1811" s="106">
        <v>45000.0</v>
      </c>
      <c r="E1811" s="26">
        <v>0.0</v>
      </c>
    </row>
    <row r="1812">
      <c r="A1812" s="28" t="s">
        <v>1967</v>
      </c>
      <c r="B1812" s="28" t="s">
        <v>2442</v>
      </c>
      <c r="C1812" s="28">
        <v>50.0</v>
      </c>
      <c r="D1812" s="26">
        <v>0.0</v>
      </c>
      <c r="E1812" s="26">
        <v>0.0</v>
      </c>
      <c r="F1812" s="26" t="s">
        <v>2438</v>
      </c>
    </row>
    <row r="1813">
      <c r="A1813" s="28" t="s">
        <v>1967</v>
      </c>
      <c r="B1813" s="28" t="s">
        <v>2484</v>
      </c>
      <c r="C1813" s="28">
        <v>1.0</v>
      </c>
      <c r="D1813" s="26">
        <v>0.0</v>
      </c>
      <c r="E1813" s="26">
        <v>0.0</v>
      </c>
      <c r="F1813" s="26" t="s">
        <v>2438</v>
      </c>
    </row>
    <row r="1814">
      <c r="A1814" s="28" t="s">
        <v>1968</v>
      </c>
      <c r="B1814" s="107" t="s">
        <v>2429</v>
      </c>
      <c r="C1814" s="28">
        <v>24.0</v>
      </c>
      <c r="D1814" s="106">
        <v>45000.0</v>
      </c>
      <c r="E1814" s="26">
        <v>0.0</v>
      </c>
    </row>
    <row r="1815">
      <c r="A1815" s="28" t="s">
        <v>1969</v>
      </c>
      <c r="B1815" s="107" t="s">
        <v>2502</v>
      </c>
      <c r="C1815" s="28">
        <v>24.0</v>
      </c>
      <c r="D1815" s="26">
        <v>0.0</v>
      </c>
      <c r="E1815" s="26">
        <v>0.0</v>
      </c>
      <c r="F1815" s="26" t="s">
        <v>2436</v>
      </c>
    </row>
    <row r="1816">
      <c r="A1816" s="28" t="s">
        <v>1969</v>
      </c>
      <c r="B1816" s="107" t="s">
        <v>2504</v>
      </c>
      <c r="C1816" s="28">
        <v>12.0</v>
      </c>
      <c r="D1816" s="26">
        <v>0.0</v>
      </c>
      <c r="E1816" s="26">
        <v>0.0</v>
      </c>
      <c r="F1816" s="26" t="s">
        <v>2436</v>
      </c>
    </row>
    <row r="1817">
      <c r="A1817" s="28" t="s">
        <v>1969</v>
      </c>
      <c r="B1817" s="107" t="s">
        <v>2505</v>
      </c>
      <c r="C1817" s="28">
        <v>12.0</v>
      </c>
      <c r="D1817" s="26">
        <v>0.0</v>
      </c>
      <c r="E1817" s="26">
        <v>0.0</v>
      </c>
      <c r="F1817" s="26" t="s">
        <v>2436</v>
      </c>
    </row>
    <row r="1818">
      <c r="A1818" s="28" t="s">
        <v>1971</v>
      </c>
      <c r="B1818" s="107" t="s">
        <v>2430</v>
      </c>
      <c r="C1818" s="28">
        <v>24.0</v>
      </c>
      <c r="D1818" s="106">
        <v>45000.0</v>
      </c>
      <c r="E1818" s="26">
        <v>0.0</v>
      </c>
    </row>
    <row r="1819">
      <c r="A1819" s="28" t="s">
        <v>1971</v>
      </c>
      <c r="B1819" s="107" t="s">
        <v>2442</v>
      </c>
      <c r="C1819" s="28">
        <v>50.0</v>
      </c>
      <c r="D1819" s="26">
        <v>0.0</v>
      </c>
      <c r="E1819" s="26">
        <v>0.0</v>
      </c>
      <c r="F1819" s="26" t="s">
        <v>2438</v>
      </c>
    </row>
    <row r="1820">
      <c r="A1820" s="28" t="s">
        <v>1972</v>
      </c>
      <c r="B1820" s="107" t="s">
        <v>2485</v>
      </c>
      <c r="C1820" s="28">
        <v>1.0</v>
      </c>
      <c r="D1820" s="26">
        <v>0.0</v>
      </c>
      <c r="E1820" s="26">
        <v>0.0</v>
      </c>
      <c r="F1820" s="26" t="s">
        <v>2438</v>
      </c>
    </row>
    <row r="1821">
      <c r="A1821" s="28" t="s">
        <v>1973</v>
      </c>
      <c r="B1821" s="107" t="s">
        <v>2433</v>
      </c>
      <c r="C1821" s="28">
        <v>1.0</v>
      </c>
      <c r="D1821" s="106">
        <v>1450000.0</v>
      </c>
      <c r="E1821" s="26">
        <v>0.0</v>
      </c>
    </row>
    <row r="1822">
      <c r="A1822" s="28" t="s">
        <v>1974</v>
      </c>
      <c r="B1822" s="28" t="s">
        <v>2458</v>
      </c>
      <c r="C1822" s="28">
        <v>6.0</v>
      </c>
      <c r="D1822" s="106">
        <v>60000.0</v>
      </c>
      <c r="E1822" s="26">
        <v>0.0</v>
      </c>
    </row>
    <row r="1823">
      <c r="A1823" s="28" t="s">
        <v>1974</v>
      </c>
      <c r="B1823" s="28" t="s">
        <v>2483</v>
      </c>
      <c r="C1823" s="28">
        <v>6.0</v>
      </c>
      <c r="D1823" s="106">
        <v>60000.0</v>
      </c>
      <c r="E1823" s="26">
        <v>0.0</v>
      </c>
    </row>
    <row r="1824">
      <c r="A1824" s="28" t="s">
        <v>1974</v>
      </c>
      <c r="B1824" s="28" t="s">
        <v>2430</v>
      </c>
      <c r="C1824" s="28">
        <v>1.0</v>
      </c>
      <c r="D1824" s="106">
        <v>45000.0</v>
      </c>
      <c r="E1824" s="26">
        <v>0.0</v>
      </c>
    </row>
    <row r="1825">
      <c r="A1825" s="28" t="s">
        <v>1974</v>
      </c>
      <c r="B1825" s="28" t="s">
        <v>2435</v>
      </c>
      <c r="C1825" s="28">
        <v>1.0</v>
      </c>
      <c r="D1825" s="106">
        <v>40000.0</v>
      </c>
      <c r="E1825" s="26">
        <v>0.0</v>
      </c>
    </row>
    <row r="1826">
      <c r="A1826" s="28" t="s">
        <v>1974</v>
      </c>
      <c r="B1826" s="28" t="s">
        <v>2426</v>
      </c>
      <c r="C1826" s="28">
        <v>1.0</v>
      </c>
      <c r="D1826" s="106">
        <v>55000.0</v>
      </c>
      <c r="E1826" s="26">
        <v>0.0</v>
      </c>
    </row>
    <row r="1827">
      <c r="A1827" s="28" t="s">
        <v>1974</v>
      </c>
      <c r="B1827" s="28" t="s">
        <v>2429</v>
      </c>
      <c r="C1827" s="28">
        <v>9.0</v>
      </c>
      <c r="D1827" s="106">
        <v>45000.0</v>
      </c>
      <c r="E1827" s="26">
        <v>0.0</v>
      </c>
    </row>
    <row r="1828">
      <c r="A1828" s="28" t="s">
        <v>1976</v>
      </c>
      <c r="B1828" s="107" t="s">
        <v>2434</v>
      </c>
      <c r="C1828" s="28">
        <v>1.0</v>
      </c>
      <c r="D1828" s="106">
        <v>1350000.0</v>
      </c>
      <c r="E1828" s="26">
        <v>0.0</v>
      </c>
    </row>
    <row r="1829">
      <c r="A1829" s="28" t="s">
        <v>1977</v>
      </c>
      <c r="B1829" s="107" t="s">
        <v>2429</v>
      </c>
      <c r="C1829" s="28">
        <v>48.0</v>
      </c>
      <c r="D1829" s="106">
        <v>45000.0</v>
      </c>
      <c r="E1829" s="26">
        <v>0.0</v>
      </c>
    </row>
    <row r="1830">
      <c r="A1830" s="28" t="s">
        <v>1978</v>
      </c>
      <c r="B1830" s="107" t="s">
        <v>2503</v>
      </c>
      <c r="C1830" s="28">
        <v>6.0</v>
      </c>
      <c r="D1830" s="29">
        <v>0.0</v>
      </c>
      <c r="E1830" s="26">
        <v>0.0</v>
      </c>
      <c r="F1830" s="26" t="s">
        <v>1522</v>
      </c>
    </row>
    <row r="1831">
      <c r="A1831" s="28" t="s">
        <v>1978</v>
      </c>
      <c r="B1831" s="107" t="s">
        <v>2507</v>
      </c>
      <c r="C1831" s="28">
        <v>6.0</v>
      </c>
      <c r="D1831" s="29">
        <v>0.0</v>
      </c>
      <c r="E1831" s="26">
        <v>0.0</v>
      </c>
      <c r="F1831" s="26" t="s">
        <v>1522</v>
      </c>
    </row>
    <row r="1832">
      <c r="A1832" s="28" t="s">
        <v>1978</v>
      </c>
      <c r="B1832" s="107" t="s">
        <v>2511</v>
      </c>
      <c r="C1832" s="28">
        <v>6.0</v>
      </c>
      <c r="D1832" s="29">
        <v>0.0</v>
      </c>
      <c r="E1832" s="26">
        <v>0.0</v>
      </c>
      <c r="F1832" s="26" t="s">
        <v>1522</v>
      </c>
    </row>
    <row r="1833">
      <c r="A1833" s="28" t="s">
        <v>1978</v>
      </c>
      <c r="B1833" s="107" t="s">
        <v>2512</v>
      </c>
      <c r="C1833" s="28">
        <v>4.0</v>
      </c>
      <c r="D1833" s="29">
        <v>0.0</v>
      </c>
      <c r="E1833" s="26">
        <v>0.0</v>
      </c>
      <c r="F1833" s="26" t="s">
        <v>1522</v>
      </c>
    </row>
    <row r="1834">
      <c r="A1834" s="28" t="s">
        <v>1978</v>
      </c>
      <c r="B1834" s="107" t="s">
        <v>2505</v>
      </c>
      <c r="C1834" s="28">
        <v>2.0</v>
      </c>
      <c r="D1834" s="29">
        <v>0.0</v>
      </c>
      <c r="E1834" s="26">
        <v>0.0</v>
      </c>
      <c r="F1834" s="26" t="s">
        <v>1522</v>
      </c>
    </row>
    <row r="1835">
      <c r="A1835" s="28" t="s">
        <v>1978</v>
      </c>
      <c r="B1835" s="107" t="s">
        <v>2502</v>
      </c>
      <c r="C1835" s="28">
        <v>24.0</v>
      </c>
      <c r="D1835" s="29">
        <v>0.0</v>
      </c>
      <c r="E1835" s="26">
        <v>0.0</v>
      </c>
      <c r="F1835" s="26" t="s">
        <v>1522</v>
      </c>
    </row>
    <row r="1836">
      <c r="A1836" s="28" t="s">
        <v>1979</v>
      </c>
      <c r="B1836" s="28" t="s">
        <v>2435</v>
      </c>
      <c r="C1836" s="28">
        <v>10.0</v>
      </c>
      <c r="D1836" s="106">
        <v>40000.0</v>
      </c>
      <c r="E1836" s="26">
        <v>0.0</v>
      </c>
    </row>
    <row r="1837">
      <c r="A1837" s="28" t="s">
        <v>1979</v>
      </c>
      <c r="B1837" s="28" t="s">
        <v>2429</v>
      </c>
      <c r="C1837" s="28">
        <v>10.0</v>
      </c>
      <c r="D1837" s="106">
        <v>45000.0</v>
      </c>
      <c r="E1837" s="26">
        <v>0.0</v>
      </c>
    </row>
    <row r="1838">
      <c r="A1838" s="28" t="s">
        <v>1979</v>
      </c>
      <c r="B1838" s="28" t="s">
        <v>2430</v>
      </c>
      <c r="C1838" s="28">
        <v>10.0</v>
      </c>
      <c r="D1838" s="106">
        <v>45000.0</v>
      </c>
      <c r="E1838" s="26">
        <v>0.0</v>
      </c>
    </row>
    <row r="1839">
      <c r="A1839" s="28" t="s">
        <v>1979</v>
      </c>
      <c r="B1839" s="28" t="s">
        <v>2426</v>
      </c>
      <c r="C1839" s="28">
        <v>20.0</v>
      </c>
      <c r="D1839" s="106">
        <v>55000.0</v>
      </c>
      <c r="E1839" s="26">
        <v>0.0</v>
      </c>
    </row>
    <row r="1840">
      <c r="A1840" s="28" t="s">
        <v>1979</v>
      </c>
      <c r="B1840" s="28" t="s">
        <v>2483</v>
      </c>
      <c r="C1840" s="28">
        <v>10.0</v>
      </c>
      <c r="D1840" s="106">
        <v>60000.0</v>
      </c>
      <c r="E1840" s="26">
        <v>0.0</v>
      </c>
    </row>
    <row r="1841">
      <c r="A1841" s="28" t="s">
        <v>1979</v>
      </c>
      <c r="B1841" s="28" t="s">
        <v>2442</v>
      </c>
      <c r="C1841" s="28">
        <v>50.0</v>
      </c>
      <c r="D1841" s="26">
        <v>0.0</v>
      </c>
      <c r="E1841" s="26">
        <v>0.0</v>
      </c>
      <c r="F1841" s="26" t="s">
        <v>2438</v>
      </c>
    </row>
    <row r="1842">
      <c r="A1842" s="28" t="s">
        <v>1979</v>
      </c>
      <c r="B1842" s="28" t="s">
        <v>2486</v>
      </c>
      <c r="C1842" s="28">
        <v>50.0</v>
      </c>
      <c r="D1842" s="26">
        <v>0.0</v>
      </c>
      <c r="E1842" s="26">
        <v>0.0</v>
      </c>
      <c r="F1842" s="26" t="s">
        <v>2438</v>
      </c>
    </row>
    <row r="1843">
      <c r="A1843" s="28" t="s">
        <v>1979</v>
      </c>
      <c r="B1843" s="28" t="s">
        <v>2437</v>
      </c>
      <c r="C1843" s="28">
        <v>6.0</v>
      </c>
      <c r="D1843" s="26">
        <v>0.0</v>
      </c>
      <c r="E1843" s="26">
        <v>0.0</v>
      </c>
      <c r="F1843" s="26" t="s">
        <v>2438</v>
      </c>
    </row>
    <row r="1844">
      <c r="A1844" s="28" t="s">
        <v>1980</v>
      </c>
      <c r="B1844" s="28" t="s">
        <v>2431</v>
      </c>
      <c r="C1844" s="28">
        <v>1.0</v>
      </c>
      <c r="D1844" s="106">
        <v>2380000.0</v>
      </c>
      <c r="E1844" s="26">
        <v>0.0</v>
      </c>
    </row>
    <row r="1845">
      <c r="A1845" s="28" t="s">
        <v>1980</v>
      </c>
      <c r="B1845" s="28" t="s">
        <v>2433</v>
      </c>
      <c r="C1845" s="28">
        <v>1.0</v>
      </c>
      <c r="D1845" s="106">
        <v>1450000.0</v>
      </c>
      <c r="E1845" s="26">
        <v>0.0</v>
      </c>
    </row>
    <row r="1846">
      <c r="A1846" s="28" t="s">
        <v>1980</v>
      </c>
      <c r="B1846" s="28" t="s">
        <v>2442</v>
      </c>
      <c r="C1846" s="28">
        <v>50.0</v>
      </c>
      <c r="D1846" s="26">
        <v>0.0</v>
      </c>
      <c r="E1846" s="26">
        <v>0.0</v>
      </c>
      <c r="F1846" s="26" t="s">
        <v>2438</v>
      </c>
    </row>
    <row r="1847">
      <c r="A1847" s="28" t="s">
        <v>1981</v>
      </c>
      <c r="B1847" s="107" t="s">
        <v>2510</v>
      </c>
      <c r="C1847" s="28">
        <v>120.0</v>
      </c>
      <c r="D1847" s="29">
        <v>45000.0</v>
      </c>
      <c r="E1847" s="26">
        <v>0.0</v>
      </c>
    </row>
    <row r="1848">
      <c r="A1848" s="28" t="s">
        <v>1981</v>
      </c>
      <c r="B1848" s="107" t="s">
        <v>2502</v>
      </c>
      <c r="C1848" s="28">
        <v>240.0</v>
      </c>
      <c r="D1848" s="29">
        <v>40000.0</v>
      </c>
      <c r="E1848" s="26">
        <v>0.0</v>
      </c>
    </row>
    <row r="1849">
      <c r="A1849" s="28" t="s">
        <v>1981</v>
      </c>
      <c r="B1849" s="107" t="s">
        <v>2507</v>
      </c>
      <c r="C1849" s="28">
        <v>240.0</v>
      </c>
      <c r="D1849" s="29">
        <v>45000.0</v>
      </c>
      <c r="E1849" s="26">
        <v>0.0</v>
      </c>
    </row>
    <row r="1850">
      <c r="A1850" s="28" t="s">
        <v>1981</v>
      </c>
      <c r="B1850" s="107" t="s">
        <v>2519</v>
      </c>
      <c r="C1850" s="28">
        <v>5.0</v>
      </c>
      <c r="D1850" s="29">
        <v>1875000.0</v>
      </c>
      <c r="E1850" s="26">
        <v>0.0</v>
      </c>
    </row>
    <row r="1851">
      <c r="A1851" s="28" t="s">
        <v>1981</v>
      </c>
      <c r="B1851" s="107" t="s">
        <v>2516</v>
      </c>
      <c r="C1851" s="28">
        <v>12.0</v>
      </c>
      <c r="D1851" s="29">
        <v>1480000.0</v>
      </c>
      <c r="E1851" s="26">
        <v>0.0</v>
      </c>
    </row>
    <row r="1852">
      <c r="A1852" s="28" t="s">
        <v>1981</v>
      </c>
      <c r="B1852" s="107" t="s">
        <v>2520</v>
      </c>
      <c r="C1852" s="28">
        <v>3.0</v>
      </c>
      <c r="D1852" s="29">
        <v>1790000.0</v>
      </c>
      <c r="E1852" s="26">
        <v>0.0</v>
      </c>
    </row>
    <row r="1853">
      <c r="A1853" s="28" t="s">
        <v>1981</v>
      </c>
      <c r="B1853" s="107" t="s">
        <v>2515</v>
      </c>
      <c r="C1853" s="28">
        <v>5.0</v>
      </c>
      <c r="D1853" s="29">
        <v>1450000.0</v>
      </c>
      <c r="E1853" s="26">
        <v>0.0</v>
      </c>
    </row>
    <row r="1854">
      <c r="A1854" s="28" t="s">
        <v>1981</v>
      </c>
      <c r="B1854" s="107" t="s">
        <v>2517</v>
      </c>
      <c r="C1854" s="28">
        <v>7.0</v>
      </c>
      <c r="D1854" s="29">
        <v>2380000.0</v>
      </c>
      <c r="E1854" s="26">
        <v>0.0</v>
      </c>
    </row>
    <row r="1855">
      <c r="A1855" s="28" t="s">
        <v>1981</v>
      </c>
      <c r="B1855" s="107" t="s">
        <v>2486</v>
      </c>
      <c r="C1855" s="28">
        <v>500.0</v>
      </c>
      <c r="D1855" s="26">
        <v>0.0</v>
      </c>
      <c r="E1855" s="26">
        <v>0.0</v>
      </c>
      <c r="F1855" s="26" t="s">
        <v>2438</v>
      </c>
    </row>
    <row r="1856">
      <c r="A1856" s="28" t="s">
        <v>1982</v>
      </c>
      <c r="B1856" s="28" t="s">
        <v>2426</v>
      </c>
      <c r="C1856" s="28">
        <v>24.0</v>
      </c>
      <c r="D1856" s="106">
        <v>55000.0</v>
      </c>
      <c r="E1856" s="26">
        <v>0.0</v>
      </c>
    </row>
    <row r="1857">
      <c r="A1857" s="28" t="s">
        <v>1982</v>
      </c>
      <c r="B1857" s="28" t="s">
        <v>2429</v>
      </c>
      <c r="C1857" s="28">
        <v>48.0</v>
      </c>
      <c r="D1857" s="106">
        <v>45000.0</v>
      </c>
      <c r="E1857" s="26">
        <v>0.0</v>
      </c>
    </row>
    <row r="1858">
      <c r="A1858" s="28" t="s">
        <v>1982</v>
      </c>
      <c r="B1858" s="28" t="s">
        <v>2502</v>
      </c>
      <c r="C1858" s="28">
        <v>2.0</v>
      </c>
      <c r="D1858" s="29">
        <v>0.0</v>
      </c>
      <c r="E1858" s="26">
        <v>0.0</v>
      </c>
      <c r="F1858" s="26" t="s">
        <v>1522</v>
      </c>
    </row>
    <row r="1859">
      <c r="A1859" s="28" t="s">
        <v>1982</v>
      </c>
      <c r="B1859" s="28" t="s">
        <v>2442</v>
      </c>
      <c r="C1859" s="28">
        <v>50.0</v>
      </c>
      <c r="D1859" s="26">
        <v>0.0</v>
      </c>
      <c r="E1859" s="26">
        <v>0.0</v>
      </c>
      <c r="F1859" s="26" t="s">
        <v>2438</v>
      </c>
    </row>
    <row r="1860">
      <c r="A1860" s="28" t="s">
        <v>1983</v>
      </c>
      <c r="B1860" s="107" t="s">
        <v>2516</v>
      </c>
      <c r="C1860" s="28">
        <v>1.0</v>
      </c>
      <c r="D1860" s="29">
        <v>0.0</v>
      </c>
      <c r="E1860" s="26">
        <v>0.0</v>
      </c>
      <c r="F1860" s="26" t="s">
        <v>1522</v>
      </c>
    </row>
    <row r="1861">
      <c r="A1861" s="28" t="s">
        <v>1983</v>
      </c>
      <c r="B1861" s="107" t="s">
        <v>2502</v>
      </c>
      <c r="C1861" s="28">
        <v>2.0</v>
      </c>
      <c r="D1861" s="29">
        <v>0.0</v>
      </c>
      <c r="E1861" s="26">
        <v>0.0</v>
      </c>
      <c r="F1861" s="26" t="s">
        <v>1522</v>
      </c>
    </row>
    <row r="1862">
      <c r="A1862" s="28" t="s">
        <v>1984</v>
      </c>
      <c r="B1862" s="107" t="s">
        <v>2425</v>
      </c>
      <c r="C1862" s="28">
        <v>1.0</v>
      </c>
      <c r="D1862" s="106">
        <v>1875000.0</v>
      </c>
      <c r="E1862" s="26">
        <v>0.0</v>
      </c>
    </row>
    <row r="1863">
      <c r="A1863" s="28" t="s">
        <v>1985</v>
      </c>
      <c r="B1863" s="107" t="s">
        <v>2502</v>
      </c>
      <c r="C1863" s="28">
        <v>2.0</v>
      </c>
      <c r="D1863" s="29">
        <v>0.0</v>
      </c>
      <c r="E1863" s="26">
        <v>0.0</v>
      </c>
      <c r="F1863" s="26" t="s">
        <v>1522</v>
      </c>
    </row>
    <row r="1864">
      <c r="A1864" s="28" t="s">
        <v>1985</v>
      </c>
      <c r="B1864" s="107" t="s">
        <v>2503</v>
      </c>
      <c r="C1864" s="28">
        <v>2.0</v>
      </c>
      <c r="D1864" s="29">
        <v>0.0</v>
      </c>
      <c r="E1864" s="26">
        <v>0.0</v>
      </c>
      <c r="F1864" s="26" t="s">
        <v>1522</v>
      </c>
    </row>
    <row r="1865">
      <c r="A1865" s="28" t="s">
        <v>1985</v>
      </c>
      <c r="B1865" s="107" t="s">
        <v>2507</v>
      </c>
      <c r="C1865" s="28">
        <v>2.0</v>
      </c>
      <c r="D1865" s="29">
        <v>0.0</v>
      </c>
      <c r="E1865" s="26">
        <v>0.0</v>
      </c>
      <c r="F1865" s="26" t="s">
        <v>1522</v>
      </c>
    </row>
    <row r="1866">
      <c r="A1866" s="28" t="s">
        <v>1985</v>
      </c>
      <c r="B1866" s="107" t="s">
        <v>2512</v>
      </c>
      <c r="C1866" s="28">
        <v>2.0</v>
      </c>
      <c r="D1866" s="29">
        <v>0.0</v>
      </c>
      <c r="E1866" s="26">
        <v>0.0</v>
      </c>
      <c r="F1866" s="26" t="s">
        <v>1522</v>
      </c>
    </row>
    <row r="1867">
      <c r="A1867" s="28" t="s">
        <v>1985</v>
      </c>
      <c r="B1867" s="107" t="s">
        <v>2504</v>
      </c>
      <c r="C1867" s="28">
        <v>1.0</v>
      </c>
      <c r="D1867" s="29">
        <v>0.0</v>
      </c>
      <c r="E1867" s="26">
        <v>0.0</v>
      </c>
      <c r="F1867" s="26" t="s">
        <v>1522</v>
      </c>
    </row>
    <row r="1868">
      <c r="A1868" s="28" t="s">
        <v>1985</v>
      </c>
      <c r="B1868" s="107" t="s">
        <v>2505</v>
      </c>
      <c r="C1868" s="28">
        <v>1.0</v>
      </c>
      <c r="D1868" s="29">
        <v>0.0</v>
      </c>
      <c r="E1868" s="26">
        <v>0.0</v>
      </c>
      <c r="F1868" s="26" t="s">
        <v>1522</v>
      </c>
    </row>
    <row r="1869">
      <c r="A1869" s="28" t="s">
        <v>1985</v>
      </c>
      <c r="B1869" s="107" t="s">
        <v>2511</v>
      </c>
      <c r="C1869" s="28">
        <v>1.0</v>
      </c>
      <c r="D1869" s="29">
        <v>0.0</v>
      </c>
      <c r="E1869" s="26">
        <v>0.0</v>
      </c>
      <c r="F1869" s="26" t="s">
        <v>1522</v>
      </c>
    </row>
    <row r="1870">
      <c r="A1870" s="28" t="s">
        <v>1985</v>
      </c>
      <c r="B1870" s="107" t="s">
        <v>2510</v>
      </c>
      <c r="C1870" s="28">
        <v>1.0</v>
      </c>
      <c r="D1870" s="29">
        <v>0.0</v>
      </c>
      <c r="E1870" s="26">
        <v>0.0</v>
      </c>
      <c r="F1870" s="26" t="s">
        <v>1522</v>
      </c>
    </row>
    <row r="1871">
      <c r="A1871" s="28" t="s">
        <v>1986</v>
      </c>
      <c r="B1871" s="28" t="s">
        <v>2478</v>
      </c>
      <c r="C1871" s="28">
        <v>24.0</v>
      </c>
      <c r="D1871" s="106">
        <v>45000.0</v>
      </c>
      <c r="E1871" s="26">
        <v>0.0</v>
      </c>
    </row>
    <row r="1872">
      <c r="A1872" s="28" t="s">
        <v>1986</v>
      </c>
      <c r="B1872" s="28" t="s">
        <v>2430</v>
      </c>
      <c r="C1872" s="28">
        <v>24.0</v>
      </c>
      <c r="D1872" s="106">
        <v>45000.0</v>
      </c>
      <c r="E1872" s="26">
        <v>0.0</v>
      </c>
    </row>
    <row r="1873">
      <c r="A1873" s="28" t="s">
        <v>1986</v>
      </c>
      <c r="B1873" s="28" t="s">
        <v>2429</v>
      </c>
      <c r="C1873" s="28">
        <v>24.0</v>
      </c>
      <c r="D1873" s="106">
        <v>45000.0</v>
      </c>
      <c r="E1873" s="26">
        <v>0.0</v>
      </c>
    </row>
    <row r="1874">
      <c r="A1874" s="28" t="s">
        <v>1986</v>
      </c>
      <c r="B1874" s="28" t="s">
        <v>2483</v>
      </c>
      <c r="C1874" s="28">
        <v>24.0</v>
      </c>
      <c r="D1874" s="106">
        <v>60000.0</v>
      </c>
      <c r="E1874" s="26">
        <v>0.0</v>
      </c>
    </row>
    <row r="1875">
      <c r="A1875" s="28" t="s">
        <v>1988</v>
      </c>
      <c r="B1875" s="107" t="s">
        <v>2429</v>
      </c>
      <c r="C1875" s="28">
        <v>48.0</v>
      </c>
      <c r="D1875" s="106">
        <v>45000.0</v>
      </c>
      <c r="E1875" s="26">
        <v>0.0</v>
      </c>
    </row>
    <row r="1876">
      <c r="A1876" s="28" t="s">
        <v>1988</v>
      </c>
      <c r="B1876" s="107" t="s">
        <v>2502</v>
      </c>
      <c r="C1876" s="28">
        <v>2.0</v>
      </c>
      <c r="D1876" s="29">
        <v>0.0</v>
      </c>
      <c r="E1876" s="26">
        <v>0.0</v>
      </c>
      <c r="F1876" s="26" t="s">
        <v>1522</v>
      </c>
    </row>
    <row r="1877">
      <c r="A1877" s="28" t="s">
        <v>1989</v>
      </c>
      <c r="B1877" s="107" t="s">
        <v>2441</v>
      </c>
      <c r="C1877" s="28">
        <v>7.0</v>
      </c>
      <c r="D1877" s="106">
        <v>32000.0</v>
      </c>
      <c r="E1877" s="26">
        <v>0.0</v>
      </c>
    </row>
    <row r="1878">
      <c r="A1878" s="28" t="s">
        <v>1989</v>
      </c>
      <c r="B1878" s="107" t="s">
        <v>2442</v>
      </c>
      <c r="C1878" s="28">
        <v>50.0</v>
      </c>
      <c r="D1878" s="26">
        <v>0.0</v>
      </c>
      <c r="E1878" s="26">
        <v>0.0</v>
      </c>
      <c r="F1878" s="26" t="s">
        <v>2438</v>
      </c>
    </row>
    <row r="1879">
      <c r="A1879" s="28" t="s">
        <v>1989</v>
      </c>
      <c r="B1879" s="107" t="s">
        <v>2485</v>
      </c>
      <c r="C1879" s="28">
        <v>1.0</v>
      </c>
      <c r="D1879" s="26">
        <v>0.0</v>
      </c>
      <c r="E1879" s="26">
        <v>0.0</v>
      </c>
      <c r="F1879" s="26" t="s">
        <v>2438</v>
      </c>
    </row>
    <row r="1880">
      <c r="A1880" s="28" t="s">
        <v>1990</v>
      </c>
      <c r="B1880" s="28" t="s">
        <v>2495</v>
      </c>
      <c r="C1880" s="28">
        <v>1.0</v>
      </c>
      <c r="D1880" s="106">
        <v>1790000.0</v>
      </c>
      <c r="E1880" s="29">
        <v>358000.0</v>
      </c>
    </row>
    <row r="1881">
      <c r="A1881" s="28" t="s">
        <v>1991</v>
      </c>
      <c r="B1881" s="28" t="s">
        <v>2495</v>
      </c>
      <c r="C1881" s="28">
        <v>1.0</v>
      </c>
      <c r="D1881" s="106">
        <v>1790000.0</v>
      </c>
      <c r="E1881" s="26">
        <v>0.0</v>
      </c>
    </row>
    <row r="1882">
      <c r="A1882" s="28" t="s">
        <v>1992</v>
      </c>
      <c r="B1882" s="28" t="s">
        <v>2429</v>
      </c>
      <c r="C1882" s="28">
        <v>24.0</v>
      </c>
      <c r="D1882" s="106">
        <v>45000.0</v>
      </c>
      <c r="E1882" s="26">
        <v>0.0</v>
      </c>
    </row>
    <row r="1883">
      <c r="A1883" s="28" t="s">
        <v>1992</v>
      </c>
      <c r="B1883" s="28" t="s">
        <v>2426</v>
      </c>
      <c r="C1883" s="28">
        <v>10.0</v>
      </c>
      <c r="D1883" s="106">
        <v>55000.0</v>
      </c>
      <c r="E1883" s="26">
        <v>0.0</v>
      </c>
    </row>
    <row r="1884">
      <c r="A1884" s="28" t="s">
        <v>1992</v>
      </c>
      <c r="B1884" s="107" t="s">
        <v>2504</v>
      </c>
      <c r="C1884" s="28">
        <v>1.0</v>
      </c>
      <c r="D1884" s="29">
        <v>0.0</v>
      </c>
      <c r="E1884" s="26">
        <v>0.0</v>
      </c>
      <c r="F1884" s="26" t="s">
        <v>1522</v>
      </c>
    </row>
    <row r="1885">
      <c r="A1885" s="28" t="s">
        <v>1992</v>
      </c>
      <c r="B1885" s="107" t="s">
        <v>2505</v>
      </c>
      <c r="C1885" s="28">
        <v>1.0</v>
      </c>
      <c r="D1885" s="29">
        <v>0.0</v>
      </c>
      <c r="E1885" s="26">
        <v>0.0</v>
      </c>
      <c r="F1885" s="26" t="s">
        <v>1522</v>
      </c>
    </row>
    <row r="1886">
      <c r="A1886" s="28" t="s">
        <v>1993</v>
      </c>
      <c r="B1886" s="28" t="s">
        <v>2425</v>
      </c>
      <c r="C1886" s="28">
        <v>1.0</v>
      </c>
      <c r="D1886" s="106">
        <v>1875000.0</v>
      </c>
      <c r="E1886" s="29">
        <v>309375.0</v>
      </c>
    </row>
    <row r="1887">
      <c r="A1887" s="28" t="s">
        <v>1993</v>
      </c>
      <c r="B1887" s="28" t="s">
        <v>2433</v>
      </c>
      <c r="C1887" s="28">
        <v>1.0</v>
      </c>
      <c r="D1887" s="106">
        <v>1450000.0</v>
      </c>
      <c r="E1887" s="26">
        <v>0.0</v>
      </c>
    </row>
    <row r="1888">
      <c r="A1888" s="28" t="s">
        <v>1994</v>
      </c>
      <c r="B1888" s="28" t="s">
        <v>2434</v>
      </c>
      <c r="C1888" s="28">
        <v>2.0</v>
      </c>
      <c r="D1888" s="106">
        <v>1350000.0</v>
      </c>
      <c r="E1888" s="26">
        <v>0.0</v>
      </c>
    </row>
    <row r="1889">
      <c r="A1889" s="28" t="s">
        <v>1995</v>
      </c>
      <c r="B1889" s="28" t="s">
        <v>2434</v>
      </c>
      <c r="C1889" s="28">
        <v>2.0</v>
      </c>
      <c r="D1889" s="106">
        <v>1350000.0</v>
      </c>
      <c r="E1889" s="26">
        <v>0.0</v>
      </c>
    </row>
    <row r="1890">
      <c r="A1890" s="28" t="s">
        <v>1996</v>
      </c>
      <c r="B1890" s="107" t="s">
        <v>2433</v>
      </c>
      <c r="C1890" s="28">
        <v>1.0</v>
      </c>
      <c r="D1890" s="106">
        <v>1450000.0</v>
      </c>
      <c r="E1890" s="26">
        <v>0.0</v>
      </c>
    </row>
    <row r="1891">
      <c r="A1891" s="28" t="s">
        <v>1997</v>
      </c>
      <c r="B1891" s="107" t="s">
        <v>2429</v>
      </c>
      <c r="C1891" s="28">
        <v>24.0</v>
      </c>
      <c r="D1891" s="106">
        <v>45000.0</v>
      </c>
      <c r="E1891" s="26">
        <v>0.0</v>
      </c>
    </row>
    <row r="1892">
      <c r="A1892" s="28" t="s">
        <v>1998</v>
      </c>
      <c r="B1892" s="107" t="s">
        <v>2521</v>
      </c>
      <c r="C1892" s="28">
        <v>1.0</v>
      </c>
      <c r="D1892" s="29">
        <v>0.0</v>
      </c>
      <c r="E1892" s="26">
        <v>0.0</v>
      </c>
      <c r="F1892" s="26" t="s">
        <v>1522</v>
      </c>
    </row>
    <row r="1893">
      <c r="A1893" s="28" t="s">
        <v>1998</v>
      </c>
      <c r="B1893" s="107" t="s">
        <v>2502</v>
      </c>
      <c r="C1893" s="28">
        <v>1.0</v>
      </c>
      <c r="D1893" s="29">
        <v>0.0</v>
      </c>
      <c r="E1893" s="26">
        <v>0.0</v>
      </c>
      <c r="F1893" s="26" t="s">
        <v>1522</v>
      </c>
    </row>
    <row r="1894">
      <c r="A1894" s="28" t="s">
        <v>1998</v>
      </c>
      <c r="B1894" s="107" t="s">
        <v>2505</v>
      </c>
      <c r="C1894" s="28">
        <v>1.0</v>
      </c>
      <c r="D1894" s="29">
        <v>0.0</v>
      </c>
      <c r="E1894" s="26">
        <v>0.0</v>
      </c>
      <c r="F1894" s="26" t="s">
        <v>1522</v>
      </c>
    </row>
    <row r="1895">
      <c r="A1895" s="28" t="s">
        <v>1998</v>
      </c>
      <c r="B1895" s="107" t="s">
        <v>2504</v>
      </c>
      <c r="C1895" s="28">
        <v>1.0</v>
      </c>
      <c r="D1895" s="29">
        <v>0.0</v>
      </c>
      <c r="E1895" s="26">
        <v>0.0</v>
      </c>
      <c r="F1895" s="26" t="s">
        <v>1522</v>
      </c>
    </row>
    <row r="1896">
      <c r="A1896" s="28" t="s">
        <v>1999</v>
      </c>
      <c r="B1896" s="107" t="s">
        <v>2433</v>
      </c>
      <c r="C1896" s="28">
        <v>1.0</v>
      </c>
      <c r="D1896" s="106">
        <v>1450000.0</v>
      </c>
      <c r="E1896" s="26">
        <v>0.0</v>
      </c>
    </row>
    <row r="1897">
      <c r="A1897" s="28" t="s">
        <v>1999</v>
      </c>
      <c r="B1897" s="107" t="s">
        <v>2434</v>
      </c>
      <c r="C1897" s="28">
        <v>1.0</v>
      </c>
      <c r="D1897" s="106">
        <v>1350000.0</v>
      </c>
      <c r="E1897" s="26">
        <v>0.0</v>
      </c>
    </row>
    <row r="1898">
      <c r="A1898" s="28" t="s">
        <v>2000</v>
      </c>
      <c r="B1898" s="107" t="s">
        <v>2434</v>
      </c>
      <c r="C1898" s="28">
        <v>4.0</v>
      </c>
      <c r="D1898" s="106">
        <v>1350000.0</v>
      </c>
      <c r="E1898" s="29">
        <v>1782000.0</v>
      </c>
    </row>
    <row r="1899">
      <c r="A1899" s="28" t="s">
        <v>2000</v>
      </c>
      <c r="B1899" s="107" t="s">
        <v>2433</v>
      </c>
      <c r="C1899" s="28">
        <v>6.0</v>
      </c>
      <c r="D1899" s="106">
        <v>1450000.0</v>
      </c>
      <c r="E1899" s="29">
        <v>2610000.0</v>
      </c>
    </row>
    <row r="1900">
      <c r="A1900" s="28" t="s">
        <v>2000</v>
      </c>
      <c r="B1900" s="107" t="s">
        <v>2431</v>
      </c>
      <c r="C1900" s="28">
        <v>6.0</v>
      </c>
      <c r="D1900" s="106">
        <v>2380000.0</v>
      </c>
      <c r="E1900" s="29">
        <v>4284000.0</v>
      </c>
    </row>
    <row r="1901">
      <c r="A1901" s="28" t="s">
        <v>2000</v>
      </c>
      <c r="B1901" s="107" t="s">
        <v>2522</v>
      </c>
      <c r="C1901" s="28">
        <v>1.0</v>
      </c>
      <c r="D1901" s="29">
        <v>0.0</v>
      </c>
      <c r="E1901" s="26">
        <v>0.0</v>
      </c>
      <c r="F1901" s="26" t="s">
        <v>2436</v>
      </c>
    </row>
    <row r="1902">
      <c r="A1902" s="28" t="s">
        <v>2000</v>
      </c>
      <c r="B1902" s="107" t="s">
        <v>2523</v>
      </c>
      <c r="C1902" s="28">
        <v>1.0</v>
      </c>
      <c r="D1902" s="29">
        <v>0.0</v>
      </c>
      <c r="E1902" s="26">
        <v>0.0</v>
      </c>
      <c r="F1902" s="26" t="s">
        <v>2492</v>
      </c>
    </row>
    <row r="1903">
      <c r="A1903" s="28" t="s">
        <v>2000</v>
      </c>
      <c r="B1903" s="107" t="s">
        <v>2476</v>
      </c>
      <c r="C1903" s="28">
        <v>48.0</v>
      </c>
      <c r="D1903" s="106">
        <v>60000.0</v>
      </c>
      <c r="E1903" s="29">
        <v>864000.0</v>
      </c>
    </row>
    <row r="1904">
      <c r="A1904" s="28" t="s">
        <v>2000</v>
      </c>
      <c r="B1904" s="107" t="s">
        <v>2430</v>
      </c>
      <c r="C1904" s="28">
        <v>48.0</v>
      </c>
      <c r="D1904" s="106">
        <v>45000.0</v>
      </c>
      <c r="E1904" s="29">
        <v>648000.0</v>
      </c>
    </row>
    <row r="1905">
      <c r="A1905" s="28" t="s">
        <v>2000</v>
      </c>
      <c r="B1905" s="107" t="s">
        <v>2478</v>
      </c>
      <c r="C1905" s="28">
        <v>24.0</v>
      </c>
      <c r="D1905" s="106">
        <v>45000.0</v>
      </c>
      <c r="E1905" s="29">
        <v>324000.0</v>
      </c>
    </row>
    <row r="1906">
      <c r="A1906" s="28" t="s">
        <v>2000</v>
      </c>
      <c r="B1906" s="107" t="s">
        <v>2510</v>
      </c>
      <c r="C1906" s="28">
        <v>12.0</v>
      </c>
      <c r="D1906" s="29">
        <v>0.0</v>
      </c>
      <c r="E1906" s="26">
        <v>0.0</v>
      </c>
      <c r="F1906" s="26" t="s">
        <v>2436</v>
      </c>
    </row>
    <row r="1907">
      <c r="A1907" s="28" t="s">
        <v>2000</v>
      </c>
      <c r="B1907" s="107" t="s">
        <v>2511</v>
      </c>
      <c r="C1907" s="28">
        <v>12.0</v>
      </c>
      <c r="D1907" s="29">
        <v>0.0</v>
      </c>
      <c r="E1907" s="26">
        <v>0.0</v>
      </c>
      <c r="F1907" s="26" t="s">
        <v>2436</v>
      </c>
    </row>
    <row r="1908">
      <c r="A1908" s="28" t="s">
        <v>2000</v>
      </c>
      <c r="B1908" s="107" t="s">
        <v>2512</v>
      </c>
      <c r="C1908" s="28">
        <v>12.0</v>
      </c>
      <c r="D1908" s="29">
        <v>0.0</v>
      </c>
      <c r="E1908" s="26">
        <v>0.0</v>
      </c>
      <c r="F1908" s="26" t="s">
        <v>2436</v>
      </c>
    </row>
    <row r="1909">
      <c r="A1909" s="28" t="s">
        <v>2000</v>
      </c>
      <c r="B1909" s="107" t="s">
        <v>2503</v>
      </c>
      <c r="C1909" s="28">
        <v>12.0</v>
      </c>
      <c r="D1909" s="29">
        <v>0.0</v>
      </c>
      <c r="E1909" s="26">
        <v>0.0</v>
      </c>
      <c r="F1909" s="26" t="s">
        <v>2436</v>
      </c>
    </row>
    <row r="1910">
      <c r="A1910" s="28" t="s">
        <v>2000</v>
      </c>
      <c r="B1910" s="107" t="s">
        <v>2507</v>
      </c>
      <c r="C1910" s="28">
        <v>12.0</v>
      </c>
      <c r="D1910" s="29">
        <v>0.0</v>
      </c>
      <c r="E1910" s="26">
        <v>0.0</v>
      </c>
      <c r="F1910" s="26" t="s">
        <v>2436</v>
      </c>
    </row>
    <row r="1911">
      <c r="A1911" s="28" t="s">
        <v>2000</v>
      </c>
      <c r="B1911" s="107" t="s">
        <v>2513</v>
      </c>
      <c r="C1911" s="28">
        <v>12.0</v>
      </c>
      <c r="D1911" s="29">
        <v>0.0</v>
      </c>
      <c r="E1911" s="26">
        <v>0.0</v>
      </c>
      <c r="F1911" s="26" t="s">
        <v>2436</v>
      </c>
    </row>
    <row r="1912">
      <c r="A1912" s="28" t="s">
        <v>2000</v>
      </c>
      <c r="B1912" s="107" t="s">
        <v>2502</v>
      </c>
      <c r="C1912" s="28">
        <v>12.0</v>
      </c>
      <c r="D1912" s="29">
        <v>0.0</v>
      </c>
      <c r="E1912" s="26">
        <v>0.0</v>
      </c>
      <c r="F1912" s="26" t="s">
        <v>2436</v>
      </c>
    </row>
    <row r="1913">
      <c r="A1913" s="28" t="s">
        <v>2000</v>
      </c>
      <c r="B1913" s="107" t="s">
        <v>2505</v>
      </c>
      <c r="C1913" s="28">
        <v>12.0</v>
      </c>
      <c r="D1913" s="29">
        <v>0.0</v>
      </c>
      <c r="E1913" s="26">
        <v>0.0</v>
      </c>
      <c r="F1913" s="26" t="s">
        <v>2436</v>
      </c>
    </row>
    <row r="1914">
      <c r="A1914" s="28" t="s">
        <v>2000</v>
      </c>
      <c r="B1914" s="107" t="s">
        <v>2504</v>
      </c>
      <c r="C1914" s="28">
        <v>12.0</v>
      </c>
      <c r="D1914" s="29">
        <v>0.0</v>
      </c>
      <c r="E1914" s="26">
        <v>0.0</v>
      </c>
      <c r="F1914" s="26" t="s">
        <v>2436</v>
      </c>
    </row>
    <row r="1915">
      <c r="A1915" s="28" t="s">
        <v>2000</v>
      </c>
      <c r="B1915" s="107" t="s">
        <v>2484</v>
      </c>
      <c r="C1915" s="28">
        <v>1.0</v>
      </c>
      <c r="D1915" s="29">
        <v>0.0</v>
      </c>
      <c r="E1915" s="26">
        <v>0.0</v>
      </c>
      <c r="F1915" s="26" t="s">
        <v>2438</v>
      </c>
    </row>
    <row r="1916">
      <c r="A1916" s="28" t="s">
        <v>2000</v>
      </c>
      <c r="B1916" s="107" t="s">
        <v>2524</v>
      </c>
      <c r="C1916" s="28">
        <v>1.0</v>
      </c>
      <c r="D1916" s="29">
        <v>0.0</v>
      </c>
      <c r="E1916" s="26">
        <v>0.0</v>
      </c>
      <c r="F1916" s="26" t="s">
        <v>2438</v>
      </c>
    </row>
    <row r="1917">
      <c r="A1917" s="28" t="s">
        <v>2001</v>
      </c>
      <c r="B1917" s="107" t="s">
        <v>2478</v>
      </c>
      <c r="C1917" s="28">
        <v>12.0</v>
      </c>
      <c r="D1917" s="106">
        <v>45000.0</v>
      </c>
      <c r="E1917" s="29">
        <v>240000.0</v>
      </c>
    </row>
    <row r="1918">
      <c r="A1918" s="28" t="s">
        <v>2001</v>
      </c>
      <c r="B1918" s="107" t="s">
        <v>2525</v>
      </c>
      <c r="C1918" s="28">
        <v>2.0</v>
      </c>
      <c r="D1918" s="29">
        <v>0.0</v>
      </c>
      <c r="E1918" s="26">
        <v>0.0</v>
      </c>
      <c r="F1918" s="26" t="s">
        <v>2438</v>
      </c>
    </row>
    <row r="1919">
      <c r="A1919" s="28" t="s">
        <v>2002</v>
      </c>
      <c r="B1919" s="107" t="s">
        <v>2483</v>
      </c>
      <c r="C1919" s="28">
        <v>12.0</v>
      </c>
      <c r="D1919" s="106">
        <v>60000.0</v>
      </c>
      <c r="E1919" s="26">
        <v>0.0</v>
      </c>
    </row>
    <row r="1920">
      <c r="A1920" s="28" t="s">
        <v>2002</v>
      </c>
      <c r="B1920" s="107" t="s">
        <v>2476</v>
      </c>
      <c r="C1920" s="28">
        <v>12.0</v>
      </c>
      <c r="D1920" s="106">
        <v>60000.0</v>
      </c>
      <c r="E1920" s="26">
        <v>0.0</v>
      </c>
    </row>
    <row r="1921">
      <c r="A1921" s="28" t="s">
        <v>2002</v>
      </c>
      <c r="B1921" s="107" t="s">
        <v>2442</v>
      </c>
      <c r="C1921" s="28">
        <v>50.0</v>
      </c>
      <c r="D1921" s="29">
        <v>0.0</v>
      </c>
      <c r="E1921" s="26">
        <v>0.0</v>
      </c>
      <c r="F1921" s="26" t="s">
        <v>2438</v>
      </c>
    </row>
    <row r="1922">
      <c r="A1922" s="28" t="s">
        <v>2003</v>
      </c>
      <c r="B1922" s="107" t="s">
        <v>2429</v>
      </c>
      <c r="C1922" s="28">
        <v>12.0</v>
      </c>
      <c r="D1922" s="106">
        <v>45000.0</v>
      </c>
      <c r="E1922" s="26">
        <v>0.0</v>
      </c>
    </row>
    <row r="1923">
      <c r="A1923" s="28" t="s">
        <v>2003</v>
      </c>
      <c r="B1923" s="107" t="s">
        <v>2426</v>
      </c>
      <c r="C1923" s="28">
        <v>12.0</v>
      </c>
      <c r="D1923" s="106">
        <v>55000.0</v>
      </c>
      <c r="E1923" s="26">
        <v>0.0</v>
      </c>
    </row>
    <row r="1924">
      <c r="A1924" s="28" t="s">
        <v>2003</v>
      </c>
      <c r="B1924" s="107" t="s">
        <v>2437</v>
      </c>
      <c r="C1924" s="28">
        <v>6.0</v>
      </c>
      <c r="D1924" s="29">
        <v>0.0</v>
      </c>
      <c r="E1924" s="26">
        <v>0.0</v>
      </c>
      <c r="F1924" s="26" t="s">
        <v>2438</v>
      </c>
    </row>
    <row r="1925">
      <c r="A1925" s="28" t="s">
        <v>2003</v>
      </c>
      <c r="B1925" s="107" t="s">
        <v>2442</v>
      </c>
      <c r="C1925" s="28">
        <v>50.0</v>
      </c>
      <c r="D1925" s="29">
        <v>0.0</v>
      </c>
      <c r="E1925" s="26">
        <v>0.0</v>
      </c>
      <c r="F1925" s="26" t="s">
        <v>2438</v>
      </c>
    </row>
    <row r="1926">
      <c r="A1926" s="28" t="s">
        <v>2004</v>
      </c>
      <c r="B1926" s="107" t="s">
        <v>2426</v>
      </c>
      <c r="C1926" s="28">
        <v>96.0</v>
      </c>
      <c r="D1926" s="106">
        <v>55000.0</v>
      </c>
      <c r="E1926" s="26">
        <v>0.0</v>
      </c>
    </row>
    <row r="1927">
      <c r="A1927" s="28" t="s">
        <v>2004</v>
      </c>
      <c r="B1927" s="107" t="s">
        <v>2503</v>
      </c>
      <c r="C1927" s="28">
        <v>24.0</v>
      </c>
      <c r="D1927" s="29">
        <v>0.0</v>
      </c>
      <c r="E1927" s="26">
        <v>0.0</v>
      </c>
      <c r="F1927" s="26" t="s">
        <v>2436</v>
      </c>
    </row>
    <row r="1928">
      <c r="A1928" s="28" t="s">
        <v>2004</v>
      </c>
      <c r="B1928" s="107" t="s">
        <v>2442</v>
      </c>
      <c r="C1928" s="28">
        <v>50.0</v>
      </c>
      <c r="D1928" s="29">
        <v>0.0</v>
      </c>
      <c r="E1928" s="26">
        <v>0.0</v>
      </c>
      <c r="F1928" s="26" t="s">
        <v>2438</v>
      </c>
    </row>
    <row r="1929">
      <c r="A1929" s="28" t="s">
        <v>2005</v>
      </c>
      <c r="B1929" s="107" t="s">
        <v>2431</v>
      </c>
      <c r="C1929" s="28">
        <v>1.0</v>
      </c>
      <c r="D1929" s="106">
        <v>2380000.0</v>
      </c>
      <c r="E1929" s="26">
        <v>0.0</v>
      </c>
    </row>
    <row r="1930">
      <c r="A1930" s="28" t="s">
        <v>2006</v>
      </c>
      <c r="B1930" s="107" t="s">
        <v>2429</v>
      </c>
      <c r="C1930" s="28">
        <v>48.0</v>
      </c>
      <c r="D1930" s="106">
        <v>45000.0</v>
      </c>
      <c r="E1930" s="26">
        <v>0.0</v>
      </c>
    </row>
    <row r="1931">
      <c r="A1931" s="28" t="s">
        <v>2007</v>
      </c>
      <c r="B1931" s="107" t="s">
        <v>2429</v>
      </c>
      <c r="C1931" s="28">
        <v>48.0</v>
      </c>
      <c r="D1931" s="106">
        <v>45000.0</v>
      </c>
      <c r="E1931" s="26">
        <v>0.0</v>
      </c>
    </row>
    <row r="1932">
      <c r="A1932" s="28" t="s">
        <v>2007</v>
      </c>
      <c r="B1932" s="107" t="s">
        <v>2442</v>
      </c>
      <c r="C1932" s="28">
        <v>50.0</v>
      </c>
      <c r="D1932" s="29">
        <v>0.0</v>
      </c>
      <c r="E1932" s="26">
        <v>0.0</v>
      </c>
      <c r="F1932" s="26" t="s">
        <v>2438</v>
      </c>
    </row>
    <row r="1933">
      <c r="A1933" s="28" t="s">
        <v>2008</v>
      </c>
      <c r="B1933" s="107" t="s">
        <v>2521</v>
      </c>
      <c r="C1933" s="28">
        <v>1.0</v>
      </c>
      <c r="D1933" s="29">
        <v>0.0</v>
      </c>
      <c r="E1933" s="26">
        <v>0.0</v>
      </c>
      <c r="F1933" s="26" t="s">
        <v>1522</v>
      </c>
    </row>
    <row r="1934">
      <c r="A1934" s="28" t="s">
        <v>2008</v>
      </c>
      <c r="B1934" s="107" t="s">
        <v>2504</v>
      </c>
      <c r="C1934" s="28">
        <v>1.0</v>
      </c>
      <c r="D1934" s="29">
        <v>0.0</v>
      </c>
      <c r="E1934" s="26">
        <v>0.0</v>
      </c>
      <c r="F1934" s="26" t="s">
        <v>1522</v>
      </c>
    </row>
    <row r="1935">
      <c r="A1935" s="28" t="s">
        <v>2008</v>
      </c>
      <c r="B1935" s="107" t="s">
        <v>2502</v>
      </c>
      <c r="C1935" s="28">
        <v>1.0</v>
      </c>
      <c r="D1935" s="29">
        <v>0.0</v>
      </c>
      <c r="E1935" s="26">
        <v>0.0</v>
      </c>
      <c r="F1935" s="26" t="s">
        <v>1522</v>
      </c>
    </row>
    <row r="1936">
      <c r="A1936" s="28" t="s">
        <v>2008</v>
      </c>
      <c r="B1936" s="107" t="s">
        <v>2505</v>
      </c>
      <c r="C1936" s="28">
        <v>1.0</v>
      </c>
      <c r="D1936" s="29">
        <v>0.0</v>
      </c>
      <c r="E1936" s="26">
        <v>0.0</v>
      </c>
      <c r="F1936" s="26" t="s">
        <v>1522</v>
      </c>
    </row>
    <row r="1937">
      <c r="A1937" s="28" t="s">
        <v>2010</v>
      </c>
      <c r="B1937" s="107" t="s">
        <v>2432</v>
      </c>
      <c r="C1937" s="28">
        <v>1.0</v>
      </c>
      <c r="D1937" s="106">
        <v>1480000.0</v>
      </c>
      <c r="E1937" s="29">
        <v>296000.0</v>
      </c>
    </row>
    <row r="1938">
      <c r="A1938" s="28" t="s">
        <v>2010</v>
      </c>
      <c r="B1938" s="107" t="s">
        <v>2425</v>
      </c>
      <c r="C1938" s="28">
        <v>1.0</v>
      </c>
      <c r="D1938" s="106">
        <v>1875000.0</v>
      </c>
      <c r="E1938" s="29">
        <v>375000.0</v>
      </c>
    </row>
    <row r="1939">
      <c r="A1939" s="28" t="s">
        <v>2010</v>
      </c>
      <c r="B1939" s="107" t="s">
        <v>2433</v>
      </c>
      <c r="C1939" s="28">
        <v>1.0</v>
      </c>
      <c r="D1939" s="106">
        <v>1450000.0</v>
      </c>
      <c r="E1939" s="29">
        <v>290000.0</v>
      </c>
    </row>
    <row r="1940">
      <c r="A1940" s="28" t="s">
        <v>2011</v>
      </c>
      <c r="B1940" s="107" t="s">
        <v>2478</v>
      </c>
      <c r="C1940" s="28">
        <v>24.0</v>
      </c>
      <c r="D1940" s="106">
        <v>45000.0</v>
      </c>
      <c r="E1940" s="29">
        <v>-420000.0</v>
      </c>
    </row>
    <row r="1941">
      <c r="A1941" s="28" t="s">
        <v>2012</v>
      </c>
      <c r="B1941" s="107" t="s">
        <v>2429</v>
      </c>
      <c r="C1941" s="28">
        <v>24.0</v>
      </c>
      <c r="D1941" s="106">
        <v>45000.0</v>
      </c>
      <c r="E1941" s="26">
        <v>0.0</v>
      </c>
    </row>
    <row r="1942">
      <c r="A1942" s="28" t="s">
        <v>2013</v>
      </c>
      <c r="B1942" s="107" t="s">
        <v>2434</v>
      </c>
      <c r="C1942" s="28">
        <v>1.0</v>
      </c>
      <c r="D1942" s="106">
        <v>1350000.0</v>
      </c>
      <c r="E1942" s="26">
        <v>0.0</v>
      </c>
    </row>
    <row r="1943">
      <c r="A1943" s="28" t="s">
        <v>2014</v>
      </c>
      <c r="B1943" s="107" t="s">
        <v>2433</v>
      </c>
      <c r="C1943" s="28">
        <v>1.0</v>
      </c>
      <c r="D1943" s="106">
        <v>1450000.0</v>
      </c>
      <c r="E1943" s="26">
        <v>0.0</v>
      </c>
    </row>
    <row r="1944">
      <c r="A1944" s="28" t="s">
        <v>2015</v>
      </c>
      <c r="B1944" s="107" t="s">
        <v>2516</v>
      </c>
      <c r="C1944" s="28">
        <v>10.0</v>
      </c>
      <c r="D1944" s="29">
        <v>1480000.0</v>
      </c>
      <c r="E1944" s="26">
        <v>0.0</v>
      </c>
    </row>
    <row r="1945">
      <c r="A1945" s="28" t="s">
        <v>2015</v>
      </c>
      <c r="B1945" s="107" t="s">
        <v>2517</v>
      </c>
      <c r="C1945" s="28">
        <v>10.0</v>
      </c>
      <c r="D1945" s="29">
        <v>2380000.0</v>
      </c>
      <c r="E1945" s="26">
        <v>0.0</v>
      </c>
    </row>
    <row r="1946">
      <c r="A1946" s="28" t="s">
        <v>2015</v>
      </c>
      <c r="B1946" s="107" t="s">
        <v>2519</v>
      </c>
      <c r="C1946" s="28">
        <v>3.0</v>
      </c>
      <c r="D1946" s="29">
        <v>1875000.0</v>
      </c>
      <c r="E1946" s="26">
        <v>0.0</v>
      </c>
    </row>
    <row r="1947">
      <c r="A1947" s="28" t="s">
        <v>2016</v>
      </c>
      <c r="B1947" s="107" t="s">
        <v>2431</v>
      </c>
      <c r="C1947" s="28">
        <v>1.0</v>
      </c>
      <c r="D1947" s="106">
        <v>2380000.0</v>
      </c>
      <c r="E1947" s="26">
        <v>0.0</v>
      </c>
    </row>
    <row r="1948">
      <c r="A1948" s="28" t="s">
        <v>2017</v>
      </c>
      <c r="B1948" s="107" t="s">
        <v>2425</v>
      </c>
      <c r="C1948" s="28">
        <v>1.0</v>
      </c>
      <c r="D1948" s="106">
        <v>1875000.0</v>
      </c>
      <c r="E1948" s="26">
        <v>0.0</v>
      </c>
    </row>
    <row r="1949">
      <c r="A1949" s="28" t="s">
        <v>2018</v>
      </c>
      <c r="B1949" s="107" t="s">
        <v>2433</v>
      </c>
      <c r="C1949" s="28">
        <v>1.0</v>
      </c>
      <c r="D1949" s="106">
        <v>1450000.0</v>
      </c>
      <c r="E1949" s="26">
        <v>0.0</v>
      </c>
    </row>
    <row r="1950">
      <c r="A1950" s="28" t="s">
        <v>2018</v>
      </c>
      <c r="B1950" s="107" t="s">
        <v>2434</v>
      </c>
      <c r="C1950" s="28">
        <v>1.0</v>
      </c>
      <c r="D1950" s="106">
        <v>1350000.0</v>
      </c>
      <c r="E1950" s="26">
        <v>0.0</v>
      </c>
    </row>
    <row r="1951">
      <c r="A1951" s="28" t="s">
        <v>2019</v>
      </c>
      <c r="B1951" s="107" t="s">
        <v>2433</v>
      </c>
      <c r="C1951" s="28">
        <v>1.0</v>
      </c>
      <c r="D1951" s="106">
        <v>1450000.0</v>
      </c>
      <c r="E1951" s="26">
        <v>0.0</v>
      </c>
    </row>
    <row r="1952">
      <c r="A1952" s="28" t="s">
        <v>2020</v>
      </c>
      <c r="B1952" s="107" t="s">
        <v>2432</v>
      </c>
      <c r="C1952" s="28">
        <v>1.0</v>
      </c>
      <c r="D1952" s="106">
        <v>1480000.0</v>
      </c>
      <c r="E1952" s="29">
        <v>296000.0</v>
      </c>
    </row>
    <row r="1953">
      <c r="A1953" s="28" t="s">
        <v>2020</v>
      </c>
      <c r="B1953" s="107" t="s">
        <v>2437</v>
      </c>
      <c r="C1953" s="28">
        <v>12.0</v>
      </c>
      <c r="D1953" s="29">
        <v>0.0</v>
      </c>
      <c r="E1953" s="26">
        <v>0.0</v>
      </c>
      <c r="F1953" s="26" t="s">
        <v>2438</v>
      </c>
    </row>
    <row r="1954">
      <c r="A1954" s="28" t="s">
        <v>2021</v>
      </c>
      <c r="B1954" s="107" t="s">
        <v>2431</v>
      </c>
      <c r="C1954" s="28">
        <v>1.0</v>
      </c>
      <c r="D1954" s="106">
        <v>2380000.0</v>
      </c>
      <c r="E1954" s="29">
        <v>392700.0</v>
      </c>
    </row>
    <row r="1955">
      <c r="A1955" s="28" t="s">
        <v>2021</v>
      </c>
      <c r="B1955" s="107" t="s">
        <v>2442</v>
      </c>
      <c r="C1955" s="28">
        <v>50.0</v>
      </c>
      <c r="D1955" s="29">
        <v>0.0</v>
      </c>
      <c r="E1955" s="26">
        <v>0.0</v>
      </c>
      <c r="F1955" s="26" t="s">
        <v>2438</v>
      </c>
    </row>
    <row r="1956">
      <c r="A1956" s="28" t="s">
        <v>2022</v>
      </c>
      <c r="B1956" s="107" t="s">
        <v>2512</v>
      </c>
      <c r="C1956" s="28">
        <v>8.0</v>
      </c>
      <c r="D1956" s="29">
        <v>0.0</v>
      </c>
      <c r="E1956" s="26">
        <v>0.0</v>
      </c>
      <c r="F1956" s="26" t="s">
        <v>1522</v>
      </c>
    </row>
    <row r="1957">
      <c r="A1957" s="28" t="s">
        <v>2022</v>
      </c>
      <c r="B1957" s="107" t="s">
        <v>2511</v>
      </c>
      <c r="C1957" s="28">
        <v>8.0</v>
      </c>
      <c r="D1957" s="29">
        <v>0.0</v>
      </c>
      <c r="E1957" s="26">
        <v>0.0</v>
      </c>
      <c r="F1957" s="26" t="s">
        <v>1522</v>
      </c>
    </row>
    <row r="1958">
      <c r="A1958" s="28" t="s">
        <v>2022</v>
      </c>
      <c r="B1958" s="107" t="s">
        <v>2510</v>
      </c>
      <c r="C1958" s="28">
        <v>8.0</v>
      </c>
      <c r="D1958" s="29">
        <v>0.0</v>
      </c>
      <c r="E1958" s="26">
        <v>0.0</v>
      </c>
      <c r="F1958" s="26" t="s">
        <v>1522</v>
      </c>
    </row>
    <row r="1959">
      <c r="A1959" s="28" t="s">
        <v>2022</v>
      </c>
      <c r="B1959" s="107" t="s">
        <v>2507</v>
      </c>
      <c r="C1959" s="28">
        <v>8.0</v>
      </c>
      <c r="D1959" s="29">
        <v>0.0</v>
      </c>
      <c r="E1959" s="26">
        <v>0.0</v>
      </c>
      <c r="F1959" s="26" t="s">
        <v>1522</v>
      </c>
    </row>
    <row r="1960">
      <c r="A1960" s="28" t="s">
        <v>2022</v>
      </c>
      <c r="B1960" s="107" t="s">
        <v>2503</v>
      </c>
      <c r="C1960" s="28">
        <v>8.0</v>
      </c>
      <c r="D1960" s="29">
        <v>0.0</v>
      </c>
      <c r="E1960" s="26">
        <v>0.0</v>
      </c>
      <c r="F1960" s="26" t="s">
        <v>1522</v>
      </c>
    </row>
    <row r="1961">
      <c r="A1961" s="28" t="s">
        <v>2022</v>
      </c>
      <c r="B1961" s="107" t="s">
        <v>2513</v>
      </c>
      <c r="C1961" s="28">
        <v>8.0</v>
      </c>
      <c r="D1961" s="29">
        <v>0.0</v>
      </c>
      <c r="E1961" s="26">
        <v>0.0</v>
      </c>
      <c r="F1961" s="26" t="s">
        <v>1522</v>
      </c>
    </row>
    <row r="1962">
      <c r="A1962" s="28" t="s">
        <v>2022</v>
      </c>
      <c r="B1962" s="107" t="s">
        <v>2512</v>
      </c>
      <c r="C1962" s="28">
        <v>2.0</v>
      </c>
      <c r="D1962" s="29">
        <v>0.0</v>
      </c>
      <c r="E1962" s="26">
        <v>0.0</v>
      </c>
      <c r="F1962" s="26" t="s">
        <v>1522</v>
      </c>
    </row>
    <row r="1963">
      <c r="A1963" s="28" t="s">
        <v>2022</v>
      </c>
      <c r="B1963" s="107" t="s">
        <v>2510</v>
      </c>
      <c r="C1963" s="28">
        <v>2.0</v>
      </c>
      <c r="D1963" s="29">
        <v>0.0</v>
      </c>
      <c r="E1963" s="26">
        <v>0.0</v>
      </c>
      <c r="F1963" s="26" t="s">
        <v>1522</v>
      </c>
    </row>
    <row r="1964">
      <c r="A1964" s="28" t="s">
        <v>2022</v>
      </c>
      <c r="B1964" s="107" t="s">
        <v>2503</v>
      </c>
      <c r="C1964" s="28">
        <v>2.0</v>
      </c>
      <c r="D1964" s="29">
        <v>0.0</v>
      </c>
      <c r="E1964" s="26">
        <v>0.0</v>
      </c>
      <c r="F1964" s="26" t="s">
        <v>1522</v>
      </c>
    </row>
    <row r="1965">
      <c r="A1965" s="28" t="s">
        <v>2022</v>
      </c>
      <c r="B1965" s="107" t="s">
        <v>2511</v>
      </c>
      <c r="C1965" s="28">
        <v>2.0</v>
      </c>
      <c r="D1965" s="29">
        <v>0.0</v>
      </c>
      <c r="E1965" s="26">
        <v>0.0</v>
      </c>
      <c r="F1965" s="26" t="s">
        <v>1522</v>
      </c>
    </row>
    <row r="1966">
      <c r="A1966" s="28" t="s">
        <v>2022</v>
      </c>
      <c r="B1966" s="107" t="s">
        <v>2507</v>
      </c>
      <c r="C1966" s="28">
        <v>2.0</v>
      </c>
      <c r="D1966" s="29">
        <v>0.0</v>
      </c>
      <c r="E1966" s="26">
        <v>0.0</v>
      </c>
      <c r="F1966" s="26" t="s">
        <v>1522</v>
      </c>
    </row>
    <row r="1967">
      <c r="A1967" s="28" t="s">
        <v>2022</v>
      </c>
      <c r="B1967" s="107" t="s">
        <v>2513</v>
      </c>
      <c r="C1967" s="28">
        <v>2.0</v>
      </c>
      <c r="D1967" s="29">
        <v>0.0</v>
      </c>
      <c r="E1967" s="26">
        <v>0.0</v>
      </c>
      <c r="F1967" s="26" t="s">
        <v>1522</v>
      </c>
    </row>
    <row r="1968">
      <c r="A1968" s="28" t="s">
        <v>2022</v>
      </c>
      <c r="B1968" s="107" t="s">
        <v>2505</v>
      </c>
      <c r="C1968" s="28">
        <v>8.0</v>
      </c>
      <c r="D1968" s="29">
        <v>0.0</v>
      </c>
      <c r="E1968" s="26">
        <v>0.0</v>
      </c>
      <c r="F1968" s="26" t="s">
        <v>1522</v>
      </c>
    </row>
    <row r="1969">
      <c r="A1969" s="28" t="s">
        <v>2022</v>
      </c>
      <c r="B1969" s="107" t="s">
        <v>2504</v>
      </c>
      <c r="C1969" s="28">
        <v>4.0</v>
      </c>
      <c r="D1969" s="29">
        <v>0.0</v>
      </c>
      <c r="E1969" s="26">
        <v>0.0</v>
      </c>
      <c r="F1969" s="26" t="s">
        <v>1522</v>
      </c>
    </row>
    <row r="1970">
      <c r="A1970" s="28" t="s">
        <v>2022</v>
      </c>
      <c r="B1970" s="107" t="s">
        <v>2525</v>
      </c>
      <c r="C1970" s="28">
        <v>10.0</v>
      </c>
      <c r="D1970" s="29">
        <v>0.0</v>
      </c>
      <c r="E1970" s="26">
        <v>0.0</v>
      </c>
      <c r="F1970" s="26" t="s">
        <v>2438</v>
      </c>
    </row>
    <row r="1971">
      <c r="A1971" s="28" t="s">
        <v>2022</v>
      </c>
      <c r="B1971" s="107" t="s">
        <v>2472</v>
      </c>
      <c r="C1971" s="28">
        <v>5.0</v>
      </c>
      <c r="D1971" s="29">
        <v>0.0</v>
      </c>
      <c r="E1971" s="26">
        <v>0.0</v>
      </c>
      <c r="F1971" s="26" t="s">
        <v>2438</v>
      </c>
    </row>
    <row r="1972">
      <c r="A1972" s="28" t="s">
        <v>2024</v>
      </c>
      <c r="B1972" s="107" t="s">
        <v>2431</v>
      </c>
      <c r="C1972" s="28">
        <v>1.0</v>
      </c>
      <c r="D1972" s="106">
        <v>2380000.0</v>
      </c>
      <c r="E1972" s="26">
        <v>0.0</v>
      </c>
    </row>
    <row r="1973">
      <c r="A1973" s="28" t="s">
        <v>2025</v>
      </c>
      <c r="B1973" s="107" t="s">
        <v>2429</v>
      </c>
      <c r="C1973" s="28">
        <v>48.0</v>
      </c>
      <c r="D1973" s="106">
        <v>45000.0</v>
      </c>
      <c r="E1973" s="26">
        <v>0.0</v>
      </c>
    </row>
    <row r="1974">
      <c r="A1974" s="28" t="s">
        <v>2025</v>
      </c>
      <c r="B1974" s="107" t="s">
        <v>2430</v>
      </c>
      <c r="C1974" s="28">
        <v>24.0</v>
      </c>
      <c r="D1974" s="106">
        <v>45000.0</v>
      </c>
      <c r="E1974" s="26">
        <v>0.0</v>
      </c>
    </row>
    <row r="1975">
      <c r="A1975" s="28" t="s">
        <v>2025</v>
      </c>
      <c r="B1975" s="107" t="s">
        <v>2426</v>
      </c>
      <c r="C1975" s="28">
        <v>12.0</v>
      </c>
      <c r="D1975" s="106">
        <v>55000.0</v>
      </c>
      <c r="E1975" s="26">
        <v>0.0</v>
      </c>
    </row>
    <row r="1976">
      <c r="A1976" s="28" t="s">
        <v>2025</v>
      </c>
      <c r="B1976" s="107" t="s">
        <v>2478</v>
      </c>
      <c r="C1976" s="28">
        <v>12.0</v>
      </c>
      <c r="D1976" s="106">
        <v>45000.0</v>
      </c>
      <c r="E1976" s="26">
        <v>0.0</v>
      </c>
    </row>
    <row r="1977">
      <c r="A1977" s="28" t="s">
        <v>2026</v>
      </c>
      <c r="B1977" s="107" t="s">
        <v>2433</v>
      </c>
      <c r="C1977" s="28">
        <v>1.0</v>
      </c>
      <c r="D1977" s="106">
        <v>1450000.0</v>
      </c>
      <c r="E1977" s="26">
        <v>0.0</v>
      </c>
    </row>
    <row r="1978">
      <c r="A1978" s="28" t="s">
        <v>2027</v>
      </c>
      <c r="B1978" s="107" t="s">
        <v>2429</v>
      </c>
      <c r="C1978" s="28">
        <v>48.0</v>
      </c>
      <c r="D1978" s="106">
        <v>45000.0</v>
      </c>
      <c r="E1978" s="26">
        <v>0.0</v>
      </c>
    </row>
    <row r="1979">
      <c r="A1979" s="28" t="s">
        <v>2027</v>
      </c>
      <c r="B1979" s="107" t="s">
        <v>2505</v>
      </c>
      <c r="C1979" s="28">
        <v>2.0</v>
      </c>
      <c r="D1979" s="29">
        <v>0.0</v>
      </c>
      <c r="E1979" s="26">
        <v>0.0</v>
      </c>
      <c r="F1979" s="26" t="s">
        <v>1522</v>
      </c>
    </row>
    <row r="1980">
      <c r="A1980" s="28" t="s">
        <v>2027</v>
      </c>
      <c r="B1980" s="107" t="s">
        <v>2504</v>
      </c>
      <c r="C1980" s="28">
        <v>2.0</v>
      </c>
      <c r="D1980" s="29">
        <v>0.0</v>
      </c>
      <c r="E1980" s="26">
        <v>0.0</v>
      </c>
      <c r="F1980" s="26" t="s">
        <v>1522</v>
      </c>
    </row>
    <row r="1981">
      <c r="A1981" s="28" t="s">
        <v>2028</v>
      </c>
      <c r="B1981" s="107" t="s">
        <v>2433</v>
      </c>
      <c r="C1981" s="28">
        <v>1.0</v>
      </c>
      <c r="D1981" s="106">
        <v>1450000.0</v>
      </c>
      <c r="E1981" s="29">
        <v>290000.0</v>
      </c>
    </row>
    <row r="1982">
      <c r="A1982" s="28" t="s">
        <v>2029</v>
      </c>
      <c r="B1982" s="107" t="s">
        <v>2425</v>
      </c>
      <c r="C1982" s="28">
        <v>1.0</v>
      </c>
      <c r="D1982" s="106">
        <v>1875000.0</v>
      </c>
      <c r="E1982" s="29">
        <v>290000.0</v>
      </c>
    </row>
    <row r="1983">
      <c r="A1983" s="28" t="s">
        <v>2030</v>
      </c>
      <c r="B1983" s="107" t="s">
        <v>2425</v>
      </c>
      <c r="C1983" s="28">
        <v>2.0</v>
      </c>
      <c r="D1983" s="106">
        <v>1875000.0</v>
      </c>
      <c r="E1983" s="29">
        <v>290000.0</v>
      </c>
    </row>
    <row r="1984">
      <c r="A1984" s="28" t="s">
        <v>2030</v>
      </c>
      <c r="B1984" s="107" t="s">
        <v>2519</v>
      </c>
      <c r="C1984" s="28">
        <v>1.0</v>
      </c>
      <c r="D1984" s="29">
        <v>0.0</v>
      </c>
      <c r="E1984" s="26">
        <v>0.0</v>
      </c>
      <c r="F1984" s="26" t="s">
        <v>2436</v>
      </c>
    </row>
    <row r="1985">
      <c r="A1985" s="28" t="s">
        <v>2030</v>
      </c>
      <c r="B1985" s="107" t="s">
        <v>2442</v>
      </c>
      <c r="C1985" s="28">
        <v>50.0</v>
      </c>
      <c r="D1985" s="29">
        <v>0.0</v>
      </c>
      <c r="E1985" s="26">
        <v>0.0</v>
      </c>
      <c r="F1985" s="26" t="s">
        <v>2438</v>
      </c>
    </row>
    <row r="1986">
      <c r="A1986" s="28" t="s">
        <v>2031</v>
      </c>
      <c r="B1986" s="107" t="s">
        <v>2425</v>
      </c>
      <c r="C1986" s="28">
        <v>1.0</v>
      </c>
      <c r="D1986" s="106">
        <v>1875000.0</v>
      </c>
      <c r="E1986" s="26">
        <v>0.0</v>
      </c>
    </row>
    <row r="1987">
      <c r="A1987" s="28" t="s">
        <v>2032</v>
      </c>
      <c r="B1987" s="107" t="s">
        <v>2433</v>
      </c>
      <c r="C1987" s="28">
        <v>1.0</v>
      </c>
      <c r="D1987" s="106">
        <v>1450000.0</v>
      </c>
      <c r="E1987" s="26">
        <v>0.0</v>
      </c>
    </row>
    <row r="1988">
      <c r="A1988" s="28" t="s">
        <v>2033</v>
      </c>
      <c r="B1988" s="107" t="s">
        <v>2433</v>
      </c>
      <c r="C1988" s="28">
        <v>1.0</v>
      </c>
      <c r="D1988" s="106">
        <v>1450000.0</v>
      </c>
      <c r="E1988" s="26">
        <v>0.0</v>
      </c>
    </row>
    <row r="1989">
      <c r="A1989" s="28" t="s">
        <v>2033</v>
      </c>
      <c r="B1989" s="107" t="s">
        <v>2505</v>
      </c>
      <c r="C1989" s="28">
        <v>1.0</v>
      </c>
      <c r="D1989" s="29">
        <v>0.0</v>
      </c>
      <c r="E1989" s="26">
        <v>0.0</v>
      </c>
      <c r="F1989" s="26" t="s">
        <v>1522</v>
      </c>
    </row>
    <row r="1990">
      <c r="A1990" s="28" t="s">
        <v>2034</v>
      </c>
      <c r="B1990" s="107" t="s">
        <v>2511</v>
      </c>
      <c r="C1990" s="28">
        <v>120.0</v>
      </c>
      <c r="D1990" s="29">
        <v>45000.0</v>
      </c>
      <c r="E1990" s="26">
        <v>0.0</v>
      </c>
    </row>
    <row r="1991">
      <c r="A1991" s="28" t="s">
        <v>2034</v>
      </c>
      <c r="B1991" s="107" t="s">
        <v>2507</v>
      </c>
      <c r="C1991" s="28">
        <v>480.0</v>
      </c>
      <c r="D1991" s="29">
        <v>45000.0</v>
      </c>
      <c r="E1991" s="26">
        <v>0.0</v>
      </c>
    </row>
    <row r="1992">
      <c r="A1992" s="28" t="s">
        <v>2034</v>
      </c>
      <c r="B1992" s="107" t="s">
        <v>2522</v>
      </c>
      <c r="C1992" s="28">
        <v>3.0</v>
      </c>
      <c r="D1992" s="29">
        <v>2500000.0</v>
      </c>
      <c r="E1992" s="26">
        <v>0.0</v>
      </c>
    </row>
    <row r="1993">
      <c r="A1993" s="28" t="s">
        <v>2034</v>
      </c>
      <c r="B1993" s="107" t="s">
        <v>2520</v>
      </c>
      <c r="C1993" s="28">
        <v>7.0</v>
      </c>
      <c r="D1993" s="29">
        <v>1790000.0</v>
      </c>
      <c r="E1993" s="26">
        <v>0.0</v>
      </c>
    </row>
    <row r="1994">
      <c r="A1994" s="28" t="s">
        <v>2034</v>
      </c>
      <c r="B1994" s="107" t="s">
        <v>2515</v>
      </c>
      <c r="C1994" s="28">
        <v>17.0</v>
      </c>
      <c r="D1994" s="29">
        <v>1450000.0</v>
      </c>
      <c r="E1994" s="26">
        <v>0.0</v>
      </c>
    </row>
    <row r="1995">
      <c r="A1995" s="28" t="s">
        <v>2035</v>
      </c>
      <c r="B1995" s="107" t="s">
        <v>2515</v>
      </c>
      <c r="C1995" s="28">
        <v>4.0</v>
      </c>
      <c r="D1995" s="29">
        <v>1450000.0</v>
      </c>
      <c r="E1995" s="26">
        <v>0.0</v>
      </c>
    </row>
    <row r="1996">
      <c r="A1996" s="28" t="s">
        <v>2035</v>
      </c>
      <c r="B1996" s="107" t="s">
        <v>2516</v>
      </c>
      <c r="C1996" s="28">
        <v>2.0</v>
      </c>
      <c r="D1996" s="29">
        <v>1480000.0</v>
      </c>
      <c r="E1996" s="26">
        <v>0.0</v>
      </c>
    </row>
    <row r="1997">
      <c r="A1997" s="28" t="s">
        <v>2035</v>
      </c>
      <c r="B1997" s="107" t="s">
        <v>2517</v>
      </c>
      <c r="C1997" s="28">
        <v>1.0</v>
      </c>
      <c r="D1997" s="29">
        <v>2380000.0</v>
      </c>
      <c r="E1997" s="26">
        <v>0.0</v>
      </c>
    </row>
    <row r="1998">
      <c r="A1998" s="28" t="s">
        <v>2035</v>
      </c>
      <c r="B1998" s="107" t="s">
        <v>2507</v>
      </c>
      <c r="C1998" s="28">
        <v>120.0</v>
      </c>
      <c r="D1998" s="29">
        <v>45000.0</v>
      </c>
      <c r="E1998" s="26">
        <v>0.0</v>
      </c>
    </row>
    <row r="1999">
      <c r="A1999" s="28" t="s">
        <v>2036</v>
      </c>
      <c r="B1999" s="107" t="s">
        <v>2425</v>
      </c>
      <c r="C1999" s="28">
        <v>1.0</v>
      </c>
      <c r="D1999" s="106">
        <v>1875000.0</v>
      </c>
      <c r="E1999" s="29">
        <v>281250.0</v>
      </c>
    </row>
    <row r="2000">
      <c r="A2000" s="28" t="s">
        <v>2036</v>
      </c>
      <c r="B2000" s="107" t="s">
        <v>2442</v>
      </c>
      <c r="C2000" s="28">
        <v>50.0</v>
      </c>
      <c r="D2000" s="29">
        <v>0.0</v>
      </c>
      <c r="E2000" s="26">
        <v>0.0</v>
      </c>
      <c r="F2000" s="26" t="s">
        <v>2438</v>
      </c>
    </row>
    <row r="2001">
      <c r="A2001" s="28" t="s">
        <v>2036</v>
      </c>
      <c r="B2001" s="107" t="s">
        <v>2505</v>
      </c>
      <c r="C2001" s="28">
        <v>1.0</v>
      </c>
      <c r="D2001" s="29">
        <v>0.0</v>
      </c>
      <c r="E2001" s="26">
        <v>0.0</v>
      </c>
      <c r="F2001" s="26" t="s">
        <v>1522</v>
      </c>
    </row>
    <row r="2002">
      <c r="A2002" s="28" t="s">
        <v>2037</v>
      </c>
      <c r="B2002" s="107" t="s">
        <v>2433</v>
      </c>
      <c r="C2002" s="28">
        <v>1.0</v>
      </c>
      <c r="D2002" s="106">
        <v>1450000.0</v>
      </c>
      <c r="E2002" s="26">
        <v>0.0</v>
      </c>
    </row>
    <row r="2003">
      <c r="A2003" s="28" t="s">
        <v>2038</v>
      </c>
      <c r="B2003" s="107" t="s">
        <v>2429</v>
      </c>
      <c r="C2003" s="28">
        <v>24.0</v>
      </c>
      <c r="D2003" s="106">
        <v>45000.0</v>
      </c>
      <c r="E2003" s="26">
        <v>0.0</v>
      </c>
    </row>
    <row r="2004">
      <c r="A2004" s="28" t="s">
        <v>2039</v>
      </c>
      <c r="B2004" s="107" t="s">
        <v>2430</v>
      </c>
      <c r="C2004" s="28">
        <v>12.0</v>
      </c>
      <c r="D2004" s="106">
        <v>45000.0</v>
      </c>
      <c r="E2004" s="26">
        <v>0.0</v>
      </c>
    </row>
    <row r="2005">
      <c r="A2005" s="28" t="s">
        <v>2039</v>
      </c>
      <c r="B2005" s="107" t="s">
        <v>2429</v>
      </c>
      <c r="C2005" s="28">
        <v>24.0</v>
      </c>
      <c r="D2005" s="106">
        <v>45000.0</v>
      </c>
      <c r="E2005" s="26">
        <v>0.0</v>
      </c>
    </row>
    <row r="2006">
      <c r="A2006" s="28" t="s">
        <v>2039</v>
      </c>
      <c r="B2006" s="107" t="s">
        <v>2442</v>
      </c>
      <c r="C2006" s="28">
        <v>100.0</v>
      </c>
      <c r="D2006" s="29">
        <v>0.0</v>
      </c>
      <c r="E2006" s="26">
        <v>0.0</v>
      </c>
      <c r="F2006" s="26" t="s">
        <v>2438</v>
      </c>
    </row>
    <row r="2007">
      <c r="A2007" s="28" t="s">
        <v>2040</v>
      </c>
      <c r="B2007" s="107" t="s">
        <v>2505</v>
      </c>
      <c r="C2007" s="28">
        <v>3.0</v>
      </c>
      <c r="D2007" s="29">
        <v>0.0</v>
      </c>
      <c r="E2007" s="26">
        <v>0.0</v>
      </c>
      <c r="F2007" s="26" t="s">
        <v>1522</v>
      </c>
    </row>
    <row r="2008">
      <c r="A2008" s="28" t="s">
        <v>2040</v>
      </c>
      <c r="B2008" s="107" t="s">
        <v>2504</v>
      </c>
      <c r="C2008" s="28">
        <v>3.0</v>
      </c>
      <c r="D2008" s="29">
        <v>0.0</v>
      </c>
      <c r="E2008" s="26">
        <v>0.0</v>
      </c>
      <c r="F2008" s="26" t="s">
        <v>1522</v>
      </c>
    </row>
    <row r="2009">
      <c r="A2009" s="28" t="s">
        <v>2040</v>
      </c>
      <c r="B2009" s="107" t="s">
        <v>2471</v>
      </c>
      <c r="C2009" s="28">
        <v>1.0</v>
      </c>
      <c r="D2009" s="29">
        <v>0.0</v>
      </c>
      <c r="E2009" s="26">
        <v>0.0</v>
      </c>
      <c r="F2009" s="26" t="s">
        <v>1522</v>
      </c>
    </row>
    <row r="2010">
      <c r="A2010" s="28" t="s">
        <v>2041</v>
      </c>
      <c r="B2010" s="107" t="s">
        <v>2432</v>
      </c>
      <c r="C2010" s="28">
        <v>1.0</v>
      </c>
      <c r="D2010" s="106">
        <v>1480000.0</v>
      </c>
      <c r="E2010" s="29">
        <v>296000.0</v>
      </c>
    </row>
    <row r="2011">
      <c r="A2011" s="28" t="s">
        <v>2041</v>
      </c>
      <c r="B2011" s="107" t="s">
        <v>2495</v>
      </c>
      <c r="C2011" s="28">
        <v>1.0</v>
      </c>
      <c r="D2011" s="106">
        <v>1790000.0</v>
      </c>
      <c r="E2011" s="29">
        <v>358000.0</v>
      </c>
    </row>
    <row r="2012">
      <c r="A2012" s="28" t="s">
        <v>2041</v>
      </c>
      <c r="B2012" s="107" t="s">
        <v>2425</v>
      </c>
      <c r="C2012" s="28">
        <v>1.0</v>
      </c>
      <c r="D2012" s="106">
        <v>1875000.0</v>
      </c>
      <c r="E2012" s="29">
        <v>375000.0</v>
      </c>
    </row>
    <row r="2013">
      <c r="A2013" s="28" t="s">
        <v>2042</v>
      </c>
      <c r="B2013" s="107" t="s">
        <v>2431</v>
      </c>
      <c r="C2013" s="28">
        <v>1.0</v>
      </c>
      <c r="D2013" s="106">
        <v>2380000.0</v>
      </c>
      <c r="E2013" s="26">
        <v>0.0</v>
      </c>
    </row>
    <row r="2014">
      <c r="A2014" s="28" t="s">
        <v>2042</v>
      </c>
      <c r="B2014" s="107" t="s">
        <v>2433</v>
      </c>
      <c r="C2014" s="28">
        <v>1.0</v>
      </c>
      <c r="D2014" s="106">
        <v>1450000.0</v>
      </c>
      <c r="E2014" s="26">
        <v>0.0</v>
      </c>
    </row>
    <row r="2015">
      <c r="A2015" s="28" t="s">
        <v>2042</v>
      </c>
      <c r="B2015" s="107" t="s">
        <v>2504</v>
      </c>
      <c r="C2015" s="28">
        <v>3.0</v>
      </c>
      <c r="D2015" s="29">
        <v>0.0</v>
      </c>
      <c r="E2015" s="26">
        <v>0.0</v>
      </c>
      <c r="F2015" s="26" t="s">
        <v>1522</v>
      </c>
    </row>
    <row r="2016">
      <c r="A2016" s="28" t="s">
        <v>2042</v>
      </c>
      <c r="B2016" s="107" t="s">
        <v>2505</v>
      </c>
      <c r="C2016" s="28">
        <v>3.0</v>
      </c>
      <c r="D2016" s="29">
        <v>0.0</v>
      </c>
      <c r="E2016" s="26">
        <v>0.0</v>
      </c>
      <c r="F2016" s="26" t="s">
        <v>1522</v>
      </c>
    </row>
    <row r="2017">
      <c r="A2017" s="28" t="s">
        <v>2043</v>
      </c>
      <c r="B2017" s="107" t="s">
        <v>2432</v>
      </c>
      <c r="C2017" s="28">
        <v>1.0</v>
      </c>
      <c r="D2017" s="106">
        <v>1480000.0</v>
      </c>
      <c r="E2017" s="29">
        <v>296000.0</v>
      </c>
    </row>
    <row r="2018">
      <c r="A2018" s="28" t="s">
        <v>2044</v>
      </c>
      <c r="B2018" s="107" t="s">
        <v>2433</v>
      </c>
      <c r="C2018" s="28">
        <v>1.0</v>
      </c>
      <c r="D2018" s="106">
        <v>1450000.0</v>
      </c>
      <c r="E2018" s="26">
        <v>0.0</v>
      </c>
    </row>
    <row r="2019">
      <c r="A2019" s="28" t="s">
        <v>2044</v>
      </c>
      <c r="B2019" s="107" t="s">
        <v>2504</v>
      </c>
      <c r="C2019" s="28">
        <v>2.0</v>
      </c>
      <c r="D2019" s="29">
        <v>0.0</v>
      </c>
      <c r="E2019" s="26">
        <v>0.0</v>
      </c>
      <c r="F2019" s="26" t="s">
        <v>1522</v>
      </c>
    </row>
    <row r="2020">
      <c r="A2020" s="28" t="s">
        <v>2044</v>
      </c>
      <c r="B2020" s="107" t="s">
        <v>2505</v>
      </c>
      <c r="C2020" s="28">
        <v>2.0</v>
      </c>
      <c r="D2020" s="29">
        <v>0.0</v>
      </c>
      <c r="E2020" s="26">
        <v>0.0</v>
      </c>
      <c r="F2020" s="26" t="s">
        <v>1522</v>
      </c>
    </row>
    <row r="2021">
      <c r="A2021" s="28" t="s">
        <v>2045</v>
      </c>
      <c r="B2021" s="107" t="s">
        <v>2426</v>
      </c>
      <c r="C2021" s="28">
        <v>12.0</v>
      </c>
      <c r="D2021" s="106">
        <v>55000.0</v>
      </c>
      <c r="E2021" s="26">
        <v>0.0</v>
      </c>
    </row>
    <row r="2022">
      <c r="A2022" s="28" t="s">
        <v>2045</v>
      </c>
      <c r="B2022" s="107" t="s">
        <v>2478</v>
      </c>
      <c r="C2022" s="28">
        <v>6.0</v>
      </c>
      <c r="D2022" s="106">
        <v>45000.0</v>
      </c>
      <c r="E2022" s="26">
        <v>0.0</v>
      </c>
    </row>
    <row r="2023">
      <c r="A2023" s="28" t="s">
        <v>2045</v>
      </c>
      <c r="B2023" s="107" t="s">
        <v>2430</v>
      </c>
      <c r="C2023" s="28">
        <v>6.0</v>
      </c>
      <c r="D2023" s="106">
        <v>45000.0</v>
      </c>
      <c r="E2023" s="26">
        <v>0.0</v>
      </c>
    </row>
    <row r="2024">
      <c r="A2024" s="28" t="s">
        <v>2046</v>
      </c>
      <c r="B2024" s="107" t="s">
        <v>2433</v>
      </c>
      <c r="C2024" s="28">
        <v>1.0</v>
      </c>
      <c r="D2024" s="106">
        <v>1450000.0</v>
      </c>
      <c r="E2024" s="29">
        <v>290000.0</v>
      </c>
    </row>
    <row r="2025">
      <c r="A2025" s="28" t="s">
        <v>2047</v>
      </c>
      <c r="B2025" s="107" t="s">
        <v>2431</v>
      </c>
      <c r="C2025" s="28">
        <v>2.0</v>
      </c>
      <c r="D2025" s="106">
        <v>2380000.0</v>
      </c>
      <c r="E2025" s="26">
        <v>0.0</v>
      </c>
    </row>
    <row r="2026">
      <c r="A2026" s="28" t="s">
        <v>2047</v>
      </c>
      <c r="B2026" s="107" t="s">
        <v>2519</v>
      </c>
      <c r="C2026" s="28">
        <v>1.0</v>
      </c>
      <c r="D2026" s="29">
        <v>0.0</v>
      </c>
      <c r="E2026" s="26">
        <v>0.0</v>
      </c>
      <c r="F2026" s="26" t="s">
        <v>2436</v>
      </c>
    </row>
    <row r="2027">
      <c r="A2027" s="28" t="s">
        <v>2048</v>
      </c>
      <c r="B2027" s="107" t="s">
        <v>2430</v>
      </c>
      <c r="C2027" s="28">
        <v>96.0</v>
      </c>
      <c r="D2027" s="106">
        <v>45000.0</v>
      </c>
      <c r="E2027" s="29">
        <v>1620000.0</v>
      </c>
    </row>
    <row r="2028">
      <c r="A2028" s="28" t="s">
        <v>2048</v>
      </c>
      <c r="B2028" s="107" t="s">
        <v>2435</v>
      </c>
      <c r="C2028" s="28">
        <v>600.0</v>
      </c>
      <c r="D2028" s="106">
        <v>40000.0</v>
      </c>
      <c r="E2028" s="29">
        <v>9000000.0</v>
      </c>
    </row>
    <row r="2029">
      <c r="A2029" s="28" t="s">
        <v>2048</v>
      </c>
      <c r="B2029" s="107" t="s">
        <v>2429</v>
      </c>
      <c r="C2029" s="28">
        <v>408.0</v>
      </c>
      <c r="D2029" s="106">
        <v>45000.0</v>
      </c>
      <c r="E2029" s="29">
        <v>6885000.0</v>
      </c>
    </row>
    <row r="2030">
      <c r="A2030" s="28" t="s">
        <v>2048</v>
      </c>
      <c r="B2030" s="107" t="s">
        <v>2458</v>
      </c>
      <c r="C2030" s="28">
        <v>96.0</v>
      </c>
      <c r="D2030" s="106">
        <v>60000.0</v>
      </c>
      <c r="E2030" s="29">
        <v>2160000.0</v>
      </c>
    </row>
    <row r="2031">
      <c r="A2031" s="28" t="s">
        <v>2049</v>
      </c>
      <c r="B2031" s="107" t="s">
        <v>2495</v>
      </c>
      <c r="C2031" s="28">
        <v>6.0</v>
      </c>
      <c r="D2031" s="106">
        <v>1790000.0</v>
      </c>
      <c r="E2031" s="29">
        <v>3759000.0</v>
      </c>
    </row>
    <row r="2032">
      <c r="A2032" s="28" t="s">
        <v>2049</v>
      </c>
      <c r="B2032" s="107" t="s">
        <v>2429</v>
      </c>
      <c r="C2032" s="28">
        <v>120.0</v>
      </c>
      <c r="D2032" s="106">
        <v>45000.0</v>
      </c>
      <c r="E2032" s="29">
        <v>1890000.0</v>
      </c>
    </row>
    <row r="2033">
      <c r="A2033" s="28" t="s">
        <v>2049</v>
      </c>
      <c r="B2033" s="107" t="s">
        <v>2478</v>
      </c>
      <c r="C2033" s="28">
        <v>120.0</v>
      </c>
      <c r="D2033" s="106">
        <v>45000.0</v>
      </c>
      <c r="E2033" s="29">
        <v>1890000.0</v>
      </c>
    </row>
    <row r="2034">
      <c r="A2034" s="28" t="s">
        <v>2049</v>
      </c>
      <c r="B2034" s="107" t="s">
        <v>2437</v>
      </c>
      <c r="C2034" s="28">
        <v>24.0</v>
      </c>
      <c r="D2034" s="29">
        <v>0.0</v>
      </c>
      <c r="E2034" s="26">
        <v>0.0</v>
      </c>
      <c r="F2034" s="26" t="s">
        <v>2438</v>
      </c>
    </row>
    <row r="2035">
      <c r="A2035" s="28" t="s">
        <v>2049</v>
      </c>
      <c r="B2035" s="107" t="s">
        <v>2442</v>
      </c>
      <c r="C2035" s="28">
        <v>300.0</v>
      </c>
      <c r="D2035" s="29">
        <v>0.0</v>
      </c>
      <c r="E2035" s="26">
        <v>0.0</v>
      </c>
      <c r="F2035" s="26" t="s">
        <v>2438</v>
      </c>
    </row>
    <row r="2036">
      <c r="A2036" s="28" t="s">
        <v>2049</v>
      </c>
      <c r="B2036" s="107" t="s">
        <v>2447</v>
      </c>
      <c r="C2036" s="28">
        <v>3.0</v>
      </c>
      <c r="D2036" s="29">
        <v>0.0</v>
      </c>
      <c r="E2036" s="26">
        <v>0.0</v>
      </c>
      <c r="F2036" s="26" t="s">
        <v>2438</v>
      </c>
    </row>
    <row r="2037">
      <c r="A2037" s="28" t="s">
        <v>2049</v>
      </c>
      <c r="B2037" s="107" t="s">
        <v>2471</v>
      </c>
      <c r="C2037" s="28">
        <v>5.0</v>
      </c>
      <c r="D2037" s="29">
        <v>0.0</v>
      </c>
      <c r="E2037" s="26">
        <v>0.0</v>
      </c>
      <c r="F2037" s="26" t="s">
        <v>2438</v>
      </c>
    </row>
    <row r="2038">
      <c r="A2038" s="28" t="s">
        <v>2049</v>
      </c>
      <c r="B2038" s="107" t="s">
        <v>2457</v>
      </c>
      <c r="D2038" s="29">
        <v>0.0</v>
      </c>
      <c r="E2038" s="26">
        <v>0.0</v>
      </c>
      <c r="F2038" s="26" t="s">
        <v>2438</v>
      </c>
    </row>
    <row r="2039">
      <c r="A2039" s="28" t="s">
        <v>2050</v>
      </c>
      <c r="B2039" s="107" t="s">
        <v>2429</v>
      </c>
      <c r="C2039" s="28">
        <v>24.0</v>
      </c>
      <c r="D2039" s="106">
        <v>45000.0</v>
      </c>
      <c r="E2039" s="26">
        <v>0.0</v>
      </c>
    </row>
    <row r="2040">
      <c r="A2040" s="28" t="s">
        <v>2051</v>
      </c>
      <c r="B2040" s="107" t="s">
        <v>2481</v>
      </c>
      <c r="C2040" s="28">
        <v>1000.0</v>
      </c>
      <c r="D2040" s="106">
        <v>3616.28</v>
      </c>
      <c r="E2040" s="26">
        <v>0.0</v>
      </c>
    </row>
    <row r="2041">
      <c r="A2041" s="28" t="s">
        <v>2052</v>
      </c>
      <c r="B2041" s="107" t="s">
        <v>2433</v>
      </c>
      <c r="C2041" s="28">
        <v>1.0</v>
      </c>
      <c r="D2041" s="106">
        <v>1450000.0</v>
      </c>
      <c r="E2041" s="26">
        <v>0.0</v>
      </c>
    </row>
    <row r="2042">
      <c r="A2042" s="28" t="s">
        <v>2053</v>
      </c>
      <c r="B2042" s="107" t="s">
        <v>2425</v>
      </c>
      <c r="C2042" s="28">
        <v>1.0</v>
      </c>
      <c r="D2042" s="106">
        <v>1875000.0</v>
      </c>
      <c r="E2042" s="26">
        <v>0.0</v>
      </c>
    </row>
    <row r="2043">
      <c r="A2043" s="28" t="s">
        <v>2054</v>
      </c>
      <c r="B2043" s="107" t="s">
        <v>2505</v>
      </c>
      <c r="C2043" s="28">
        <v>6.0</v>
      </c>
      <c r="D2043" s="29">
        <v>0.0</v>
      </c>
      <c r="E2043" s="26">
        <v>0.0</v>
      </c>
      <c r="F2043" s="26" t="s">
        <v>1522</v>
      </c>
    </row>
    <row r="2044">
      <c r="A2044" s="28" t="s">
        <v>2054</v>
      </c>
      <c r="B2044" s="107" t="s">
        <v>2504</v>
      </c>
      <c r="C2044" s="28">
        <v>6.0</v>
      </c>
      <c r="D2044" s="29">
        <v>0.0</v>
      </c>
      <c r="E2044" s="26">
        <v>0.0</v>
      </c>
      <c r="F2044" s="26" t="s">
        <v>1522</v>
      </c>
    </row>
    <row r="2045">
      <c r="A2045" s="28" t="s">
        <v>2054</v>
      </c>
      <c r="B2045" s="107" t="s">
        <v>2472</v>
      </c>
      <c r="C2045" s="28">
        <v>4.0</v>
      </c>
      <c r="D2045" s="29">
        <v>0.0</v>
      </c>
      <c r="E2045" s="26">
        <v>0.0</v>
      </c>
      <c r="F2045" s="26" t="s">
        <v>2438</v>
      </c>
    </row>
    <row r="2046">
      <c r="A2046" s="28" t="s">
        <v>2054</v>
      </c>
      <c r="B2046" s="107" t="s">
        <v>2471</v>
      </c>
      <c r="C2046" s="28">
        <v>2.0</v>
      </c>
      <c r="D2046" s="29">
        <v>0.0</v>
      </c>
      <c r="E2046" s="26">
        <v>0.0</v>
      </c>
      <c r="F2046" s="26" t="s">
        <v>2438</v>
      </c>
    </row>
    <row r="2047">
      <c r="A2047" s="28" t="s">
        <v>2055</v>
      </c>
      <c r="B2047" s="107" t="s">
        <v>2430</v>
      </c>
      <c r="C2047" s="28">
        <v>12.0</v>
      </c>
      <c r="D2047" s="106">
        <v>45000.0</v>
      </c>
      <c r="E2047" s="26">
        <v>0.0</v>
      </c>
    </row>
    <row r="2048">
      <c r="A2048" s="28" t="s">
        <v>2055</v>
      </c>
      <c r="B2048" s="107" t="s">
        <v>2478</v>
      </c>
      <c r="C2048" s="28">
        <v>12.0</v>
      </c>
      <c r="D2048" s="106">
        <v>45000.0</v>
      </c>
      <c r="E2048" s="26">
        <v>0.0</v>
      </c>
    </row>
    <row r="2049">
      <c r="A2049" s="28" t="s">
        <v>2056</v>
      </c>
      <c r="B2049" s="107" t="s">
        <v>2507</v>
      </c>
      <c r="C2049" s="28">
        <v>24.0</v>
      </c>
      <c r="D2049" s="29">
        <v>0.0</v>
      </c>
      <c r="E2049" s="26">
        <v>0.0</v>
      </c>
      <c r="F2049" s="26" t="s">
        <v>2473</v>
      </c>
    </row>
    <row r="2050">
      <c r="A2050" s="28" t="s">
        <v>2057</v>
      </c>
      <c r="B2050" s="107" t="s">
        <v>2430</v>
      </c>
      <c r="C2050" s="28">
        <v>24.0</v>
      </c>
      <c r="D2050" s="106">
        <v>45000.0</v>
      </c>
      <c r="E2050" s="26">
        <v>0.0</v>
      </c>
    </row>
    <row r="2051">
      <c r="A2051" s="28" t="s">
        <v>2058</v>
      </c>
      <c r="B2051" s="107" t="s">
        <v>2432</v>
      </c>
      <c r="C2051" s="28">
        <v>1.0</v>
      </c>
      <c r="D2051" s="106">
        <v>1480000.0</v>
      </c>
      <c r="E2051" s="29">
        <v>296000.0</v>
      </c>
    </row>
    <row r="2052">
      <c r="A2052" s="28" t="s">
        <v>2059</v>
      </c>
      <c r="B2052" s="107" t="s">
        <v>2433</v>
      </c>
      <c r="C2052" s="28">
        <v>1.0</v>
      </c>
      <c r="D2052" s="106">
        <v>1450000.0</v>
      </c>
      <c r="E2052" s="26">
        <v>0.0</v>
      </c>
    </row>
    <row r="2053">
      <c r="A2053" s="28" t="s">
        <v>2060</v>
      </c>
      <c r="B2053" s="107" t="s">
        <v>2433</v>
      </c>
      <c r="C2053" s="28">
        <v>1.0</v>
      </c>
      <c r="D2053" s="106">
        <v>1450000.0</v>
      </c>
      <c r="E2053" s="26">
        <v>0.0</v>
      </c>
    </row>
    <row r="2054">
      <c r="A2054" s="28" t="s">
        <v>2061</v>
      </c>
      <c r="B2054" s="107" t="s">
        <v>2433</v>
      </c>
      <c r="C2054" s="28">
        <v>1.0</v>
      </c>
      <c r="D2054" s="106">
        <v>1450000.0</v>
      </c>
      <c r="E2054" s="26">
        <v>0.0</v>
      </c>
    </row>
    <row r="2055">
      <c r="A2055" s="28" t="s">
        <v>2061</v>
      </c>
      <c r="B2055" s="107" t="s">
        <v>2494</v>
      </c>
      <c r="C2055" s="28">
        <v>2.0</v>
      </c>
      <c r="D2055" s="106">
        <v>2500000.0</v>
      </c>
      <c r="E2055" s="29">
        <v>440000.0</v>
      </c>
    </row>
    <row r="2056">
      <c r="A2056" s="28" t="s">
        <v>2061</v>
      </c>
      <c r="B2056" s="107" t="s">
        <v>2526</v>
      </c>
      <c r="C2056" s="28">
        <v>1.0</v>
      </c>
      <c r="D2056" s="29">
        <v>0.0</v>
      </c>
      <c r="E2056" s="26">
        <v>0.0</v>
      </c>
      <c r="F2056" s="26" t="s">
        <v>2436</v>
      </c>
    </row>
    <row r="2057">
      <c r="A2057" s="28" t="s">
        <v>2062</v>
      </c>
      <c r="B2057" s="107" t="s">
        <v>2429</v>
      </c>
      <c r="C2057" s="28">
        <v>48.0</v>
      </c>
      <c r="D2057" s="106">
        <v>45000.0</v>
      </c>
      <c r="E2057" s="26">
        <v>0.0</v>
      </c>
    </row>
    <row r="2058">
      <c r="A2058" s="28" t="s">
        <v>2063</v>
      </c>
      <c r="B2058" s="107" t="s">
        <v>2433</v>
      </c>
      <c r="C2058" s="28">
        <v>1.0</v>
      </c>
      <c r="D2058" s="106">
        <v>1450000.0</v>
      </c>
      <c r="E2058" s="26">
        <v>0.0</v>
      </c>
    </row>
    <row r="2059">
      <c r="A2059" s="28" t="s">
        <v>2064</v>
      </c>
      <c r="B2059" s="107" t="s">
        <v>2425</v>
      </c>
      <c r="C2059" s="28">
        <v>1.0</v>
      </c>
      <c r="D2059" s="106">
        <v>1875000.0</v>
      </c>
      <c r="E2059" s="26">
        <v>0.0</v>
      </c>
    </row>
    <row r="2060">
      <c r="A2060" s="28" t="s">
        <v>2064</v>
      </c>
      <c r="B2060" s="107" t="s">
        <v>2471</v>
      </c>
      <c r="C2060" s="28">
        <v>2.0</v>
      </c>
      <c r="D2060" s="29">
        <v>0.0</v>
      </c>
      <c r="E2060" s="26">
        <v>0.0</v>
      </c>
      <c r="F2060" s="26" t="s">
        <v>2438</v>
      </c>
    </row>
    <row r="2061">
      <c r="A2061" s="28" t="s">
        <v>2065</v>
      </c>
      <c r="B2061" s="107" t="s">
        <v>2429</v>
      </c>
      <c r="C2061" s="28">
        <v>24.0</v>
      </c>
      <c r="D2061" s="106">
        <v>45000.0</v>
      </c>
      <c r="E2061" s="26">
        <v>0.0</v>
      </c>
    </row>
    <row r="2062">
      <c r="A2062" s="28" t="s">
        <v>2066</v>
      </c>
      <c r="B2062" s="107" t="s">
        <v>2433</v>
      </c>
      <c r="C2062" s="28">
        <v>1.0</v>
      </c>
      <c r="D2062" s="106">
        <v>1450000.0</v>
      </c>
      <c r="E2062" s="26">
        <v>0.0</v>
      </c>
    </row>
    <row r="2063">
      <c r="A2063" s="28" t="s">
        <v>2067</v>
      </c>
      <c r="B2063" s="107" t="s">
        <v>2426</v>
      </c>
      <c r="C2063" s="28">
        <v>24.0</v>
      </c>
      <c r="D2063" s="106">
        <v>55000.0</v>
      </c>
      <c r="E2063" s="26">
        <v>0.0</v>
      </c>
    </row>
    <row r="2064">
      <c r="A2064" s="28" t="s">
        <v>2068</v>
      </c>
      <c r="B2064" s="107" t="s">
        <v>2433</v>
      </c>
      <c r="C2064" s="28">
        <v>1.0</v>
      </c>
      <c r="D2064" s="106">
        <v>1450000.0</v>
      </c>
      <c r="E2064" s="26">
        <v>0.0</v>
      </c>
    </row>
    <row r="2065">
      <c r="A2065" s="28" t="s">
        <v>2068</v>
      </c>
      <c r="B2065" s="107" t="s">
        <v>2495</v>
      </c>
      <c r="C2065" s="28">
        <v>1.0</v>
      </c>
      <c r="D2065" s="106">
        <v>1790000.0</v>
      </c>
      <c r="E2065" s="26">
        <v>0.0</v>
      </c>
    </row>
    <row r="2066">
      <c r="A2066" s="28" t="s">
        <v>2068</v>
      </c>
      <c r="B2066" s="107" t="s">
        <v>2442</v>
      </c>
      <c r="C2066" s="28">
        <v>50.0</v>
      </c>
      <c r="D2066" s="29">
        <v>0.0</v>
      </c>
      <c r="E2066" s="26">
        <v>0.0</v>
      </c>
      <c r="F2066" s="26" t="s">
        <v>2438</v>
      </c>
    </row>
    <row r="2067">
      <c r="A2067" s="28" t="s">
        <v>2068</v>
      </c>
      <c r="B2067" s="107" t="s">
        <v>2502</v>
      </c>
      <c r="C2067" s="28">
        <v>2.0</v>
      </c>
      <c r="D2067" s="29">
        <v>0.0</v>
      </c>
      <c r="E2067" s="26">
        <v>0.0</v>
      </c>
      <c r="F2067" s="26" t="s">
        <v>1522</v>
      </c>
    </row>
    <row r="2068">
      <c r="A2068" s="28" t="s">
        <v>2068</v>
      </c>
      <c r="B2068" s="107" t="s">
        <v>2505</v>
      </c>
      <c r="C2068" s="28">
        <v>2.0</v>
      </c>
      <c r="D2068" s="29">
        <v>0.0</v>
      </c>
      <c r="E2068" s="26">
        <v>0.0</v>
      </c>
      <c r="F2068" s="26" t="s">
        <v>1522</v>
      </c>
    </row>
    <row r="2069">
      <c r="A2069" s="28" t="s">
        <v>2068</v>
      </c>
      <c r="B2069" s="107" t="s">
        <v>2504</v>
      </c>
      <c r="C2069" s="28">
        <v>2.0</v>
      </c>
      <c r="D2069" s="29">
        <v>0.0</v>
      </c>
      <c r="E2069" s="26">
        <v>0.0</v>
      </c>
      <c r="F2069" s="26" t="s">
        <v>1522</v>
      </c>
    </row>
    <row r="2070">
      <c r="A2070" s="28" t="s">
        <v>2069</v>
      </c>
      <c r="B2070" s="107" t="s">
        <v>2425</v>
      </c>
      <c r="C2070" s="28">
        <v>1.0</v>
      </c>
      <c r="D2070" s="106">
        <v>1875000.0</v>
      </c>
      <c r="E2070" s="26">
        <v>0.0</v>
      </c>
    </row>
    <row r="2071">
      <c r="A2071" s="28" t="s">
        <v>2069</v>
      </c>
      <c r="B2071" s="107" t="s">
        <v>2431</v>
      </c>
      <c r="C2071" s="28">
        <v>1.0</v>
      </c>
      <c r="D2071" s="106">
        <v>2380000.0</v>
      </c>
      <c r="E2071" s="26">
        <v>0.0</v>
      </c>
    </row>
    <row r="2072">
      <c r="A2072" s="28" t="s">
        <v>2070</v>
      </c>
      <c r="B2072" s="107" t="s">
        <v>2425</v>
      </c>
      <c r="C2072" s="28">
        <v>1.0</v>
      </c>
      <c r="D2072" s="106">
        <v>1875000.0</v>
      </c>
      <c r="E2072" s="29">
        <v>375000.0</v>
      </c>
    </row>
    <row r="2073">
      <c r="A2073" s="28" t="s">
        <v>2071</v>
      </c>
      <c r="B2073" s="107" t="s">
        <v>2521</v>
      </c>
      <c r="C2073" s="28">
        <v>1.0</v>
      </c>
      <c r="D2073" s="29">
        <v>0.0</v>
      </c>
      <c r="E2073" s="26">
        <v>0.0</v>
      </c>
      <c r="F2073" s="26" t="s">
        <v>1522</v>
      </c>
    </row>
    <row r="2074">
      <c r="A2074" s="28" t="s">
        <v>2071</v>
      </c>
      <c r="B2074" s="107" t="s">
        <v>2502</v>
      </c>
      <c r="C2074" s="28">
        <v>1.0</v>
      </c>
      <c r="D2074" s="29">
        <v>0.0</v>
      </c>
      <c r="E2074" s="26">
        <v>0.0</v>
      </c>
      <c r="F2074" s="26" t="s">
        <v>1522</v>
      </c>
    </row>
    <row r="2075">
      <c r="A2075" s="28" t="s">
        <v>2071</v>
      </c>
      <c r="B2075" s="107" t="s">
        <v>2505</v>
      </c>
      <c r="C2075" s="28">
        <v>1.0</v>
      </c>
      <c r="D2075" s="29">
        <v>0.0</v>
      </c>
      <c r="E2075" s="26">
        <v>0.0</v>
      </c>
      <c r="F2075" s="26" t="s">
        <v>1522</v>
      </c>
    </row>
    <row r="2076">
      <c r="A2076" s="28" t="s">
        <v>2071</v>
      </c>
      <c r="B2076" s="107" t="s">
        <v>2504</v>
      </c>
      <c r="C2076" s="28">
        <v>1.0</v>
      </c>
      <c r="D2076" s="29">
        <v>0.0</v>
      </c>
      <c r="E2076" s="26">
        <v>0.0</v>
      </c>
      <c r="F2076" s="26" t="s">
        <v>1522</v>
      </c>
    </row>
    <row r="2077">
      <c r="A2077" s="28" t="s">
        <v>2073</v>
      </c>
      <c r="B2077" s="107" t="s">
        <v>2431</v>
      </c>
      <c r="C2077" s="28">
        <v>1.0</v>
      </c>
      <c r="D2077" s="106">
        <v>2380000.0</v>
      </c>
      <c r="E2077" s="26">
        <v>0.0</v>
      </c>
    </row>
    <row r="2078">
      <c r="A2078" s="28" t="s">
        <v>2074</v>
      </c>
      <c r="B2078" s="107" t="s">
        <v>2429</v>
      </c>
      <c r="C2078" s="28">
        <v>48.0</v>
      </c>
      <c r="D2078" s="106">
        <v>45000.0</v>
      </c>
      <c r="E2078" s="26">
        <v>0.0</v>
      </c>
    </row>
    <row r="2079">
      <c r="A2079" s="28" t="s">
        <v>2075</v>
      </c>
      <c r="B2079" s="107" t="s">
        <v>2507</v>
      </c>
      <c r="C2079" s="28">
        <v>480.0</v>
      </c>
      <c r="D2079" s="29">
        <v>45000.0</v>
      </c>
      <c r="E2079" s="26">
        <v>0.0</v>
      </c>
    </row>
    <row r="2080">
      <c r="A2080" s="28" t="s">
        <v>2075</v>
      </c>
      <c r="B2080" s="107" t="s">
        <v>2503</v>
      </c>
      <c r="C2080" s="28">
        <v>120.0</v>
      </c>
      <c r="D2080" s="29">
        <v>55000.0</v>
      </c>
      <c r="E2080" s="26">
        <v>0.0</v>
      </c>
    </row>
    <row r="2081">
      <c r="A2081" s="28" t="s">
        <v>2075</v>
      </c>
      <c r="B2081" s="107" t="s">
        <v>2516</v>
      </c>
      <c r="C2081" s="28">
        <v>13.0</v>
      </c>
      <c r="D2081" s="29">
        <v>1480000.0</v>
      </c>
      <c r="E2081" s="26">
        <v>0.0</v>
      </c>
    </row>
    <row r="2082">
      <c r="A2082" s="28" t="s">
        <v>2075</v>
      </c>
      <c r="B2082" s="107" t="s">
        <v>2520</v>
      </c>
      <c r="C2082" s="28">
        <v>7.0</v>
      </c>
      <c r="D2082" s="29">
        <v>1790000.0</v>
      </c>
      <c r="E2082" s="26">
        <v>0.0</v>
      </c>
    </row>
    <row r="2083">
      <c r="A2083" s="28" t="s">
        <v>2075</v>
      </c>
      <c r="B2083" s="107" t="s">
        <v>2515</v>
      </c>
      <c r="C2083" s="28">
        <v>18.0</v>
      </c>
      <c r="D2083" s="29">
        <v>1450000.0</v>
      </c>
      <c r="E2083" s="26">
        <v>0.0</v>
      </c>
    </row>
    <row r="2084">
      <c r="A2084" s="28" t="s">
        <v>2075</v>
      </c>
      <c r="B2084" s="107" t="s">
        <v>2517</v>
      </c>
      <c r="C2084" s="28">
        <v>9.0</v>
      </c>
      <c r="D2084" s="29">
        <v>2380000.0</v>
      </c>
      <c r="E2084" s="26">
        <v>0.0</v>
      </c>
    </row>
    <row r="2085">
      <c r="A2085" s="28" t="s">
        <v>2076</v>
      </c>
      <c r="B2085" s="107" t="s">
        <v>2433</v>
      </c>
      <c r="C2085" s="28">
        <v>1.0</v>
      </c>
      <c r="D2085" s="106">
        <v>1450000.0</v>
      </c>
      <c r="E2085" s="26">
        <v>0.0</v>
      </c>
    </row>
    <row r="2086">
      <c r="A2086" s="28" t="s">
        <v>2077</v>
      </c>
      <c r="B2086" s="107" t="s">
        <v>2429</v>
      </c>
      <c r="C2086" s="28">
        <v>48.0</v>
      </c>
      <c r="D2086" s="106">
        <v>45000.0</v>
      </c>
      <c r="E2086" s="26">
        <v>0.0</v>
      </c>
    </row>
    <row r="2087">
      <c r="A2087" s="28" t="s">
        <v>2077</v>
      </c>
      <c r="B2087" s="107" t="s">
        <v>2437</v>
      </c>
      <c r="C2087" s="28">
        <v>6.0</v>
      </c>
      <c r="D2087" s="29">
        <v>0.0</v>
      </c>
      <c r="E2087" s="26">
        <v>0.0</v>
      </c>
      <c r="F2087" s="26" t="s">
        <v>2438</v>
      </c>
    </row>
    <row r="2088">
      <c r="A2088" s="28" t="s">
        <v>2077</v>
      </c>
      <c r="B2088" s="107" t="s">
        <v>2442</v>
      </c>
      <c r="C2088" s="28">
        <v>100.0</v>
      </c>
      <c r="D2088" s="29">
        <v>0.0</v>
      </c>
      <c r="E2088" s="26">
        <v>0.0</v>
      </c>
      <c r="F2088" s="26" t="s">
        <v>2438</v>
      </c>
    </row>
    <row r="2089">
      <c r="A2089" s="28" t="s">
        <v>2078</v>
      </c>
      <c r="B2089" s="107" t="s">
        <v>2425</v>
      </c>
      <c r="C2089" s="28">
        <v>2.0</v>
      </c>
      <c r="D2089" s="106">
        <v>1875000.0</v>
      </c>
      <c r="E2089" s="26">
        <v>0.0</v>
      </c>
    </row>
    <row r="2090">
      <c r="A2090" s="28" t="s">
        <v>2078</v>
      </c>
      <c r="B2090" s="107" t="s">
        <v>2441</v>
      </c>
      <c r="C2090" s="28">
        <v>10.0</v>
      </c>
      <c r="D2090" s="106">
        <v>32000.0</v>
      </c>
      <c r="E2090" s="26">
        <v>0.0</v>
      </c>
    </row>
    <row r="2091">
      <c r="A2091" s="28" t="s">
        <v>2078</v>
      </c>
      <c r="B2091" s="107" t="s">
        <v>2442</v>
      </c>
      <c r="C2091" s="28">
        <v>50.0</v>
      </c>
      <c r="D2091" s="29">
        <v>0.0</v>
      </c>
      <c r="E2091" s="26">
        <v>0.0</v>
      </c>
      <c r="F2091" s="26" t="s">
        <v>2438</v>
      </c>
    </row>
    <row r="2092">
      <c r="A2092" s="28" t="s">
        <v>2079</v>
      </c>
      <c r="B2092" s="107" t="s">
        <v>2433</v>
      </c>
      <c r="C2092" s="28">
        <v>1.0</v>
      </c>
      <c r="D2092" s="106">
        <v>1450000.0</v>
      </c>
      <c r="E2092" s="26">
        <v>0.0</v>
      </c>
    </row>
    <row r="2093">
      <c r="A2093" s="28" t="s">
        <v>2080</v>
      </c>
      <c r="B2093" s="107" t="s">
        <v>2433</v>
      </c>
      <c r="C2093" s="28">
        <v>1.0</v>
      </c>
      <c r="D2093" s="106">
        <v>1450000.0</v>
      </c>
      <c r="E2093" s="26">
        <v>0.0</v>
      </c>
    </row>
    <row r="2094">
      <c r="A2094" s="28" t="s">
        <v>2081</v>
      </c>
      <c r="B2094" s="107" t="s">
        <v>2425</v>
      </c>
      <c r="C2094" s="28">
        <v>1.0</v>
      </c>
      <c r="D2094" s="106">
        <v>1875000.0</v>
      </c>
      <c r="E2094" s="29">
        <v>309375.0</v>
      </c>
    </row>
    <row r="2095">
      <c r="A2095" s="28" t="s">
        <v>2081</v>
      </c>
      <c r="B2095" s="107" t="s">
        <v>2433</v>
      </c>
      <c r="C2095" s="28">
        <v>1.0</v>
      </c>
      <c r="D2095" s="106">
        <v>1450000.0</v>
      </c>
      <c r="E2095" s="26">
        <v>0.0</v>
      </c>
    </row>
    <row r="2096">
      <c r="A2096" s="28" t="s">
        <v>2082</v>
      </c>
      <c r="B2096" s="107" t="s">
        <v>2429</v>
      </c>
      <c r="C2096" s="28">
        <v>48.0</v>
      </c>
      <c r="D2096" s="106">
        <v>45000.0</v>
      </c>
      <c r="E2096" s="26">
        <v>0.0</v>
      </c>
    </row>
    <row r="2097">
      <c r="A2097" s="28" t="s">
        <v>2083</v>
      </c>
      <c r="B2097" s="107" t="s">
        <v>2503</v>
      </c>
      <c r="C2097" s="28">
        <v>480.0</v>
      </c>
      <c r="D2097" s="29">
        <v>45000.0</v>
      </c>
      <c r="E2097" s="26">
        <v>0.0</v>
      </c>
    </row>
    <row r="2098">
      <c r="A2098" s="28" t="s">
        <v>2083</v>
      </c>
      <c r="B2098" s="107" t="s">
        <v>2513</v>
      </c>
      <c r="C2098" s="28">
        <v>288.0</v>
      </c>
      <c r="D2098" s="29">
        <v>60000.0</v>
      </c>
      <c r="E2098" s="26">
        <v>0.0</v>
      </c>
    </row>
    <row r="2099">
      <c r="A2099" s="28" t="s">
        <v>2083</v>
      </c>
      <c r="B2099" s="107" t="s">
        <v>2507</v>
      </c>
      <c r="C2099" s="28">
        <v>360.0</v>
      </c>
      <c r="D2099" s="29">
        <v>45000.0</v>
      </c>
      <c r="E2099" s="26">
        <v>0.0</v>
      </c>
    </row>
    <row r="2100">
      <c r="A2100" s="28" t="s">
        <v>2083</v>
      </c>
      <c r="B2100" s="107" t="s">
        <v>2511</v>
      </c>
      <c r="C2100" s="28">
        <v>72.0</v>
      </c>
      <c r="D2100" s="29">
        <v>45000.0</v>
      </c>
      <c r="E2100" s="26">
        <v>0.0</v>
      </c>
    </row>
    <row r="2101">
      <c r="A2101" s="28" t="s">
        <v>2083</v>
      </c>
      <c r="B2101" s="107" t="s">
        <v>2437</v>
      </c>
      <c r="C2101" s="28">
        <v>48.0</v>
      </c>
      <c r="D2101" s="29">
        <v>2380000.0</v>
      </c>
      <c r="E2101" s="26">
        <v>0.0</v>
      </c>
    </row>
    <row r="2102">
      <c r="A2102" s="28" t="s">
        <v>2083</v>
      </c>
      <c r="B2102" s="107" t="s">
        <v>2457</v>
      </c>
      <c r="C2102" s="28">
        <v>100.0</v>
      </c>
      <c r="D2102" s="29">
        <v>0.0</v>
      </c>
      <c r="E2102" s="26">
        <v>0.0</v>
      </c>
      <c r="F2102" s="26" t="s">
        <v>2438</v>
      </c>
    </row>
    <row r="2103">
      <c r="A2103" s="28" t="s">
        <v>2083</v>
      </c>
      <c r="B2103" s="107" t="s">
        <v>2457</v>
      </c>
      <c r="C2103" s="28">
        <v>105.0</v>
      </c>
      <c r="D2103" s="29">
        <v>0.0</v>
      </c>
      <c r="E2103" s="26">
        <v>0.0</v>
      </c>
      <c r="F2103" s="26" t="s">
        <v>2438</v>
      </c>
    </row>
    <row r="2104">
      <c r="A2104" s="28" t="s">
        <v>2084</v>
      </c>
      <c r="B2104" s="107" t="s">
        <v>2429</v>
      </c>
      <c r="C2104" s="28">
        <v>24.0</v>
      </c>
      <c r="D2104" s="106">
        <v>45000.0</v>
      </c>
      <c r="E2104" s="26">
        <v>0.0</v>
      </c>
    </row>
    <row r="2105">
      <c r="A2105" s="28" t="s">
        <v>2085</v>
      </c>
      <c r="B2105" s="107" t="s">
        <v>2431</v>
      </c>
      <c r="C2105" s="28">
        <v>1.0</v>
      </c>
      <c r="D2105" s="106">
        <v>2380000.0</v>
      </c>
      <c r="E2105" s="26">
        <v>0.0</v>
      </c>
    </row>
    <row r="2106">
      <c r="A2106" s="28" t="s">
        <v>2085</v>
      </c>
      <c r="B2106" s="107" t="s">
        <v>2433</v>
      </c>
      <c r="C2106" s="28">
        <v>1.0</v>
      </c>
      <c r="D2106" s="106">
        <v>1450000.0</v>
      </c>
      <c r="E2106" s="26">
        <v>0.0</v>
      </c>
    </row>
    <row r="2107">
      <c r="A2107" s="28" t="s">
        <v>2085</v>
      </c>
      <c r="B2107" s="107" t="s">
        <v>2442</v>
      </c>
      <c r="C2107" s="28">
        <v>50.0</v>
      </c>
      <c r="D2107" s="29">
        <v>0.0</v>
      </c>
      <c r="E2107" s="26">
        <v>0.0</v>
      </c>
      <c r="F2107" s="26" t="s">
        <v>2438</v>
      </c>
    </row>
    <row r="2108">
      <c r="A2108" s="28" t="s">
        <v>2086</v>
      </c>
      <c r="B2108" s="107" t="s">
        <v>2426</v>
      </c>
      <c r="C2108" s="28">
        <v>48.0</v>
      </c>
      <c r="D2108" s="106">
        <v>55000.0</v>
      </c>
      <c r="E2108" s="29">
        <v>264000.0</v>
      </c>
    </row>
    <row r="2109">
      <c r="A2109" s="28" t="s">
        <v>2086</v>
      </c>
      <c r="B2109" s="107" t="s">
        <v>2442</v>
      </c>
      <c r="C2109" s="28">
        <v>50.0</v>
      </c>
      <c r="D2109" s="29">
        <v>0.0</v>
      </c>
      <c r="E2109" s="26">
        <v>0.0</v>
      </c>
      <c r="F2109" s="26" t="s">
        <v>2438</v>
      </c>
    </row>
    <row r="2110">
      <c r="A2110" s="28" t="s">
        <v>2086</v>
      </c>
      <c r="B2110" s="107" t="s">
        <v>2437</v>
      </c>
      <c r="C2110" s="28">
        <v>6.0</v>
      </c>
      <c r="D2110" s="29">
        <v>0.0</v>
      </c>
      <c r="E2110" s="26">
        <v>0.0</v>
      </c>
      <c r="F2110" s="26" t="s">
        <v>2438</v>
      </c>
    </row>
    <row r="2111">
      <c r="A2111" s="28" t="s">
        <v>2087</v>
      </c>
      <c r="B2111" s="107" t="s">
        <v>2430</v>
      </c>
      <c r="C2111" s="28">
        <v>24.0</v>
      </c>
      <c r="D2111" s="106">
        <v>45000.0</v>
      </c>
      <c r="E2111" s="26">
        <v>0.0</v>
      </c>
    </row>
    <row r="2112">
      <c r="A2112" s="28" t="s">
        <v>2087</v>
      </c>
      <c r="B2112" s="107" t="s">
        <v>2442</v>
      </c>
      <c r="C2112" s="28">
        <v>50.0</v>
      </c>
      <c r="D2112" s="29">
        <v>0.0</v>
      </c>
      <c r="E2112" s="26">
        <v>0.0</v>
      </c>
      <c r="F2112" s="26" t="s">
        <v>2438</v>
      </c>
    </row>
    <row r="2113">
      <c r="A2113" s="28" t="s">
        <v>2088</v>
      </c>
      <c r="B2113" s="107" t="s">
        <v>2502</v>
      </c>
      <c r="C2113" s="28">
        <v>12.0</v>
      </c>
      <c r="D2113" s="29">
        <v>0.0</v>
      </c>
      <c r="E2113" s="26">
        <v>0.0</v>
      </c>
      <c r="F2113" s="26" t="s">
        <v>2438</v>
      </c>
    </row>
    <row r="2114">
      <c r="A2114" s="28" t="s">
        <v>2090</v>
      </c>
      <c r="B2114" s="107" t="s">
        <v>2434</v>
      </c>
      <c r="C2114" s="28">
        <v>10.0</v>
      </c>
      <c r="D2114" s="106">
        <v>1350000.0</v>
      </c>
      <c r="E2114" s="29">
        <v>4725000.0</v>
      </c>
    </row>
    <row r="2115">
      <c r="A2115" s="28" t="s">
        <v>2090</v>
      </c>
      <c r="B2115" s="107" t="s">
        <v>2433</v>
      </c>
      <c r="C2115" s="28">
        <v>10.0</v>
      </c>
      <c r="D2115" s="106">
        <v>1450000.0</v>
      </c>
      <c r="E2115" s="29">
        <v>5075000.0</v>
      </c>
    </row>
    <row r="2116">
      <c r="A2116" s="28" t="s">
        <v>2090</v>
      </c>
      <c r="B2116" s="107" t="s">
        <v>2432</v>
      </c>
      <c r="C2116" s="28">
        <v>10.0</v>
      </c>
      <c r="D2116" s="106">
        <v>1480000.0</v>
      </c>
      <c r="E2116" s="29">
        <v>5180000.0</v>
      </c>
    </row>
    <row r="2117">
      <c r="A2117" s="28" t="s">
        <v>2090</v>
      </c>
      <c r="B2117" s="107" t="s">
        <v>2426</v>
      </c>
      <c r="C2117" s="28">
        <v>48.0</v>
      </c>
      <c r="D2117" s="106">
        <v>55000.0</v>
      </c>
      <c r="E2117" s="29">
        <v>924000.0</v>
      </c>
    </row>
    <row r="2118">
      <c r="A2118" s="28" t="s">
        <v>2090</v>
      </c>
      <c r="B2118" s="107" t="s">
        <v>2510</v>
      </c>
      <c r="C2118" s="28">
        <v>8.0</v>
      </c>
      <c r="D2118" s="29">
        <v>0.0</v>
      </c>
      <c r="E2118" s="26">
        <v>0.0</v>
      </c>
      <c r="F2118" s="26" t="s">
        <v>2436</v>
      </c>
    </row>
    <row r="2119">
      <c r="A2119" s="28" t="s">
        <v>2090</v>
      </c>
      <c r="B2119" s="107" t="s">
        <v>2511</v>
      </c>
      <c r="C2119" s="28">
        <v>8.0</v>
      </c>
      <c r="D2119" s="29">
        <v>0.0</v>
      </c>
      <c r="E2119" s="26">
        <v>0.0</v>
      </c>
      <c r="F2119" s="26" t="s">
        <v>2436</v>
      </c>
    </row>
    <row r="2120">
      <c r="A2120" s="28" t="s">
        <v>2090</v>
      </c>
      <c r="B2120" s="107" t="s">
        <v>2512</v>
      </c>
      <c r="C2120" s="28">
        <v>8.0</v>
      </c>
      <c r="D2120" s="29">
        <v>0.0</v>
      </c>
      <c r="E2120" s="26">
        <v>0.0</v>
      </c>
      <c r="F2120" s="26" t="s">
        <v>2436</v>
      </c>
    </row>
    <row r="2121">
      <c r="A2121" s="28" t="s">
        <v>2090</v>
      </c>
      <c r="B2121" s="107" t="s">
        <v>2503</v>
      </c>
      <c r="C2121" s="28">
        <v>8.0</v>
      </c>
      <c r="D2121" s="29">
        <v>0.0</v>
      </c>
      <c r="E2121" s="26">
        <v>0.0</v>
      </c>
      <c r="F2121" s="26" t="s">
        <v>2436</v>
      </c>
    </row>
    <row r="2122">
      <c r="A2122" s="28" t="s">
        <v>2090</v>
      </c>
      <c r="B2122" s="107" t="s">
        <v>2507</v>
      </c>
      <c r="C2122" s="28">
        <v>8.0</v>
      </c>
      <c r="D2122" s="29">
        <v>0.0</v>
      </c>
      <c r="E2122" s="26">
        <v>0.0</v>
      </c>
      <c r="F2122" s="26" t="s">
        <v>2436</v>
      </c>
    </row>
    <row r="2123">
      <c r="A2123" s="28" t="s">
        <v>2090</v>
      </c>
      <c r="B2123" s="107" t="s">
        <v>2513</v>
      </c>
      <c r="C2123" s="28">
        <v>8.0</v>
      </c>
      <c r="D2123" s="29">
        <v>0.0</v>
      </c>
      <c r="E2123" s="26">
        <v>0.0</v>
      </c>
      <c r="F2123" s="26" t="s">
        <v>2436</v>
      </c>
    </row>
    <row r="2124">
      <c r="A2124" s="28" t="s">
        <v>2090</v>
      </c>
      <c r="B2124" s="107" t="s">
        <v>2502</v>
      </c>
      <c r="C2124" s="28">
        <v>8.0</v>
      </c>
      <c r="D2124" s="29">
        <v>0.0</v>
      </c>
      <c r="E2124" s="26">
        <v>0.0</v>
      </c>
      <c r="F2124" s="26" t="s">
        <v>2436</v>
      </c>
    </row>
    <row r="2125">
      <c r="A2125" s="28" t="s">
        <v>2090</v>
      </c>
      <c r="B2125" s="107" t="s">
        <v>2505</v>
      </c>
      <c r="C2125" s="28">
        <v>8.0</v>
      </c>
      <c r="D2125" s="29">
        <v>0.0</v>
      </c>
      <c r="E2125" s="26">
        <v>0.0</v>
      </c>
      <c r="F2125" s="26" t="s">
        <v>2436</v>
      </c>
    </row>
    <row r="2126">
      <c r="A2126" s="28" t="s">
        <v>2090</v>
      </c>
      <c r="B2126" s="107" t="s">
        <v>2504</v>
      </c>
      <c r="C2126" s="28">
        <v>8.0</v>
      </c>
      <c r="D2126" s="29">
        <v>0.0</v>
      </c>
      <c r="E2126" s="26">
        <v>0.0</v>
      </c>
      <c r="F2126" s="26" t="s">
        <v>2436</v>
      </c>
    </row>
    <row r="2127">
      <c r="A2127" s="28" t="s">
        <v>2090</v>
      </c>
      <c r="B2127" s="107" t="s">
        <v>2522</v>
      </c>
      <c r="C2127" s="28">
        <v>1.0</v>
      </c>
      <c r="D2127" s="29">
        <v>0.0</v>
      </c>
      <c r="E2127" s="26">
        <v>0.0</v>
      </c>
      <c r="F2127" s="26" t="s">
        <v>2436</v>
      </c>
    </row>
    <row r="2128">
      <c r="A2128" s="28" t="s">
        <v>2090</v>
      </c>
      <c r="B2128" s="107" t="s">
        <v>2504</v>
      </c>
      <c r="C2128" s="28">
        <v>24.0</v>
      </c>
      <c r="D2128" s="29">
        <v>0.0</v>
      </c>
      <c r="E2128" s="26">
        <v>0.0</v>
      </c>
      <c r="F2128" s="26" t="s">
        <v>2436</v>
      </c>
    </row>
    <row r="2129">
      <c r="A2129" s="28" t="s">
        <v>2091</v>
      </c>
      <c r="B2129" s="107" t="s">
        <v>2512</v>
      </c>
      <c r="C2129" s="28">
        <v>4.0</v>
      </c>
      <c r="D2129" s="29">
        <v>0.0</v>
      </c>
      <c r="E2129" s="26">
        <v>0.0</v>
      </c>
      <c r="F2129" s="26" t="s">
        <v>1522</v>
      </c>
    </row>
    <row r="2130">
      <c r="A2130" s="28" t="s">
        <v>2091</v>
      </c>
      <c r="B2130" s="107" t="s">
        <v>2511</v>
      </c>
      <c r="C2130" s="28">
        <v>4.0</v>
      </c>
      <c r="D2130" s="29">
        <v>0.0</v>
      </c>
      <c r="E2130" s="26">
        <v>0.0</v>
      </c>
      <c r="F2130" s="26" t="s">
        <v>1522</v>
      </c>
    </row>
    <row r="2131">
      <c r="A2131" s="28" t="s">
        <v>2091</v>
      </c>
      <c r="B2131" s="107" t="s">
        <v>2510</v>
      </c>
      <c r="C2131" s="28">
        <v>4.0</v>
      </c>
      <c r="D2131" s="29">
        <v>0.0</v>
      </c>
      <c r="E2131" s="26">
        <v>0.0</v>
      </c>
      <c r="F2131" s="26" t="s">
        <v>1522</v>
      </c>
    </row>
    <row r="2132">
      <c r="A2132" s="28" t="s">
        <v>2091</v>
      </c>
      <c r="B2132" s="107" t="s">
        <v>2507</v>
      </c>
      <c r="C2132" s="28">
        <v>4.0</v>
      </c>
      <c r="D2132" s="29">
        <v>0.0</v>
      </c>
      <c r="E2132" s="26">
        <v>0.0</v>
      </c>
      <c r="F2132" s="26" t="s">
        <v>1522</v>
      </c>
    </row>
    <row r="2133">
      <c r="A2133" s="28" t="s">
        <v>2091</v>
      </c>
      <c r="B2133" s="107" t="s">
        <v>2503</v>
      </c>
      <c r="C2133" s="28">
        <v>4.0</v>
      </c>
      <c r="D2133" s="29">
        <v>0.0</v>
      </c>
      <c r="E2133" s="26">
        <v>0.0</v>
      </c>
      <c r="F2133" s="26" t="s">
        <v>1522</v>
      </c>
    </row>
    <row r="2134">
      <c r="A2134" s="28" t="s">
        <v>2091</v>
      </c>
      <c r="B2134" s="107" t="s">
        <v>2513</v>
      </c>
      <c r="C2134" s="28">
        <v>4.0</v>
      </c>
      <c r="D2134" s="29">
        <v>0.0</v>
      </c>
      <c r="E2134" s="26">
        <v>0.0</v>
      </c>
      <c r="F2134" s="26" t="s">
        <v>1522</v>
      </c>
    </row>
    <row r="2135">
      <c r="A2135" s="28" t="s">
        <v>2092</v>
      </c>
      <c r="B2135" s="107" t="s">
        <v>2433</v>
      </c>
      <c r="C2135" s="28">
        <v>1.0</v>
      </c>
      <c r="D2135" s="106">
        <v>1450000.0</v>
      </c>
      <c r="E2135" s="29">
        <v>290000.0</v>
      </c>
    </row>
    <row r="2136">
      <c r="A2136" s="28" t="s">
        <v>2093</v>
      </c>
      <c r="B2136" s="107" t="s">
        <v>2432</v>
      </c>
      <c r="C2136" s="28">
        <v>1.0</v>
      </c>
      <c r="D2136" s="106">
        <v>1480000.0</v>
      </c>
      <c r="E2136" s="29">
        <v>296000.0</v>
      </c>
    </row>
    <row r="2137">
      <c r="A2137" s="28" t="s">
        <v>2094</v>
      </c>
      <c r="B2137" s="107" t="s">
        <v>2432</v>
      </c>
      <c r="C2137" s="28">
        <v>1.0</v>
      </c>
      <c r="D2137" s="106">
        <v>1480000.0</v>
      </c>
      <c r="E2137" s="26">
        <v>0.0</v>
      </c>
    </row>
    <row r="2138">
      <c r="A2138" s="28" t="s">
        <v>2095</v>
      </c>
      <c r="B2138" s="107" t="s">
        <v>2505</v>
      </c>
      <c r="C2138" s="28">
        <v>2.0</v>
      </c>
      <c r="D2138" s="29">
        <v>0.0</v>
      </c>
      <c r="E2138" s="26">
        <v>0.0</v>
      </c>
      <c r="F2138" s="26" t="s">
        <v>1522</v>
      </c>
    </row>
    <row r="2139">
      <c r="A2139" s="28" t="s">
        <v>2095</v>
      </c>
      <c r="B2139" s="107" t="s">
        <v>2502</v>
      </c>
      <c r="C2139" s="28">
        <v>2.0</v>
      </c>
      <c r="D2139" s="29">
        <v>0.0</v>
      </c>
      <c r="E2139" s="26">
        <v>0.0</v>
      </c>
      <c r="F2139" s="26" t="s">
        <v>1522</v>
      </c>
    </row>
    <row r="2140">
      <c r="A2140" s="28" t="s">
        <v>2096</v>
      </c>
      <c r="B2140" s="107" t="s">
        <v>2433</v>
      </c>
      <c r="C2140" s="28">
        <v>1.0</v>
      </c>
      <c r="D2140" s="106">
        <v>1450000.0</v>
      </c>
      <c r="E2140" s="26">
        <v>0.0</v>
      </c>
    </row>
    <row r="2141">
      <c r="A2141" s="28" t="s">
        <v>2097</v>
      </c>
      <c r="B2141" s="107" t="s">
        <v>2431</v>
      </c>
      <c r="C2141" s="28">
        <v>1.0</v>
      </c>
      <c r="D2141" s="106">
        <v>2380000.0</v>
      </c>
      <c r="E2141" s="26">
        <v>0.0</v>
      </c>
    </row>
    <row r="2142">
      <c r="A2142" s="28" t="s">
        <v>2098</v>
      </c>
      <c r="B2142" s="107" t="s">
        <v>2433</v>
      </c>
      <c r="C2142" s="28">
        <v>1.0</v>
      </c>
      <c r="D2142" s="106">
        <v>1450000.0</v>
      </c>
      <c r="E2142" s="26">
        <v>0.0</v>
      </c>
    </row>
    <row r="2143">
      <c r="A2143" s="28" t="s">
        <v>2099</v>
      </c>
      <c r="B2143" s="107" t="s">
        <v>2433</v>
      </c>
      <c r="C2143" s="28">
        <v>1.0</v>
      </c>
      <c r="D2143" s="106">
        <v>1450000.0</v>
      </c>
      <c r="E2143" s="26">
        <v>0.0</v>
      </c>
    </row>
    <row r="2144">
      <c r="A2144" s="28" t="s">
        <v>2100</v>
      </c>
      <c r="B2144" s="107" t="s">
        <v>2426</v>
      </c>
      <c r="C2144" s="28">
        <v>12.0</v>
      </c>
      <c r="D2144" s="106">
        <v>55000.0</v>
      </c>
      <c r="E2144" s="26">
        <v>0.0</v>
      </c>
    </row>
    <row r="2145">
      <c r="A2145" s="28" t="s">
        <v>2101</v>
      </c>
      <c r="B2145" s="107" t="s">
        <v>2429</v>
      </c>
      <c r="C2145" s="28">
        <v>24.0</v>
      </c>
      <c r="D2145" s="106">
        <v>45000.0</v>
      </c>
      <c r="E2145" s="26">
        <v>0.0</v>
      </c>
    </row>
    <row r="2146">
      <c r="A2146" s="28" t="s">
        <v>2102</v>
      </c>
      <c r="B2146" s="107" t="s">
        <v>2429</v>
      </c>
      <c r="C2146" s="28">
        <v>24.0</v>
      </c>
      <c r="D2146" s="106">
        <v>45000.0</v>
      </c>
      <c r="E2146" s="26">
        <v>0.0</v>
      </c>
    </row>
    <row r="2147">
      <c r="A2147" s="28" t="s">
        <v>2103</v>
      </c>
      <c r="B2147" s="107" t="s">
        <v>2495</v>
      </c>
      <c r="C2147" s="28">
        <v>1.0</v>
      </c>
      <c r="D2147" s="106">
        <v>1790000.0</v>
      </c>
      <c r="E2147" s="29">
        <v>358000.0</v>
      </c>
    </row>
    <row r="2148">
      <c r="A2148" s="28" t="s">
        <v>2104</v>
      </c>
      <c r="B2148" s="107" t="s">
        <v>2429</v>
      </c>
      <c r="C2148" s="28">
        <v>12.0</v>
      </c>
      <c r="D2148" s="106">
        <v>45000.0</v>
      </c>
      <c r="E2148" s="26">
        <v>0.0</v>
      </c>
    </row>
    <row r="2149">
      <c r="A2149" s="28" t="s">
        <v>2104</v>
      </c>
      <c r="B2149" s="107" t="s">
        <v>2430</v>
      </c>
      <c r="C2149" s="28">
        <v>12.0</v>
      </c>
      <c r="D2149" s="106">
        <v>45000.0</v>
      </c>
      <c r="E2149" s="26">
        <v>0.0</v>
      </c>
    </row>
    <row r="2150">
      <c r="A2150" s="28" t="s">
        <v>2105</v>
      </c>
      <c r="B2150" s="107" t="s">
        <v>2495</v>
      </c>
      <c r="C2150" s="28">
        <v>1.0</v>
      </c>
      <c r="D2150" s="106">
        <v>1790000.0</v>
      </c>
      <c r="E2150" s="26">
        <v>0.0</v>
      </c>
    </row>
    <row r="2151">
      <c r="A2151" s="28" t="s">
        <v>2105</v>
      </c>
      <c r="B2151" s="107" t="s">
        <v>2432</v>
      </c>
      <c r="C2151" s="28">
        <v>1.0</v>
      </c>
      <c r="D2151" s="106">
        <v>1480000.0</v>
      </c>
      <c r="E2151" s="26">
        <v>0.0</v>
      </c>
    </row>
    <row r="2152">
      <c r="A2152" s="28" t="s">
        <v>2105</v>
      </c>
      <c r="B2152" s="107" t="s">
        <v>2442</v>
      </c>
      <c r="C2152" s="28">
        <v>50.0</v>
      </c>
      <c r="D2152" s="29">
        <v>0.0</v>
      </c>
      <c r="E2152" s="26">
        <v>0.0</v>
      </c>
      <c r="F2152" s="26" t="s">
        <v>2438</v>
      </c>
    </row>
    <row r="2153">
      <c r="A2153" s="28" t="s">
        <v>2106</v>
      </c>
      <c r="B2153" s="107" t="s">
        <v>2429</v>
      </c>
      <c r="C2153" s="28">
        <v>48.0</v>
      </c>
      <c r="D2153" s="106">
        <v>45000.0</v>
      </c>
      <c r="E2153" s="26">
        <v>0.0</v>
      </c>
    </row>
    <row r="2154">
      <c r="A2154" s="28" t="s">
        <v>2106</v>
      </c>
      <c r="B2154" s="107" t="s">
        <v>2430</v>
      </c>
      <c r="C2154" s="28">
        <v>24.0</v>
      </c>
      <c r="D2154" s="106">
        <v>45000.0</v>
      </c>
      <c r="E2154" s="26">
        <v>0.0</v>
      </c>
    </row>
    <row r="2155">
      <c r="A2155" s="28" t="s">
        <v>2107</v>
      </c>
      <c r="B2155" s="107" t="s">
        <v>2471</v>
      </c>
      <c r="C2155" s="28">
        <v>2.0</v>
      </c>
      <c r="D2155" s="29">
        <v>0.0</v>
      </c>
      <c r="E2155" s="26">
        <v>0.0</v>
      </c>
      <c r="F2155" s="26" t="s">
        <v>2438</v>
      </c>
    </row>
    <row r="2156">
      <c r="A2156" s="28" t="s">
        <v>2107</v>
      </c>
      <c r="B2156" s="107" t="s">
        <v>2472</v>
      </c>
      <c r="C2156" s="28">
        <v>3.0</v>
      </c>
      <c r="D2156" s="106">
        <v>0.0</v>
      </c>
      <c r="E2156" s="26">
        <v>0.0</v>
      </c>
    </row>
    <row r="2157">
      <c r="A2157" s="28" t="s">
        <v>2107</v>
      </c>
      <c r="B2157" s="107" t="s">
        <v>2455</v>
      </c>
      <c r="C2157" s="28">
        <v>10.0</v>
      </c>
      <c r="D2157" s="29">
        <v>0.0</v>
      </c>
      <c r="E2157" s="26">
        <v>0.0</v>
      </c>
      <c r="F2157" s="26" t="s">
        <v>2438</v>
      </c>
    </row>
    <row r="2158">
      <c r="A2158" s="28" t="s">
        <v>2108</v>
      </c>
      <c r="B2158" s="107" t="s">
        <v>2425</v>
      </c>
      <c r="C2158" s="28">
        <v>1.0</v>
      </c>
      <c r="D2158" s="106">
        <v>1875000.0</v>
      </c>
      <c r="E2158" s="26">
        <v>0.0</v>
      </c>
    </row>
    <row r="2159">
      <c r="A2159" s="28" t="s">
        <v>2108</v>
      </c>
      <c r="B2159" s="107" t="s">
        <v>2433</v>
      </c>
      <c r="C2159" s="28">
        <v>1.0</v>
      </c>
      <c r="D2159" s="106">
        <v>1450000.0</v>
      </c>
      <c r="E2159" s="26">
        <v>0.0</v>
      </c>
    </row>
    <row r="2160">
      <c r="A2160" s="28" t="s">
        <v>2109</v>
      </c>
      <c r="B2160" s="107" t="s">
        <v>2518</v>
      </c>
      <c r="C2160" s="28">
        <v>1.0</v>
      </c>
      <c r="D2160" s="29">
        <v>0.0</v>
      </c>
      <c r="E2160" s="26">
        <v>0.0</v>
      </c>
      <c r="F2160" s="26" t="s">
        <v>2436</v>
      </c>
    </row>
    <row r="2161">
      <c r="A2161" s="28" t="s">
        <v>2110</v>
      </c>
      <c r="B2161" s="107" t="s">
        <v>2426</v>
      </c>
      <c r="C2161" s="28">
        <v>12.0</v>
      </c>
      <c r="D2161" s="106">
        <v>55000.0</v>
      </c>
      <c r="E2161" s="26">
        <v>0.0</v>
      </c>
    </row>
    <row r="2162">
      <c r="A2162" s="28" t="s">
        <v>2111</v>
      </c>
      <c r="B2162" s="107" t="s">
        <v>2434</v>
      </c>
      <c r="C2162" s="28">
        <v>3.0</v>
      </c>
      <c r="D2162" s="106">
        <v>1350000.0</v>
      </c>
      <c r="E2162" s="26">
        <v>0.0</v>
      </c>
    </row>
    <row r="2163">
      <c r="A2163" s="28" t="s">
        <v>2111</v>
      </c>
      <c r="B2163" s="107" t="s">
        <v>2518</v>
      </c>
      <c r="C2163" s="28">
        <v>3.0</v>
      </c>
      <c r="D2163" s="29">
        <v>0.0</v>
      </c>
      <c r="E2163" s="26">
        <v>0.0</v>
      </c>
      <c r="F2163" s="26" t="s">
        <v>2436</v>
      </c>
    </row>
    <row r="2164">
      <c r="A2164" s="28" t="s">
        <v>2111</v>
      </c>
      <c r="B2164" s="107" t="s">
        <v>2442</v>
      </c>
      <c r="C2164" s="28">
        <v>50.0</v>
      </c>
      <c r="D2164" s="29">
        <v>0.0</v>
      </c>
      <c r="E2164" s="26">
        <v>0.0</v>
      </c>
      <c r="F2164" s="26" t="s">
        <v>2438</v>
      </c>
    </row>
    <row r="2165">
      <c r="A2165" s="28" t="s">
        <v>2112</v>
      </c>
      <c r="B2165" s="107" t="s">
        <v>2426</v>
      </c>
      <c r="C2165" s="28">
        <v>24.0</v>
      </c>
      <c r="D2165" s="106">
        <v>55000.0</v>
      </c>
      <c r="E2165" s="26">
        <v>0.0</v>
      </c>
    </row>
    <row r="2166">
      <c r="A2166" s="28" t="s">
        <v>2112</v>
      </c>
      <c r="B2166" s="107" t="s">
        <v>2502</v>
      </c>
      <c r="C2166" s="28">
        <v>6.0</v>
      </c>
      <c r="D2166" s="29">
        <v>0.0</v>
      </c>
      <c r="E2166" s="26">
        <v>0.0</v>
      </c>
      <c r="F2166" s="26" t="s">
        <v>2436</v>
      </c>
    </row>
    <row r="2167">
      <c r="A2167" s="28" t="s">
        <v>2113</v>
      </c>
      <c r="B2167" s="107" t="s">
        <v>2433</v>
      </c>
      <c r="C2167" s="28">
        <v>1.0</v>
      </c>
      <c r="D2167" s="106">
        <v>1450000.0</v>
      </c>
      <c r="E2167" s="111">
        <v>290000.0</v>
      </c>
    </row>
    <row r="2168">
      <c r="A2168" s="28" t="s">
        <v>2114</v>
      </c>
      <c r="B2168" s="107" t="s">
        <v>2433</v>
      </c>
      <c r="C2168" s="28">
        <v>1.0</v>
      </c>
      <c r="D2168" s="106">
        <v>1450000.0</v>
      </c>
      <c r="E2168" s="26">
        <v>0.0</v>
      </c>
    </row>
    <row r="2169">
      <c r="A2169" s="28" t="s">
        <v>2115</v>
      </c>
      <c r="B2169" s="107" t="s">
        <v>2429</v>
      </c>
      <c r="C2169" s="28">
        <v>12.0</v>
      </c>
      <c r="D2169" s="106">
        <v>45000.0</v>
      </c>
      <c r="E2169" s="111">
        <v>270000.0</v>
      </c>
    </row>
    <row r="2170">
      <c r="A2170" s="28" t="s">
        <v>2116</v>
      </c>
      <c r="B2170" s="107" t="s">
        <v>2518</v>
      </c>
      <c r="C2170" s="28">
        <v>2.0</v>
      </c>
      <c r="D2170" s="29">
        <v>0.0</v>
      </c>
      <c r="E2170" s="26">
        <v>0.0</v>
      </c>
      <c r="F2170" s="26" t="s">
        <v>2506</v>
      </c>
    </row>
    <row r="2171">
      <c r="A2171" s="28" t="s">
        <v>2116</v>
      </c>
      <c r="B2171" s="107" t="s">
        <v>2502</v>
      </c>
      <c r="C2171" s="28">
        <v>12.0</v>
      </c>
      <c r="D2171" s="29">
        <v>0.0</v>
      </c>
      <c r="E2171" s="26">
        <v>0.0</v>
      </c>
      <c r="F2171" s="26" t="s">
        <v>2506</v>
      </c>
    </row>
    <row r="2172">
      <c r="A2172" s="28" t="s">
        <v>2116</v>
      </c>
      <c r="B2172" s="107" t="s">
        <v>2505</v>
      </c>
      <c r="C2172" s="28">
        <v>12.0</v>
      </c>
      <c r="D2172" s="29">
        <v>0.0</v>
      </c>
      <c r="E2172" s="26">
        <v>0.0</v>
      </c>
      <c r="F2172" s="26" t="s">
        <v>2506</v>
      </c>
    </row>
    <row r="2173">
      <c r="A2173" s="28" t="s">
        <v>2116</v>
      </c>
      <c r="B2173" s="107" t="s">
        <v>2510</v>
      </c>
      <c r="C2173" s="28">
        <v>12.0</v>
      </c>
      <c r="D2173" s="29">
        <v>0.0</v>
      </c>
      <c r="E2173" s="26">
        <v>0.0</v>
      </c>
      <c r="F2173" s="26" t="s">
        <v>2506</v>
      </c>
    </row>
    <row r="2174">
      <c r="A2174" s="28" t="s">
        <v>2116</v>
      </c>
      <c r="B2174" s="107" t="s">
        <v>2511</v>
      </c>
      <c r="C2174" s="28">
        <v>12.0</v>
      </c>
      <c r="D2174" s="29">
        <v>0.0</v>
      </c>
      <c r="E2174" s="26">
        <v>0.0</v>
      </c>
      <c r="F2174" s="26" t="s">
        <v>2506</v>
      </c>
    </row>
    <row r="2175">
      <c r="A2175" s="28" t="s">
        <v>2116</v>
      </c>
      <c r="B2175" s="107" t="s">
        <v>2512</v>
      </c>
      <c r="C2175" s="28">
        <v>12.0</v>
      </c>
      <c r="D2175" s="29">
        <v>0.0</v>
      </c>
      <c r="E2175" s="26">
        <v>0.0</v>
      </c>
      <c r="F2175" s="26" t="s">
        <v>2506</v>
      </c>
    </row>
    <row r="2176">
      <c r="A2176" s="28" t="s">
        <v>2116</v>
      </c>
      <c r="B2176" s="107" t="s">
        <v>2513</v>
      </c>
      <c r="C2176" s="28">
        <v>12.0</v>
      </c>
      <c r="D2176" s="29">
        <v>0.0</v>
      </c>
      <c r="E2176" s="26">
        <v>0.0</v>
      </c>
      <c r="F2176" s="26" t="s">
        <v>2506</v>
      </c>
    </row>
    <row r="2177">
      <c r="A2177" s="28" t="s">
        <v>2116</v>
      </c>
      <c r="B2177" s="107" t="s">
        <v>2503</v>
      </c>
      <c r="C2177" s="28">
        <v>24.0</v>
      </c>
      <c r="D2177" s="29">
        <v>0.0</v>
      </c>
      <c r="E2177" s="26">
        <v>0.0</v>
      </c>
      <c r="F2177" s="26" t="s">
        <v>2506</v>
      </c>
    </row>
    <row r="2178">
      <c r="A2178" s="28" t="s">
        <v>2116</v>
      </c>
      <c r="B2178" s="107" t="s">
        <v>2507</v>
      </c>
      <c r="C2178" s="28">
        <v>24.0</v>
      </c>
      <c r="D2178" s="29">
        <v>0.0</v>
      </c>
      <c r="E2178" s="26">
        <v>0.0</v>
      </c>
      <c r="F2178" s="26" t="s">
        <v>2506</v>
      </c>
    </row>
    <row r="2179">
      <c r="A2179" s="28" t="s">
        <v>2116</v>
      </c>
      <c r="B2179" s="107" t="s">
        <v>2467</v>
      </c>
      <c r="C2179" s="28">
        <v>1.0</v>
      </c>
      <c r="D2179" s="29">
        <v>0.0</v>
      </c>
      <c r="E2179" s="26">
        <v>0.0</v>
      </c>
      <c r="F2179" s="26" t="s">
        <v>2506</v>
      </c>
    </row>
    <row r="2180">
      <c r="A2180" s="28" t="s">
        <v>2116</v>
      </c>
      <c r="B2180" s="107" t="s">
        <v>2468</v>
      </c>
      <c r="C2180" s="28">
        <v>1.0</v>
      </c>
      <c r="D2180" s="29">
        <v>0.0</v>
      </c>
      <c r="E2180" s="26">
        <v>0.0</v>
      </c>
      <c r="F2180" s="26" t="s">
        <v>2506</v>
      </c>
    </row>
    <row r="2181">
      <c r="A2181" s="28" t="s">
        <v>2116</v>
      </c>
      <c r="B2181" s="107" t="s">
        <v>2462</v>
      </c>
      <c r="C2181" s="28">
        <v>100.0</v>
      </c>
      <c r="D2181" s="29">
        <v>0.0</v>
      </c>
      <c r="E2181" s="26">
        <v>0.0</v>
      </c>
      <c r="F2181" s="26" t="s">
        <v>2506</v>
      </c>
    </row>
    <row r="2182">
      <c r="A2182" s="28" t="s">
        <v>2116</v>
      </c>
      <c r="B2182" s="107" t="s">
        <v>2442</v>
      </c>
      <c r="C2182" s="28">
        <v>100.0</v>
      </c>
      <c r="D2182" s="29">
        <v>0.0</v>
      </c>
      <c r="E2182" s="26">
        <v>0.0</v>
      </c>
      <c r="F2182" s="26" t="s">
        <v>2506</v>
      </c>
    </row>
    <row r="2183">
      <c r="A2183" s="28" t="s">
        <v>2116</v>
      </c>
      <c r="B2183" s="107" t="s">
        <v>2470</v>
      </c>
      <c r="C2183" s="28">
        <v>3.0</v>
      </c>
      <c r="D2183" s="29">
        <v>0.0</v>
      </c>
      <c r="E2183" s="26">
        <v>0.0</v>
      </c>
      <c r="F2183" s="26" t="s">
        <v>2506</v>
      </c>
    </row>
    <row r="2184">
      <c r="A2184" s="28" t="s">
        <v>2116</v>
      </c>
      <c r="B2184" s="107" t="s">
        <v>2469</v>
      </c>
      <c r="C2184" s="28">
        <v>1.0</v>
      </c>
      <c r="D2184" s="29">
        <v>0.0</v>
      </c>
      <c r="E2184" s="26">
        <v>0.0</v>
      </c>
      <c r="F2184" s="26" t="s">
        <v>2506</v>
      </c>
    </row>
    <row r="2185">
      <c r="A2185" s="28" t="s">
        <v>2116</v>
      </c>
      <c r="B2185" s="107" t="s">
        <v>2471</v>
      </c>
      <c r="C2185" s="28">
        <v>9.0</v>
      </c>
      <c r="D2185" s="29">
        <v>0.0</v>
      </c>
      <c r="E2185" s="26">
        <v>0.0</v>
      </c>
      <c r="F2185" s="26" t="s">
        <v>2506</v>
      </c>
    </row>
    <row r="2186">
      <c r="A2186" s="28" t="s">
        <v>2116</v>
      </c>
      <c r="B2186" s="107" t="s">
        <v>2472</v>
      </c>
      <c r="C2186" s="28">
        <v>15.0</v>
      </c>
      <c r="D2186" s="29">
        <v>0.0</v>
      </c>
      <c r="E2186" s="26">
        <v>0.0</v>
      </c>
      <c r="F2186" s="26" t="s">
        <v>2506</v>
      </c>
    </row>
    <row r="2187">
      <c r="A2187" s="28" t="s">
        <v>2116</v>
      </c>
      <c r="B2187" s="107" t="s">
        <v>2457</v>
      </c>
      <c r="C2187" s="28">
        <v>100.0</v>
      </c>
      <c r="D2187" s="29">
        <v>0.0</v>
      </c>
      <c r="E2187" s="26">
        <v>0.0</v>
      </c>
      <c r="F2187" s="26" t="s">
        <v>2506</v>
      </c>
    </row>
    <row r="2188">
      <c r="A2188" s="28" t="s">
        <v>2116</v>
      </c>
      <c r="B2188" s="107" t="s">
        <v>2457</v>
      </c>
      <c r="C2188" s="28">
        <v>105.0</v>
      </c>
      <c r="D2188" s="29">
        <v>0.0</v>
      </c>
      <c r="E2188" s="26">
        <v>0.0</v>
      </c>
      <c r="F2188" s="26" t="s">
        <v>2506</v>
      </c>
    </row>
    <row r="2189">
      <c r="A2189" s="28" t="s">
        <v>2116</v>
      </c>
      <c r="B2189" s="107" t="s">
        <v>2447</v>
      </c>
      <c r="C2189" s="28">
        <v>1.0</v>
      </c>
      <c r="D2189" s="29">
        <v>0.0</v>
      </c>
      <c r="E2189" s="26">
        <v>0.0</v>
      </c>
      <c r="F2189" s="26" t="s">
        <v>2506</v>
      </c>
    </row>
    <row r="2190">
      <c r="A2190" s="28" t="s">
        <v>2118</v>
      </c>
      <c r="B2190" s="107" t="s">
        <v>2425</v>
      </c>
      <c r="C2190" s="28">
        <v>1.0</v>
      </c>
      <c r="D2190" s="106">
        <v>1875000.0</v>
      </c>
      <c r="E2190" s="26">
        <v>0.0</v>
      </c>
    </row>
    <row r="2191">
      <c r="A2191" s="28" t="s">
        <v>2119</v>
      </c>
      <c r="B2191" s="107" t="s">
        <v>2432</v>
      </c>
      <c r="C2191" s="28">
        <v>1.0</v>
      </c>
      <c r="D2191" s="106">
        <v>1480000.0</v>
      </c>
      <c r="E2191" s="29">
        <v>296000.0</v>
      </c>
    </row>
    <row r="2192">
      <c r="A2192" s="28" t="s">
        <v>2119</v>
      </c>
      <c r="B2192" s="107" t="s">
        <v>2425</v>
      </c>
      <c r="C2192" s="28">
        <v>1.0</v>
      </c>
      <c r="D2192" s="106">
        <v>1875000.0</v>
      </c>
      <c r="E2192" s="29">
        <v>375000.0</v>
      </c>
    </row>
    <row r="2193">
      <c r="A2193" s="28" t="s">
        <v>2119</v>
      </c>
      <c r="B2193" s="107" t="s">
        <v>2502</v>
      </c>
      <c r="C2193" s="28">
        <v>2.0</v>
      </c>
      <c r="D2193" s="29">
        <v>0.0</v>
      </c>
      <c r="E2193" s="26">
        <v>0.0</v>
      </c>
      <c r="F2193" s="26" t="s">
        <v>1522</v>
      </c>
    </row>
    <row r="2194">
      <c r="A2194" s="28" t="s">
        <v>2119</v>
      </c>
      <c r="B2194" s="107" t="s">
        <v>2505</v>
      </c>
      <c r="C2194" s="28">
        <v>2.0</v>
      </c>
      <c r="D2194" s="29">
        <v>0.0</v>
      </c>
      <c r="E2194" s="26">
        <v>0.0</v>
      </c>
      <c r="F2194" s="26" t="s">
        <v>1522</v>
      </c>
    </row>
    <row r="2195">
      <c r="A2195" s="28" t="s">
        <v>2120</v>
      </c>
      <c r="B2195" s="107" t="s">
        <v>2494</v>
      </c>
      <c r="C2195" s="28">
        <v>1.0</v>
      </c>
      <c r="D2195" s="106">
        <v>2500000.0</v>
      </c>
      <c r="E2195" s="111">
        <v>220000.0</v>
      </c>
    </row>
    <row r="2196">
      <c r="A2196" s="28" t="s">
        <v>2121</v>
      </c>
      <c r="B2196" s="107" t="s">
        <v>2431</v>
      </c>
      <c r="C2196" s="28">
        <v>1.0</v>
      </c>
      <c r="D2196" s="106">
        <v>2380000.0</v>
      </c>
      <c r="E2196" s="26">
        <v>0.0</v>
      </c>
    </row>
    <row r="2197">
      <c r="A2197" s="28" t="s">
        <v>2122</v>
      </c>
      <c r="B2197" s="107" t="s">
        <v>2429</v>
      </c>
      <c r="C2197" s="28">
        <v>24.0</v>
      </c>
      <c r="D2197" s="106">
        <v>45000.0</v>
      </c>
      <c r="E2197" s="26">
        <v>0.0</v>
      </c>
    </row>
    <row r="2198">
      <c r="A2198" s="28" t="s">
        <v>2123</v>
      </c>
      <c r="B2198" s="107" t="s">
        <v>2433</v>
      </c>
      <c r="C2198" s="28">
        <v>1.0</v>
      </c>
      <c r="D2198" s="106">
        <v>1450000.0</v>
      </c>
      <c r="E2198" s="26">
        <v>0.0</v>
      </c>
    </row>
    <row r="2199">
      <c r="A2199" s="28" t="s">
        <v>2124</v>
      </c>
      <c r="B2199" s="107" t="s">
        <v>2527</v>
      </c>
      <c r="C2199" s="28">
        <v>7.0</v>
      </c>
      <c r="D2199" s="29">
        <v>0.0</v>
      </c>
      <c r="E2199" s="26">
        <v>0.0</v>
      </c>
      <c r="F2199" s="26" t="s">
        <v>2438</v>
      </c>
    </row>
    <row r="2200">
      <c r="A2200" s="28" t="s">
        <v>2125</v>
      </c>
      <c r="B2200" s="107" t="s">
        <v>2505</v>
      </c>
      <c r="C2200" s="28">
        <v>2.0</v>
      </c>
      <c r="D2200" s="29">
        <v>0.0</v>
      </c>
      <c r="E2200" s="26">
        <v>0.0</v>
      </c>
      <c r="F2200" s="26" t="s">
        <v>1522</v>
      </c>
    </row>
    <row r="2201">
      <c r="A2201" s="28" t="s">
        <v>2125</v>
      </c>
      <c r="B2201" s="107" t="s">
        <v>2504</v>
      </c>
      <c r="C2201" s="28">
        <v>2.0</v>
      </c>
      <c r="D2201" s="29">
        <v>0.0</v>
      </c>
      <c r="E2201" s="26">
        <v>0.0</v>
      </c>
      <c r="F2201" s="26" t="s">
        <v>1522</v>
      </c>
    </row>
    <row r="2202">
      <c r="A2202" s="28" t="s">
        <v>2125</v>
      </c>
      <c r="B2202" s="107" t="s">
        <v>2511</v>
      </c>
      <c r="C2202" s="28">
        <v>2.0</v>
      </c>
      <c r="D2202" s="29">
        <v>0.0</v>
      </c>
      <c r="E2202" s="26">
        <v>0.0</v>
      </c>
      <c r="F2202" s="26" t="s">
        <v>1522</v>
      </c>
    </row>
    <row r="2203">
      <c r="A2203" s="28" t="s">
        <v>2125</v>
      </c>
      <c r="B2203" s="107" t="s">
        <v>2502</v>
      </c>
      <c r="C2203" s="28">
        <v>6.0</v>
      </c>
      <c r="D2203" s="29">
        <v>0.0</v>
      </c>
      <c r="E2203" s="26">
        <v>0.0</v>
      </c>
      <c r="F2203" s="26" t="s">
        <v>1522</v>
      </c>
    </row>
    <row r="2204">
      <c r="A2204" s="28" t="s">
        <v>2126</v>
      </c>
      <c r="B2204" s="107" t="s">
        <v>2429</v>
      </c>
      <c r="C2204" s="28">
        <v>48.0</v>
      </c>
      <c r="D2204" s="106">
        <v>45000.0</v>
      </c>
      <c r="E2204" s="26">
        <v>0.0</v>
      </c>
    </row>
    <row r="2205">
      <c r="A2205" s="28" t="s">
        <v>2127</v>
      </c>
      <c r="B2205" s="107" t="s">
        <v>2434</v>
      </c>
      <c r="C2205" s="28">
        <v>1.0</v>
      </c>
      <c r="D2205" s="106">
        <v>1350000.0</v>
      </c>
      <c r="E2205" s="26">
        <v>0.0</v>
      </c>
    </row>
    <row r="2206">
      <c r="A2206" s="28" t="s">
        <v>2127</v>
      </c>
      <c r="B2206" s="107" t="s">
        <v>2518</v>
      </c>
      <c r="C2206" s="28">
        <v>1.0</v>
      </c>
      <c r="D2206" s="29">
        <v>0.0</v>
      </c>
      <c r="E2206" s="26">
        <v>0.0</v>
      </c>
      <c r="F2206" s="26" t="s">
        <v>2436</v>
      </c>
    </row>
    <row r="2207">
      <c r="A2207" s="28" t="s">
        <v>2127</v>
      </c>
      <c r="B2207" s="107" t="s">
        <v>2431</v>
      </c>
      <c r="C2207" s="28">
        <v>2.0</v>
      </c>
      <c r="D2207" s="106">
        <v>2380000.0</v>
      </c>
      <c r="E2207" s="26">
        <v>0.0</v>
      </c>
    </row>
    <row r="2208">
      <c r="A2208" s="28" t="s">
        <v>2127</v>
      </c>
      <c r="B2208" s="107" t="s">
        <v>2519</v>
      </c>
      <c r="C2208" s="28">
        <v>1.0</v>
      </c>
      <c r="D2208" s="29">
        <v>0.0</v>
      </c>
      <c r="E2208" s="26">
        <v>0.0</v>
      </c>
      <c r="F2208" s="26" t="s">
        <v>2436</v>
      </c>
    </row>
    <row r="2209">
      <c r="A2209" s="28" t="s">
        <v>2128</v>
      </c>
      <c r="B2209" s="107" t="s">
        <v>2429</v>
      </c>
      <c r="C2209" s="28">
        <v>720.0</v>
      </c>
      <c r="D2209" s="106">
        <v>45000.0</v>
      </c>
      <c r="E2209" s="111">
        <v>1.215E7</v>
      </c>
    </row>
    <row r="2210">
      <c r="A2210" s="28" t="s">
        <v>2128</v>
      </c>
      <c r="B2210" s="107" t="s">
        <v>2426</v>
      </c>
      <c r="C2210" s="28">
        <v>336.0</v>
      </c>
      <c r="D2210" s="106">
        <v>55000.0</v>
      </c>
      <c r="E2210" s="111">
        <v>6930000.0</v>
      </c>
    </row>
    <row r="2211">
      <c r="A2211" s="28" t="s">
        <v>2128</v>
      </c>
      <c r="B2211" s="107" t="s">
        <v>2435</v>
      </c>
      <c r="C2211" s="28">
        <v>120.0</v>
      </c>
      <c r="D2211" s="106">
        <v>40000.0</v>
      </c>
      <c r="E2211" s="111">
        <v>1800000.0</v>
      </c>
    </row>
    <row r="2212">
      <c r="A2212" s="28" t="s">
        <v>2128</v>
      </c>
      <c r="B2212" s="107" t="s">
        <v>2483</v>
      </c>
      <c r="C2212" s="28">
        <v>120.0</v>
      </c>
      <c r="D2212" s="106">
        <v>60000.0</v>
      </c>
      <c r="E2212" s="111">
        <v>2700000.0</v>
      </c>
    </row>
    <row r="2213">
      <c r="A2213" s="28" t="s">
        <v>2128</v>
      </c>
      <c r="B2213" s="107" t="s">
        <v>2428</v>
      </c>
      <c r="C2213" s="28">
        <v>48.0</v>
      </c>
      <c r="D2213" s="106">
        <v>45000.0</v>
      </c>
      <c r="E2213" s="111">
        <v>810000.0</v>
      </c>
    </row>
    <row r="2214">
      <c r="A2214" s="28" t="s">
        <v>2128</v>
      </c>
      <c r="B2214" s="107" t="s">
        <v>2430</v>
      </c>
      <c r="C2214" s="28">
        <v>48.0</v>
      </c>
      <c r="D2214" s="106">
        <v>45000.0</v>
      </c>
      <c r="E2214" s="111">
        <v>810000.0</v>
      </c>
    </row>
    <row r="2215">
      <c r="A2215" s="28" t="s">
        <v>2128</v>
      </c>
      <c r="B2215" s="107" t="s">
        <v>2478</v>
      </c>
      <c r="C2215" s="28">
        <v>48.0</v>
      </c>
      <c r="D2215" s="106">
        <v>45000.0</v>
      </c>
      <c r="E2215" s="111">
        <v>810000.0</v>
      </c>
    </row>
    <row r="2216">
      <c r="A2216" s="28" t="s">
        <v>2128</v>
      </c>
      <c r="B2216" s="107" t="s">
        <v>2458</v>
      </c>
      <c r="C2216" s="28">
        <v>48.0</v>
      </c>
      <c r="D2216" s="106">
        <v>60000.0</v>
      </c>
      <c r="E2216" s="111">
        <v>1080000.0</v>
      </c>
    </row>
    <row r="2217">
      <c r="A2217" s="28" t="s">
        <v>2128</v>
      </c>
      <c r="B2217" s="107" t="s">
        <v>2476</v>
      </c>
      <c r="C2217" s="28">
        <v>48.0</v>
      </c>
      <c r="D2217" s="106">
        <v>60000.0</v>
      </c>
      <c r="E2217" s="111">
        <v>1080000.0</v>
      </c>
    </row>
    <row r="2218">
      <c r="A2218" s="28" t="s">
        <v>2128</v>
      </c>
      <c r="B2218" s="107" t="s">
        <v>2488</v>
      </c>
      <c r="C2218" s="28">
        <v>2.0</v>
      </c>
      <c r="D2218" s="106">
        <v>2500000.0</v>
      </c>
      <c r="E2218" s="111">
        <v>1135000.0</v>
      </c>
    </row>
    <row r="2219">
      <c r="A2219" s="28" t="s">
        <v>2128</v>
      </c>
      <c r="B2219" s="107" t="s">
        <v>2507</v>
      </c>
      <c r="C2219" s="28">
        <v>24.0</v>
      </c>
      <c r="D2219" s="29">
        <v>0.0</v>
      </c>
      <c r="E2219" s="26">
        <v>0.0</v>
      </c>
      <c r="F2219" s="26" t="s">
        <v>2528</v>
      </c>
    </row>
    <row r="2220">
      <c r="A2220" s="28" t="s">
        <v>2128</v>
      </c>
      <c r="B2220" s="107" t="s">
        <v>2503</v>
      </c>
      <c r="C2220" s="28">
        <v>24.0</v>
      </c>
      <c r="D2220" s="29">
        <v>0.0</v>
      </c>
      <c r="E2220" s="26">
        <v>0.0</v>
      </c>
      <c r="F2220" s="26" t="s">
        <v>2528</v>
      </c>
    </row>
    <row r="2221">
      <c r="A2221" s="28" t="s">
        <v>2128</v>
      </c>
      <c r="B2221" s="107" t="s">
        <v>2502</v>
      </c>
      <c r="C2221" s="28">
        <v>24.0</v>
      </c>
      <c r="D2221" s="29">
        <v>0.0</v>
      </c>
      <c r="E2221" s="26">
        <v>0.0</v>
      </c>
      <c r="F2221" s="26" t="s">
        <v>2528</v>
      </c>
    </row>
    <row r="2222">
      <c r="A2222" s="28" t="s">
        <v>2128</v>
      </c>
      <c r="B2222" s="107" t="s">
        <v>2505</v>
      </c>
      <c r="C2222" s="28">
        <v>24.0</v>
      </c>
      <c r="D2222" s="29">
        <v>0.0</v>
      </c>
      <c r="E2222" s="26">
        <v>0.0</v>
      </c>
      <c r="F2222" s="26" t="s">
        <v>2528</v>
      </c>
    </row>
    <row r="2223">
      <c r="A2223" s="28" t="s">
        <v>2128</v>
      </c>
      <c r="B2223" s="107" t="s">
        <v>2510</v>
      </c>
      <c r="C2223" s="28">
        <v>24.0</v>
      </c>
      <c r="D2223" s="29">
        <v>0.0</v>
      </c>
      <c r="E2223" s="26">
        <v>0.0</v>
      </c>
      <c r="F2223" s="26" t="s">
        <v>2528</v>
      </c>
    </row>
    <row r="2224">
      <c r="A2224" s="28" t="s">
        <v>2128</v>
      </c>
      <c r="B2224" s="107" t="s">
        <v>2512</v>
      </c>
      <c r="C2224" s="28">
        <v>24.0</v>
      </c>
      <c r="D2224" s="29">
        <v>0.0</v>
      </c>
      <c r="E2224" s="26">
        <v>0.0</v>
      </c>
      <c r="F2224" s="26" t="s">
        <v>2528</v>
      </c>
    </row>
    <row r="2225">
      <c r="A2225" s="28" t="s">
        <v>2128</v>
      </c>
      <c r="B2225" s="107" t="s">
        <v>2511</v>
      </c>
      <c r="C2225" s="28">
        <v>24.0</v>
      </c>
      <c r="D2225" s="29">
        <v>0.0</v>
      </c>
      <c r="E2225" s="26">
        <v>0.0</v>
      </c>
      <c r="F2225" s="26" t="s">
        <v>2528</v>
      </c>
    </row>
    <row r="2226">
      <c r="A2226" s="28" t="s">
        <v>2128</v>
      </c>
      <c r="B2226" s="107" t="s">
        <v>2504</v>
      </c>
      <c r="C2226" s="28">
        <v>24.0</v>
      </c>
      <c r="D2226" s="29">
        <v>0.0</v>
      </c>
      <c r="E2226" s="26">
        <v>0.0</v>
      </c>
      <c r="F2226" s="26" t="s">
        <v>2528</v>
      </c>
    </row>
    <row r="2227">
      <c r="A2227" s="28" t="s">
        <v>2128</v>
      </c>
      <c r="B2227" s="107" t="s">
        <v>2513</v>
      </c>
      <c r="C2227" s="28">
        <v>24.0</v>
      </c>
      <c r="D2227" s="29">
        <v>0.0</v>
      </c>
      <c r="E2227" s="26">
        <v>0.0</v>
      </c>
      <c r="F2227" s="26" t="s">
        <v>2528</v>
      </c>
    </row>
    <row r="2228">
      <c r="A2228" s="28" t="s">
        <v>2128</v>
      </c>
      <c r="B2228" s="107" t="s">
        <v>2437</v>
      </c>
      <c r="C2228" s="28">
        <v>72.0</v>
      </c>
      <c r="D2228" s="29">
        <v>0.0</v>
      </c>
      <c r="E2228" s="26">
        <v>0.0</v>
      </c>
      <c r="F2228" s="26" t="s">
        <v>2438</v>
      </c>
    </row>
    <row r="2229">
      <c r="A2229" s="28" t="s">
        <v>2128</v>
      </c>
      <c r="B2229" s="107" t="s">
        <v>2442</v>
      </c>
      <c r="C2229" s="28">
        <v>500.0</v>
      </c>
      <c r="D2229" s="29">
        <v>0.0</v>
      </c>
      <c r="E2229" s="26">
        <v>0.0</v>
      </c>
      <c r="F2229" s="26" t="s">
        <v>2438</v>
      </c>
    </row>
    <row r="2230">
      <c r="A2230" s="28" t="s">
        <v>2129</v>
      </c>
      <c r="B2230" s="107" t="s">
        <v>2431</v>
      </c>
      <c r="C2230" s="28">
        <v>1.0</v>
      </c>
      <c r="D2230" s="106">
        <v>2380000.0</v>
      </c>
      <c r="E2230" s="26">
        <v>0.0</v>
      </c>
    </row>
    <row r="2231">
      <c r="A2231" s="28" t="s">
        <v>2130</v>
      </c>
      <c r="B2231" s="107" t="s">
        <v>2429</v>
      </c>
      <c r="C2231" s="28">
        <v>12.0</v>
      </c>
      <c r="D2231" s="106">
        <v>45000.0</v>
      </c>
      <c r="E2231" s="26">
        <v>0.0</v>
      </c>
    </row>
    <row r="2232">
      <c r="A2232" s="28" t="s">
        <v>2130</v>
      </c>
      <c r="B2232" s="107" t="s">
        <v>2478</v>
      </c>
      <c r="C2232" s="28">
        <v>6.0</v>
      </c>
      <c r="D2232" s="106">
        <v>45000.0</v>
      </c>
      <c r="E2232" s="26">
        <v>0.0</v>
      </c>
    </row>
    <row r="2233">
      <c r="A2233" s="28" t="s">
        <v>2130</v>
      </c>
      <c r="B2233" s="107" t="s">
        <v>2426</v>
      </c>
      <c r="C2233" s="28">
        <v>6.0</v>
      </c>
      <c r="D2233" s="106">
        <v>55000.0</v>
      </c>
      <c r="E2233" s="26">
        <v>0.0</v>
      </c>
    </row>
    <row r="2234">
      <c r="A2234" s="28" t="s">
        <v>2130</v>
      </c>
      <c r="B2234" s="107" t="s">
        <v>2435</v>
      </c>
      <c r="C2234" s="28">
        <v>24.0</v>
      </c>
      <c r="D2234" s="106">
        <v>40000.0</v>
      </c>
      <c r="E2234" s="26">
        <v>0.0</v>
      </c>
    </row>
    <row r="2235">
      <c r="A2235" s="28" t="s">
        <v>2130</v>
      </c>
      <c r="B2235" s="107" t="s">
        <v>2502</v>
      </c>
      <c r="C2235" s="28">
        <v>24.0</v>
      </c>
      <c r="D2235" s="29">
        <v>0.0</v>
      </c>
      <c r="E2235" s="26">
        <v>0.0</v>
      </c>
      <c r="F2235" s="26" t="s">
        <v>2436</v>
      </c>
    </row>
    <row r="2236">
      <c r="A2236" s="28" t="s">
        <v>2131</v>
      </c>
      <c r="B2236" s="107" t="s">
        <v>2520</v>
      </c>
      <c r="C2236" s="28">
        <v>3.0</v>
      </c>
      <c r="D2236" s="29">
        <v>0.0</v>
      </c>
      <c r="E2236" s="26">
        <v>0.0</v>
      </c>
      <c r="F2236" s="26" t="s">
        <v>2490</v>
      </c>
    </row>
    <row r="2237">
      <c r="A2237" s="28" t="s">
        <v>2131</v>
      </c>
      <c r="B2237" s="107" t="s">
        <v>2516</v>
      </c>
      <c r="C2237" s="28">
        <v>8.0</v>
      </c>
      <c r="D2237" s="29">
        <v>1480000.0</v>
      </c>
      <c r="E2237" s="26">
        <v>0.0</v>
      </c>
    </row>
    <row r="2238">
      <c r="A2238" s="28" t="s">
        <v>2131</v>
      </c>
      <c r="B2238" s="107" t="s">
        <v>2515</v>
      </c>
      <c r="C2238" s="28">
        <v>5.0</v>
      </c>
      <c r="D2238" s="29">
        <v>1450000.0</v>
      </c>
      <c r="E2238" s="26">
        <v>0.0</v>
      </c>
    </row>
    <row r="2239">
      <c r="A2239" s="28" t="s">
        <v>2131</v>
      </c>
      <c r="B2239" s="107" t="s">
        <v>2517</v>
      </c>
      <c r="C2239" s="28">
        <v>7.0</v>
      </c>
      <c r="D2239" s="29">
        <v>2380000.0</v>
      </c>
      <c r="E2239" s="26">
        <v>0.0</v>
      </c>
    </row>
    <row r="2240">
      <c r="A2240" s="28" t="s">
        <v>2131</v>
      </c>
      <c r="B2240" s="107" t="s">
        <v>2507</v>
      </c>
      <c r="C2240" s="28">
        <v>360.0</v>
      </c>
      <c r="D2240" s="29">
        <v>45000.0</v>
      </c>
      <c r="E2240" s="26">
        <v>0.0</v>
      </c>
    </row>
    <row r="2241">
      <c r="A2241" s="28" t="s">
        <v>2131</v>
      </c>
      <c r="B2241" s="107" t="s">
        <v>2513</v>
      </c>
      <c r="C2241" s="28">
        <v>120.0</v>
      </c>
      <c r="D2241" s="29">
        <v>60000.0</v>
      </c>
      <c r="E2241" s="26">
        <v>0.0</v>
      </c>
    </row>
    <row r="2242">
      <c r="A2242" s="28" t="s">
        <v>2131</v>
      </c>
      <c r="B2242" s="107" t="s">
        <v>2511</v>
      </c>
      <c r="C2242" s="28">
        <v>240.0</v>
      </c>
      <c r="D2242" s="29">
        <v>450000.0</v>
      </c>
      <c r="E2242" s="26">
        <v>0.0</v>
      </c>
    </row>
    <row r="2243">
      <c r="A2243" s="28" t="s">
        <v>2131</v>
      </c>
      <c r="B2243" s="107" t="s">
        <v>2503</v>
      </c>
      <c r="C2243" s="28">
        <v>120.0</v>
      </c>
      <c r="D2243" s="29">
        <v>55000.0</v>
      </c>
      <c r="E2243" s="26">
        <v>0.0</v>
      </c>
    </row>
    <row r="2244">
      <c r="A2244" s="28" t="s">
        <v>2131</v>
      </c>
      <c r="B2244" s="107" t="s">
        <v>2502</v>
      </c>
      <c r="C2244" s="28">
        <v>240.0</v>
      </c>
      <c r="D2244" s="29">
        <v>40000.0</v>
      </c>
      <c r="E2244" s="26">
        <v>0.0</v>
      </c>
    </row>
    <row r="2245">
      <c r="A2245" s="28" t="s">
        <v>2131</v>
      </c>
      <c r="B2245" s="107" t="s">
        <v>2504</v>
      </c>
      <c r="C2245" s="28">
        <v>240.0</v>
      </c>
      <c r="D2245" s="29">
        <v>60000.0</v>
      </c>
      <c r="E2245" s="26">
        <v>0.0</v>
      </c>
    </row>
    <row r="2246">
      <c r="A2246" s="28" t="s">
        <v>2131</v>
      </c>
      <c r="B2246" s="107" t="s">
        <v>2505</v>
      </c>
      <c r="C2246" s="28">
        <v>120.0</v>
      </c>
      <c r="D2246" s="29">
        <v>60000.0</v>
      </c>
      <c r="E2246" s="26">
        <v>0.0</v>
      </c>
    </row>
    <row r="2247">
      <c r="A2247" s="28" t="s">
        <v>2132</v>
      </c>
      <c r="B2247" s="107" t="s">
        <v>2433</v>
      </c>
      <c r="C2247" s="28">
        <v>1.0</v>
      </c>
      <c r="D2247" s="106">
        <v>1450000.0</v>
      </c>
      <c r="E2247" s="26">
        <v>0.0</v>
      </c>
    </row>
    <row r="2248">
      <c r="A2248" s="28" t="s">
        <v>2132</v>
      </c>
      <c r="B2248" s="107" t="s">
        <v>2434</v>
      </c>
      <c r="C2248" s="28">
        <v>1.0</v>
      </c>
      <c r="D2248" s="106">
        <v>1350000.0</v>
      </c>
      <c r="E2248" s="26">
        <v>0.0</v>
      </c>
    </row>
    <row r="2249">
      <c r="A2249" s="28" t="s">
        <v>2133</v>
      </c>
      <c r="B2249" s="107" t="s">
        <v>2504</v>
      </c>
      <c r="C2249" s="28">
        <v>3.0</v>
      </c>
      <c r="D2249" s="29">
        <v>0.0</v>
      </c>
      <c r="E2249" s="26">
        <v>0.0</v>
      </c>
      <c r="F2249" s="26" t="s">
        <v>2490</v>
      </c>
    </row>
    <row r="2250">
      <c r="A2250" s="28" t="s">
        <v>2133</v>
      </c>
      <c r="B2250" s="107" t="s">
        <v>2505</v>
      </c>
      <c r="C2250" s="28">
        <v>3.0</v>
      </c>
      <c r="D2250" s="29">
        <v>0.0</v>
      </c>
      <c r="E2250" s="26">
        <v>0.0</v>
      </c>
      <c r="F2250" s="26" t="s">
        <v>2490</v>
      </c>
    </row>
    <row r="2251">
      <c r="A2251" s="28" t="s">
        <v>2133</v>
      </c>
      <c r="B2251" s="107" t="s">
        <v>2525</v>
      </c>
      <c r="C2251" s="28">
        <v>1.0</v>
      </c>
      <c r="D2251" s="29">
        <v>0.0</v>
      </c>
      <c r="E2251" s="26">
        <v>0.0</v>
      </c>
      <c r="F2251" s="26" t="s">
        <v>2438</v>
      </c>
    </row>
    <row r="2252">
      <c r="A2252" s="28" t="s">
        <v>2133</v>
      </c>
      <c r="B2252" s="107" t="s">
        <v>2471</v>
      </c>
      <c r="C2252" s="28">
        <v>1.0</v>
      </c>
      <c r="D2252" s="29">
        <v>0.0</v>
      </c>
      <c r="E2252" s="26">
        <v>0.0</v>
      </c>
      <c r="F2252" s="26" t="s">
        <v>2438</v>
      </c>
    </row>
    <row r="2253">
      <c r="A2253" s="28" t="s">
        <v>2133</v>
      </c>
      <c r="B2253" s="107" t="s">
        <v>2472</v>
      </c>
      <c r="C2253" s="28">
        <v>1.0</v>
      </c>
      <c r="D2253" s="29">
        <v>0.0</v>
      </c>
      <c r="E2253" s="26">
        <v>0.0</v>
      </c>
      <c r="F2253" s="26" t="s">
        <v>2438</v>
      </c>
    </row>
    <row r="2254">
      <c r="A2254" s="28" t="s">
        <v>2134</v>
      </c>
      <c r="B2254" s="107" t="s">
        <v>2433</v>
      </c>
      <c r="C2254" s="28">
        <v>1.0</v>
      </c>
      <c r="D2254" s="106">
        <v>1450000.0</v>
      </c>
      <c r="E2254" s="26">
        <v>0.0</v>
      </c>
    </row>
    <row r="2255">
      <c r="A2255" s="28" t="s">
        <v>2135</v>
      </c>
      <c r="B2255" s="107" t="s">
        <v>2425</v>
      </c>
      <c r="C2255" s="28">
        <v>1.0</v>
      </c>
      <c r="D2255" s="106">
        <v>1875000.0</v>
      </c>
      <c r="E2255" s="26">
        <v>0.0</v>
      </c>
    </row>
    <row r="2256">
      <c r="A2256" s="28" t="s">
        <v>2136</v>
      </c>
      <c r="B2256" s="107" t="s">
        <v>2433</v>
      </c>
      <c r="C2256" s="28">
        <v>1.0</v>
      </c>
      <c r="D2256" s="106">
        <v>1450000.0</v>
      </c>
      <c r="E2256" s="29">
        <v>290000.0</v>
      </c>
    </row>
    <row r="2257">
      <c r="A2257" s="28" t="s">
        <v>2136</v>
      </c>
      <c r="B2257" s="107" t="s">
        <v>2495</v>
      </c>
      <c r="C2257" s="28">
        <v>1.0</v>
      </c>
      <c r="D2257" s="106">
        <v>1790000.0</v>
      </c>
      <c r="E2257" s="29">
        <v>358000.0</v>
      </c>
    </row>
    <row r="2258">
      <c r="A2258" s="28" t="s">
        <v>2137</v>
      </c>
      <c r="B2258" s="107" t="s">
        <v>2425</v>
      </c>
      <c r="C2258" s="28">
        <v>1.0</v>
      </c>
      <c r="D2258" s="106">
        <v>1875000.0</v>
      </c>
      <c r="E2258" s="26">
        <v>0.0</v>
      </c>
    </row>
    <row r="2259">
      <c r="A2259" s="28" t="s">
        <v>2138</v>
      </c>
      <c r="B2259" s="107" t="s">
        <v>2434</v>
      </c>
      <c r="C2259" s="28">
        <v>1.0</v>
      </c>
      <c r="D2259" s="106">
        <v>1350000.0</v>
      </c>
      <c r="E2259" s="26">
        <v>0.0</v>
      </c>
    </row>
    <row r="2260">
      <c r="A2260" s="28" t="s">
        <v>2138</v>
      </c>
      <c r="B2260" s="107" t="s">
        <v>2518</v>
      </c>
      <c r="C2260" s="28">
        <v>1.0</v>
      </c>
      <c r="D2260" s="29">
        <v>0.0</v>
      </c>
      <c r="E2260" s="26">
        <v>0.0</v>
      </c>
      <c r="F2260" s="26" t="s">
        <v>2436</v>
      </c>
    </row>
    <row r="2261">
      <c r="A2261" s="28" t="s">
        <v>2138</v>
      </c>
      <c r="B2261" s="107" t="s">
        <v>2425</v>
      </c>
      <c r="C2261" s="28">
        <v>2.0</v>
      </c>
      <c r="D2261" s="106">
        <v>1875000.0</v>
      </c>
      <c r="E2261" s="26">
        <v>0.0</v>
      </c>
    </row>
    <row r="2262">
      <c r="A2262" s="28" t="s">
        <v>2138</v>
      </c>
      <c r="B2262" s="107" t="s">
        <v>2431</v>
      </c>
      <c r="C2262" s="28">
        <v>1.0</v>
      </c>
      <c r="D2262" s="106">
        <v>2380000.0</v>
      </c>
      <c r="E2262" s="26">
        <v>0.0</v>
      </c>
    </row>
    <row r="2263">
      <c r="A2263" s="28" t="s">
        <v>2138</v>
      </c>
      <c r="B2263" s="107" t="s">
        <v>2446</v>
      </c>
      <c r="C2263" s="28">
        <v>1.0</v>
      </c>
      <c r="D2263" s="29">
        <v>0.0</v>
      </c>
      <c r="E2263" s="26">
        <v>0.0</v>
      </c>
      <c r="F2263" s="26" t="s">
        <v>2438</v>
      </c>
    </row>
    <row r="2264">
      <c r="A2264" s="28" t="s">
        <v>2138</v>
      </c>
      <c r="B2264" s="107" t="s">
        <v>2447</v>
      </c>
      <c r="C2264" s="28">
        <v>2.0</v>
      </c>
      <c r="D2264" s="29">
        <v>0.0</v>
      </c>
      <c r="E2264" s="26">
        <v>0.0</v>
      </c>
      <c r="F2264" s="26" t="s">
        <v>2438</v>
      </c>
    </row>
    <row r="2265">
      <c r="A2265" s="28" t="s">
        <v>2138</v>
      </c>
      <c r="B2265" s="107" t="s">
        <v>2480</v>
      </c>
      <c r="C2265" s="28">
        <v>1.0</v>
      </c>
      <c r="D2265" s="29">
        <v>0.0</v>
      </c>
      <c r="E2265" s="26">
        <v>0.0</v>
      </c>
      <c r="F2265" s="26" t="s">
        <v>2438</v>
      </c>
    </row>
    <row r="2266">
      <c r="A2266" s="28" t="s">
        <v>2138</v>
      </c>
      <c r="B2266" s="107" t="s">
        <v>2485</v>
      </c>
      <c r="C2266" s="28">
        <v>1.0</v>
      </c>
      <c r="D2266" s="29">
        <v>0.0</v>
      </c>
      <c r="E2266" s="26">
        <v>0.0</v>
      </c>
      <c r="F2266" s="26" t="s">
        <v>2438</v>
      </c>
    </row>
    <row r="2267">
      <c r="A2267" s="28" t="s">
        <v>2138</v>
      </c>
      <c r="B2267" s="107" t="s">
        <v>2529</v>
      </c>
      <c r="C2267" s="28">
        <v>2.0</v>
      </c>
      <c r="D2267" s="29">
        <v>0.0</v>
      </c>
      <c r="E2267" s="26">
        <v>0.0</v>
      </c>
      <c r="F2267" s="26" t="s">
        <v>2438</v>
      </c>
    </row>
    <row r="2268">
      <c r="A2268" s="28" t="s">
        <v>2139</v>
      </c>
      <c r="B2268" s="107" t="s">
        <v>2433</v>
      </c>
      <c r="C2268" s="28">
        <v>1.0</v>
      </c>
      <c r="D2268" s="106">
        <v>1450000.0</v>
      </c>
      <c r="E2268" s="26">
        <v>0.0</v>
      </c>
    </row>
    <row r="2269">
      <c r="A2269" s="28" t="s">
        <v>2140</v>
      </c>
      <c r="B2269" s="107" t="s">
        <v>2433</v>
      </c>
      <c r="C2269" s="28">
        <v>1.0</v>
      </c>
      <c r="D2269" s="106">
        <v>1450000.0</v>
      </c>
      <c r="E2269" s="26">
        <v>0.0</v>
      </c>
    </row>
    <row r="2270">
      <c r="A2270" s="28" t="s">
        <v>2140</v>
      </c>
      <c r="B2270" s="107" t="s">
        <v>2434</v>
      </c>
      <c r="C2270" s="28">
        <v>1.0</v>
      </c>
      <c r="D2270" s="106">
        <v>1350000.0</v>
      </c>
      <c r="E2270" s="26">
        <v>0.0</v>
      </c>
    </row>
    <row r="2271">
      <c r="A2271" s="28" t="s">
        <v>2141</v>
      </c>
      <c r="B2271" s="107" t="s">
        <v>2433</v>
      </c>
      <c r="C2271" s="28">
        <v>1.0</v>
      </c>
      <c r="D2271" s="106">
        <v>1450000.0</v>
      </c>
      <c r="E2271" s="26">
        <v>0.0</v>
      </c>
    </row>
    <row r="2272">
      <c r="A2272" s="28" t="s">
        <v>2143</v>
      </c>
      <c r="B2272" s="107" t="s">
        <v>2433</v>
      </c>
      <c r="C2272" s="28">
        <v>1.0</v>
      </c>
      <c r="D2272" s="106">
        <v>1450000.0</v>
      </c>
      <c r="E2272" s="26">
        <v>0.0</v>
      </c>
    </row>
    <row r="2273">
      <c r="A2273" s="28" t="s">
        <v>2143</v>
      </c>
      <c r="B2273" s="107" t="s">
        <v>2502</v>
      </c>
      <c r="C2273" s="28">
        <v>6.0</v>
      </c>
      <c r="D2273" s="29">
        <v>0.0</v>
      </c>
      <c r="E2273" s="26">
        <v>0.0</v>
      </c>
      <c r="F2273" s="26" t="s">
        <v>2436</v>
      </c>
    </row>
    <row r="2274">
      <c r="A2274" s="28" t="s">
        <v>2144</v>
      </c>
      <c r="B2274" s="107" t="s">
        <v>2429</v>
      </c>
      <c r="C2274" s="28">
        <v>48.0</v>
      </c>
      <c r="D2274" s="106">
        <v>45000.0</v>
      </c>
      <c r="E2274" s="26">
        <v>0.0</v>
      </c>
    </row>
    <row r="2275">
      <c r="A2275" s="28" t="s">
        <v>2145</v>
      </c>
      <c r="B2275" s="107" t="s">
        <v>2425</v>
      </c>
      <c r="C2275" s="28">
        <v>1.0</v>
      </c>
      <c r="D2275" s="106">
        <v>1875000.0</v>
      </c>
      <c r="E2275" s="26">
        <v>0.0</v>
      </c>
    </row>
    <row r="2276">
      <c r="A2276" s="28" t="s">
        <v>2146</v>
      </c>
      <c r="B2276" s="107" t="s">
        <v>2518</v>
      </c>
      <c r="C2276" s="28">
        <v>8.0</v>
      </c>
      <c r="D2276" s="29">
        <v>1350000.0</v>
      </c>
      <c r="E2276" s="26">
        <v>0.0</v>
      </c>
    </row>
    <row r="2277">
      <c r="A2277" s="28" t="s">
        <v>2146</v>
      </c>
      <c r="B2277" s="107" t="s">
        <v>2530</v>
      </c>
      <c r="C2277" s="28">
        <v>3.0</v>
      </c>
      <c r="D2277" s="29">
        <v>2500000.0</v>
      </c>
      <c r="E2277" s="26">
        <v>0.0</v>
      </c>
    </row>
    <row r="2278">
      <c r="A2278" s="28" t="s">
        <v>2146</v>
      </c>
      <c r="B2278" s="107" t="s">
        <v>2502</v>
      </c>
      <c r="C2278" s="28">
        <v>240.0</v>
      </c>
      <c r="D2278" s="29">
        <v>40000.0</v>
      </c>
      <c r="E2278" s="26">
        <v>0.0</v>
      </c>
    </row>
    <row r="2279">
      <c r="A2279" s="28" t="s">
        <v>2146</v>
      </c>
      <c r="B2279" s="107" t="s">
        <v>2507</v>
      </c>
      <c r="C2279" s="28">
        <v>240.0</v>
      </c>
      <c r="D2279" s="29">
        <v>45000.0</v>
      </c>
      <c r="E2279" s="26">
        <v>0.0</v>
      </c>
    </row>
    <row r="2280">
      <c r="A2280" s="28" t="s">
        <v>2146</v>
      </c>
      <c r="B2280" s="107" t="s">
        <v>2505</v>
      </c>
      <c r="C2280" s="28">
        <v>240.0</v>
      </c>
      <c r="D2280" s="29">
        <v>60000.0</v>
      </c>
      <c r="E2280" s="26">
        <v>0.0</v>
      </c>
    </row>
    <row r="2281">
      <c r="A2281" s="28" t="s">
        <v>2147</v>
      </c>
      <c r="B2281" s="107" t="s">
        <v>2434</v>
      </c>
      <c r="C2281" s="28">
        <v>10.0</v>
      </c>
      <c r="D2281" s="106">
        <v>1350000.0</v>
      </c>
      <c r="E2281" s="29">
        <v>4050000.0</v>
      </c>
    </row>
    <row r="2282">
      <c r="A2282" s="28" t="s">
        <v>2147</v>
      </c>
      <c r="B2282" s="107" t="s">
        <v>2433</v>
      </c>
      <c r="C2282" s="28">
        <v>3.0</v>
      </c>
      <c r="D2282" s="106">
        <v>1450000.0</v>
      </c>
      <c r="E2282" s="29">
        <v>1305000.0</v>
      </c>
    </row>
    <row r="2283">
      <c r="A2283" s="28" t="s">
        <v>2147</v>
      </c>
      <c r="B2283" s="107" t="s">
        <v>2431</v>
      </c>
      <c r="C2283" s="28">
        <v>3.0</v>
      </c>
      <c r="D2283" s="106">
        <v>2380000.0</v>
      </c>
      <c r="E2283" s="29">
        <v>2142000.0</v>
      </c>
    </row>
    <row r="2284">
      <c r="A2284" s="28" t="s">
        <v>2147</v>
      </c>
      <c r="B2284" s="107" t="s">
        <v>2488</v>
      </c>
      <c r="C2284" s="28">
        <v>1.0</v>
      </c>
      <c r="D2284" s="106">
        <v>2500000.0</v>
      </c>
      <c r="E2284" s="29">
        <v>750000.0</v>
      </c>
    </row>
    <row r="2285">
      <c r="A2285" s="28" t="s">
        <v>2147</v>
      </c>
      <c r="B2285" s="107" t="s">
        <v>2530</v>
      </c>
      <c r="C2285" s="28">
        <v>1.0</v>
      </c>
      <c r="D2285" s="29">
        <v>0.0</v>
      </c>
      <c r="E2285" s="26">
        <v>0.0</v>
      </c>
      <c r="F2285" s="26" t="s">
        <v>2436</v>
      </c>
    </row>
    <row r="2286">
      <c r="A2286" s="28" t="s">
        <v>2147</v>
      </c>
      <c r="B2286" s="107" t="s">
        <v>2505</v>
      </c>
      <c r="C2286" s="28">
        <v>24.0</v>
      </c>
      <c r="D2286" s="29">
        <v>0.0</v>
      </c>
      <c r="E2286" s="26">
        <v>0.0</v>
      </c>
      <c r="F2286" s="26" t="s">
        <v>2436</v>
      </c>
    </row>
    <row r="2287">
      <c r="A2287" s="28" t="s">
        <v>2147</v>
      </c>
      <c r="B2287" s="107" t="s">
        <v>2510</v>
      </c>
      <c r="C2287" s="28">
        <v>9.0</v>
      </c>
      <c r="D2287" s="29">
        <v>0.0</v>
      </c>
      <c r="E2287" s="26">
        <v>0.0</v>
      </c>
      <c r="F2287" s="26" t="s">
        <v>2436</v>
      </c>
    </row>
    <row r="2288">
      <c r="A2288" s="28" t="s">
        <v>2147</v>
      </c>
      <c r="B2288" s="107" t="s">
        <v>2511</v>
      </c>
      <c r="C2288" s="28">
        <v>9.0</v>
      </c>
      <c r="D2288" s="29">
        <v>0.0</v>
      </c>
      <c r="E2288" s="26">
        <v>0.0</v>
      </c>
      <c r="F2288" s="26" t="s">
        <v>2436</v>
      </c>
    </row>
    <row r="2289">
      <c r="A2289" s="28" t="s">
        <v>2147</v>
      </c>
      <c r="B2289" s="107" t="s">
        <v>2512</v>
      </c>
      <c r="C2289" s="28">
        <v>9.0</v>
      </c>
      <c r="D2289" s="29">
        <v>0.0</v>
      </c>
      <c r="E2289" s="26">
        <v>0.0</v>
      </c>
      <c r="F2289" s="26" t="s">
        <v>2436</v>
      </c>
    </row>
    <row r="2290">
      <c r="A2290" s="28" t="s">
        <v>2147</v>
      </c>
      <c r="B2290" s="107" t="s">
        <v>2503</v>
      </c>
      <c r="C2290" s="28">
        <v>9.0</v>
      </c>
      <c r="D2290" s="29">
        <v>0.0</v>
      </c>
      <c r="E2290" s="26">
        <v>0.0</v>
      </c>
      <c r="F2290" s="26" t="s">
        <v>2436</v>
      </c>
    </row>
    <row r="2291">
      <c r="A2291" s="28" t="s">
        <v>2147</v>
      </c>
      <c r="B2291" s="107" t="s">
        <v>2507</v>
      </c>
      <c r="C2291" s="28">
        <v>9.0</v>
      </c>
      <c r="D2291" s="29">
        <v>0.0</v>
      </c>
      <c r="E2291" s="26">
        <v>0.0</v>
      </c>
      <c r="F2291" s="26" t="s">
        <v>2436</v>
      </c>
    </row>
    <row r="2292">
      <c r="A2292" s="28" t="s">
        <v>2147</v>
      </c>
      <c r="B2292" s="107" t="s">
        <v>2513</v>
      </c>
      <c r="C2292" s="28">
        <v>9.0</v>
      </c>
      <c r="D2292" s="29">
        <v>0.0</v>
      </c>
      <c r="E2292" s="26">
        <v>0.0</v>
      </c>
      <c r="F2292" s="26" t="s">
        <v>2436</v>
      </c>
    </row>
    <row r="2293">
      <c r="A2293" s="28" t="s">
        <v>2147</v>
      </c>
      <c r="B2293" s="107" t="s">
        <v>2502</v>
      </c>
      <c r="C2293" s="28">
        <v>9.0</v>
      </c>
      <c r="D2293" s="29">
        <v>0.0</v>
      </c>
      <c r="E2293" s="26">
        <v>0.0</v>
      </c>
      <c r="F2293" s="26" t="s">
        <v>2436</v>
      </c>
    </row>
    <row r="2294">
      <c r="A2294" s="28" t="s">
        <v>2147</v>
      </c>
      <c r="B2294" s="107" t="s">
        <v>2505</v>
      </c>
      <c r="C2294" s="28">
        <v>9.0</v>
      </c>
      <c r="D2294" s="29">
        <v>0.0</v>
      </c>
      <c r="E2294" s="26">
        <v>0.0</v>
      </c>
      <c r="F2294" s="26" t="s">
        <v>2436</v>
      </c>
    </row>
    <row r="2295">
      <c r="A2295" s="28" t="s">
        <v>2147</v>
      </c>
      <c r="B2295" s="107" t="s">
        <v>2447</v>
      </c>
      <c r="C2295" s="28">
        <v>2.0</v>
      </c>
      <c r="D2295" s="29">
        <v>0.0</v>
      </c>
      <c r="E2295" s="26">
        <v>0.0</v>
      </c>
      <c r="F2295" s="26" t="s">
        <v>2506</v>
      </c>
    </row>
    <row r="2296">
      <c r="A2296" s="28" t="s">
        <v>2148</v>
      </c>
      <c r="B2296" s="107" t="s">
        <v>2470</v>
      </c>
      <c r="C2296" s="28">
        <v>1.0</v>
      </c>
      <c r="D2296" s="29">
        <v>0.0</v>
      </c>
      <c r="E2296" s="26">
        <v>0.0</v>
      </c>
      <c r="F2296" s="26" t="s">
        <v>2506</v>
      </c>
    </row>
    <row r="2297">
      <c r="A2297" s="28" t="s">
        <v>2148</v>
      </c>
      <c r="B2297" s="107" t="s">
        <v>2457</v>
      </c>
      <c r="C2297" s="28">
        <v>105.0</v>
      </c>
      <c r="D2297" s="29">
        <v>0.0</v>
      </c>
      <c r="E2297" s="26">
        <v>0.0</v>
      </c>
      <c r="F2297" s="26" t="s">
        <v>2506</v>
      </c>
    </row>
    <row r="2298">
      <c r="A2298" s="28" t="s">
        <v>2148</v>
      </c>
      <c r="B2298" s="107" t="s">
        <v>2457</v>
      </c>
      <c r="C2298" s="28">
        <v>100.0</v>
      </c>
      <c r="D2298" s="29">
        <v>0.0</v>
      </c>
      <c r="E2298" s="26">
        <v>0.0</v>
      </c>
      <c r="F2298" s="26" t="s">
        <v>2506</v>
      </c>
    </row>
    <row r="2299">
      <c r="A2299" s="28" t="s">
        <v>2148</v>
      </c>
      <c r="B2299" s="107" t="s">
        <v>2472</v>
      </c>
      <c r="C2299" s="28">
        <v>15.0</v>
      </c>
      <c r="D2299" s="29">
        <v>0.0</v>
      </c>
      <c r="E2299" s="26">
        <v>0.0</v>
      </c>
      <c r="F2299" s="26" t="s">
        <v>2506</v>
      </c>
    </row>
    <row r="2300">
      <c r="A2300" s="28" t="s">
        <v>2148</v>
      </c>
      <c r="B2300" s="107" t="s">
        <v>2527</v>
      </c>
      <c r="C2300" s="28">
        <v>1.0</v>
      </c>
      <c r="D2300" s="29">
        <v>0.0</v>
      </c>
      <c r="E2300" s="26">
        <v>0.0</v>
      </c>
      <c r="F2300" s="26" t="s">
        <v>2506</v>
      </c>
    </row>
    <row r="2301">
      <c r="A2301" s="28" t="s">
        <v>2148</v>
      </c>
      <c r="B2301" s="107" t="s">
        <v>2471</v>
      </c>
      <c r="C2301" s="28">
        <v>10.0</v>
      </c>
      <c r="D2301" s="29">
        <v>0.0</v>
      </c>
      <c r="E2301" s="26">
        <v>0.0</v>
      </c>
      <c r="F2301" s="26" t="s">
        <v>2506</v>
      </c>
    </row>
    <row r="2302">
      <c r="A2302" s="28" t="s">
        <v>2148</v>
      </c>
      <c r="B2302" s="107" t="s">
        <v>2531</v>
      </c>
      <c r="C2302" s="28">
        <v>2.0</v>
      </c>
      <c r="D2302" s="29">
        <v>0.0</v>
      </c>
      <c r="E2302" s="26">
        <v>0.0</v>
      </c>
      <c r="F2302" s="26" t="s">
        <v>2506</v>
      </c>
    </row>
    <row r="2303">
      <c r="A2303" s="28" t="s">
        <v>2148</v>
      </c>
      <c r="B2303" s="107" t="s">
        <v>2505</v>
      </c>
      <c r="C2303" s="28">
        <v>48.0</v>
      </c>
      <c r="D2303" s="29">
        <v>0.0</v>
      </c>
      <c r="E2303" s="26">
        <v>0.0</v>
      </c>
      <c r="F2303" s="26" t="s">
        <v>2506</v>
      </c>
    </row>
    <row r="2304">
      <c r="A2304" s="28" t="s">
        <v>2149</v>
      </c>
      <c r="B2304" s="107" t="s">
        <v>2432</v>
      </c>
      <c r="C2304" s="28">
        <v>1.0</v>
      </c>
      <c r="D2304" s="106">
        <v>1480000.0</v>
      </c>
      <c r="E2304" s="29">
        <v>296000.0</v>
      </c>
    </row>
    <row r="2305">
      <c r="A2305" s="28" t="s">
        <v>2150</v>
      </c>
      <c r="B2305" s="107" t="s">
        <v>2426</v>
      </c>
      <c r="C2305" s="28">
        <v>24.0</v>
      </c>
      <c r="D2305" s="106">
        <v>55000.0</v>
      </c>
      <c r="E2305" s="26">
        <v>0.0</v>
      </c>
    </row>
    <row r="2306">
      <c r="A2306" s="28" t="s">
        <v>2150</v>
      </c>
      <c r="B2306" s="107" t="s">
        <v>2429</v>
      </c>
      <c r="C2306" s="28">
        <v>24.0</v>
      </c>
      <c r="D2306" s="106">
        <v>45000.0</v>
      </c>
      <c r="E2306" s="26">
        <v>0.0</v>
      </c>
    </row>
    <row r="2307">
      <c r="A2307" s="28" t="s">
        <v>2150</v>
      </c>
      <c r="B2307" s="107" t="s">
        <v>2502</v>
      </c>
      <c r="C2307" s="28">
        <v>6.0</v>
      </c>
      <c r="D2307" s="29">
        <v>0.0</v>
      </c>
      <c r="E2307" s="26">
        <v>0.0</v>
      </c>
      <c r="F2307" s="26" t="s">
        <v>2438</v>
      </c>
    </row>
    <row r="2308">
      <c r="A2308" s="28" t="s">
        <v>2150</v>
      </c>
      <c r="B2308" s="107" t="s">
        <v>2442</v>
      </c>
      <c r="C2308" s="28">
        <v>50.0</v>
      </c>
      <c r="D2308" s="29">
        <v>0.0</v>
      </c>
      <c r="E2308" s="26">
        <v>0.0</v>
      </c>
      <c r="F2308" s="26" t="s">
        <v>2438</v>
      </c>
    </row>
    <row r="2309">
      <c r="A2309" s="28" t="s">
        <v>2151</v>
      </c>
      <c r="B2309" s="107" t="s">
        <v>2433</v>
      </c>
      <c r="C2309" s="28">
        <v>1.0</v>
      </c>
      <c r="D2309" s="106">
        <v>1450000.0</v>
      </c>
      <c r="E2309" s="26">
        <v>0.0</v>
      </c>
    </row>
    <row r="2310">
      <c r="A2310" s="28" t="s">
        <v>2152</v>
      </c>
      <c r="B2310" s="107" t="s">
        <v>2433</v>
      </c>
      <c r="C2310" s="28">
        <v>1.0</v>
      </c>
      <c r="D2310" s="106">
        <v>1450000.0</v>
      </c>
      <c r="E2310" s="26">
        <v>0.0</v>
      </c>
    </row>
    <row r="2311">
      <c r="A2311" s="28" t="s">
        <v>2153</v>
      </c>
      <c r="B2311" s="107" t="s">
        <v>2434</v>
      </c>
      <c r="C2311" s="28">
        <v>1.0</v>
      </c>
      <c r="D2311" s="106">
        <v>1350000.0</v>
      </c>
      <c r="E2311" s="26">
        <v>0.0</v>
      </c>
    </row>
    <row r="2312">
      <c r="A2312" s="28" t="s">
        <v>2153</v>
      </c>
      <c r="B2312" s="107" t="s">
        <v>2518</v>
      </c>
      <c r="C2312" s="28">
        <v>1.0</v>
      </c>
      <c r="D2312" s="29">
        <v>0.0</v>
      </c>
      <c r="E2312" s="26">
        <v>0.0</v>
      </c>
      <c r="F2312" s="26" t="s">
        <v>2436</v>
      </c>
    </row>
    <row r="2313">
      <c r="A2313" s="28" t="s">
        <v>2153</v>
      </c>
      <c r="B2313" s="107" t="s">
        <v>2431</v>
      </c>
      <c r="C2313" s="28">
        <v>1.0</v>
      </c>
      <c r="D2313" s="106">
        <v>2380000.0</v>
      </c>
      <c r="E2313" s="26">
        <v>0.0</v>
      </c>
    </row>
    <row r="2314">
      <c r="A2314" s="28" t="s">
        <v>2154</v>
      </c>
      <c r="B2314" s="107" t="s">
        <v>2429</v>
      </c>
      <c r="C2314" s="28">
        <v>48.0</v>
      </c>
      <c r="D2314" s="106">
        <v>45000.0</v>
      </c>
      <c r="E2314" s="26">
        <v>0.0</v>
      </c>
    </row>
    <row r="2315">
      <c r="A2315" s="28" t="s">
        <v>2154</v>
      </c>
      <c r="B2315" s="107" t="s">
        <v>2502</v>
      </c>
      <c r="C2315" s="28">
        <v>3.0</v>
      </c>
      <c r="D2315" s="29">
        <v>0.0</v>
      </c>
      <c r="E2315" s="26">
        <v>0.0</v>
      </c>
      <c r="F2315" s="26" t="s">
        <v>1522</v>
      </c>
    </row>
    <row r="2316">
      <c r="A2316" s="28" t="s">
        <v>2155</v>
      </c>
      <c r="B2316" s="107" t="s">
        <v>2426</v>
      </c>
      <c r="C2316" s="28">
        <v>96.0</v>
      </c>
      <c r="D2316" s="106">
        <v>55000.0</v>
      </c>
      <c r="E2316" s="26">
        <v>0.0</v>
      </c>
    </row>
    <row r="2317">
      <c r="A2317" s="28" t="s">
        <v>2155</v>
      </c>
      <c r="B2317" s="107" t="s">
        <v>2503</v>
      </c>
      <c r="C2317" s="28">
        <v>24.0</v>
      </c>
      <c r="D2317" s="29">
        <v>0.0</v>
      </c>
      <c r="E2317" s="26">
        <v>0.0</v>
      </c>
      <c r="F2317" s="26" t="s">
        <v>1522</v>
      </c>
    </row>
    <row r="2318">
      <c r="A2318" s="28" t="s">
        <v>2155</v>
      </c>
      <c r="B2318" s="107" t="s">
        <v>2442</v>
      </c>
      <c r="C2318" s="28">
        <v>50.0</v>
      </c>
      <c r="D2318" s="29">
        <v>0.0</v>
      </c>
      <c r="E2318" s="26">
        <v>0.0</v>
      </c>
      <c r="F2318" s="26" t="s">
        <v>2438</v>
      </c>
    </row>
    <row r="2319">
      <c r="A2319" s="28" t="s">
        <v>2155</v>
      </c>
      <c r="B2319" s="107" t="s">
        <v>2437</v>
      </c>
      <c r="C2319" s="28">
        <v>6.0</v>
      </c>
      <c r="D2319" s="29">
        <v>0.0</v>
      </c>
      <c r="E2319" s="26">
        <v>0.0</v>
      </c>
      <c r="F2319" s="26" t="s">
        <v>2438</v>
      </c>
    </row>
    <row r="2320">
      <c r="A2320" s="28" t="s">
        <v>2156</v>
      </c>
      <c r="B2320" s="107" t="s">
        <v>2433</v>
      </c>
      <c r="C2320" s="28">
        <v>1.0</v>
      </c>
      <c r="D2320" s="106">
        <v>1450000.0</v>
      </c>
      <c r="E2320" s="26">
        <v>0.0</v>
      </c>
    </row>
    <row r="2321">
      <c r="A2321" s="28" t="s">
        <v>2157</v>
      </c>
      <c r="B2321" s="107" t="s">
        <v>2433</v>
      </c>
      <c r="C2321" s="28">
        <v>1.0</v>
      </c>
      <c r="D2321" s="106">
        <v>1450000.0</v>
      </c>
      <c r="E2321" s="26">
        <v>0.0</v>
      </c>
    </row>
    <row r="2322">
      <c r="A2322" s="28" t="s">
        <v>2158</v>
      </c>
      <c r="B2322" s="107" t="s">
        <v>2432</v>
      </c>
      <c r="C2322" s="28">
        <v>1.0</v>
      </c>
      <c r="D2322" s="106">
        <v>1480000.0</v>
      </c>
      <c r="E2322" s="29">
        <v>296000.0</v>
      </c>
    </row>
    <row r="2323">
      <c r="A2323" s="28" t="s">
        <v>2158</v>
      </c>
      <c r="B2323" s="107" t="s">
        <v>2433</v>
      </c>
      <c r="C2323" s="28">
        <v>1.0</v>
      </c>
      <c r="D2323" s="106">
        <v>1450000.0</v>
      </c>
      <c r="E2323" s="29">
        <v>290000.0</v>
      </c>
    </row>
    <row r="2324">
      <c r="A2324" s="28" t="s">
        <v>2158</v>
      </c>
      <c r="B2324" s="107" t="s">
        <v>2502</v>
      </c>
      <c r="C2324" s="28">
        <v>3.0</v>
      </c>
      <c r="D2324" s="29">
        <v>0.0</v>
      </c>
      <c r="E2324" s="26">
        <v>0.0</v>
      </c>
      <c r="F2324" s="26" t="s">
        <v>1522</v>
      </c>
    </row>
    <row r="2325">
      <c r="A2325" s="28" t="s">
        <v>2158</v>
      </c>
      <c r="B2325" s="107" t="s">
        <v>2437</v>
      </c>
      <c r="C2325" s="28">
        <v>12.0</v>
      </c>
      <c r="D2325" s="29">
        <v>0.0</v>
      </c>
      <c r="E2325" s="26">
        <v>0.0</v>
      </c>
      <c r="F2325" s="26" t="s">
        <v>2438</v>
      </c>
    </row>
    <row r="2326">
      <c r="A2326" s="28" t="s">
        <v>2159</v>
      </c>
      <c r="B2326" s="107" t="s">
        <v>2431</v>
      </c>
      <c r="C2326" s="28">
        <v>1.0</v>
      </c>
      <c r="D2326" s="106">
        <v>2380000.0</v>
      </c>
      <c r="E2326" s="26">
        <v>0.0</v>
      </c>
    </row>
    <row r="2327">
      <c r="A2327" s="28" t="s">
        <v>2160</v>
      </c>
      <c r="B2327" s="107" t="s">
        <v>2429</v>
      </c>
      <c r="C2327" s="28">
        <v>24.0</v>
      </c>
      <c r="D2327" s="106">
        <v>45000.0</v>
      </c>
      <c r="E2327" s="111">
        <v>162000.0</v>
      </c>
    </row>
    <row r="2328">
      <c r="A2328" s="28" t="s">
        <v>2160</v>
      </c>
      <c r="B2328" s="107" t="s">
        <v>2502</v>
      </c>
      <c r="C2328" s="28">
        <v>6.0</v>
      </c>
      <c r="D2328" s="29">
        <v>0.0</v>
      </c>
      <c r="E2328" s="26">
        <v>0.0</v>
      </c>
      <c r="F2328" s="26" t="s">
        <v>1522</v>
      </c>
    </row>
    <row r="2329">
      <c r="A2329" s="28" t="s">
        <v>2161</v>
      </c>
      <c r="B2329" s="107" t="s">
        <v>2425</v>
      </c>
      <c r="C2329" s="28">
        <v>1.0</v>
      </c>
      <c r="D2329" s="106">
        <v>1875000.0</v>
      </c>
      <c r="E2329" s="29">
        <v>375000.0</v>
      </c>
    </row>
    <row r="2330">
      <c r="A2330" s="28" t="s">
        <v>2162</v>
      </c>
      <c r="B2330" s="107" t="s">
        <v>2426</v>
      </c>
      <c r="C2330" s="28">
        <v>24.0</v>
      </c>
      <c r="D2330" s="106">
        <v>55000.0</v>
      </c>
      <c r="E2330" s="26">
        <v>0.0</v>
      </c>
    </row>
    <row r="2331">
      <c r="A2331" s="28" t="s">
        <v>2163</v>
      </c>
      <c r="B2331" s="107" t="s">
        <v>2478</v>
      </c>
      <c r="C2331" s="28">
        <v>12.0</v>
      </c>
      <c r="D2331" s="106">
        <v>45000.0</v>
      </c>
      <c r="E2331" s="26">
        <v>0.0</v>
      </c>
    </row>
    <row r="2332">
      <c r="A2332" s="28" t="s">
        <v>2163</v>
      </c>
      <c r="B2332" s="107" t="s">
        <v>2430</v>
      </c>
      <c r="C2332" s="28">
        <v>20.0</v>
      </c>
      <c r="D2332" s="106">
        <v>45000.0</v>
      </c>
      <c r="E2332" s="26">
        <v>0.0</v>
      </c>
    </row>
    <row r="2333">
      <c r="A2333" s="28" t="s">
        <v>2164</v>
      </c>
      <c r="B2333" s="107" t="s">
        <v>2502</v>
      </c>
      <c r="C2333" s="28">
        <v>24.0</v>
      </c>
      <c r="D2333" s="29">
        <v>0.0</v>
      </c>
      <c r="E2333" s="26">
        <v>0.0</v>
      </c>
      <c r="F2333" s="26" t="s">
        <v>1522</v>
      </c>
    </row>
    <row r="2334">
      <c r="A2334" s="28" t="s">
        <v>2164</v>
      </c>
      <c r="B2334" s="107" t="s">
        <v>2525</v>
      </c>
      <c r="C2334" s="28">
        <v>6.0</v>
      </c>
      <c r="D2334" s="29">
        <v>0.0</v>
      </c>
      <c r="E2334" s="26">
        <v>0.0</v>
      </c>
      <c r="F2334" s="26" t="s">
        <v>2438</v>
      </c>
    </row>
    <row r="2335">
      <c r="A2335" s="28" t="s">
        <v>2165</v>
      </c>
      <c r="B2335" s="107" t="s">
        <v>2478</v>
      </c>
      <c r="C2335" s="28">
        <v>48.0</v>
      </c>
      <c r="D2335" s="106">
        <v>45000.0</v>
      </c>
      <c r="E2335" s="26">
        <v>0.0</v>
      </c>
    </row>
    <row r="2336">
      <c r="A2336" s="28" t="s">
        <v>2165</v>
      </c>
      <c r="B2336" s="107" t="s">
        <v>2429</v>
      </c>
      <c r="C2336" s="28">
        <v>48.0</v>
      </c>
      <c r="D2336" s="106">
        <v>45000.0</v>
      </c>
      <c r="E2336" s="26">
        <v>0.0</v>
      </c>
    </row>
    <row r="2337">
      <c r="A2337" s="28" t="s">
        <v>2166</v>
      </c>
      <c r="B2337" s="107" t="s">
        <v>2433</v>
      </c>
      <c r="C2337" s="28">
        <v>1.0</v>
      </c>
      <c r="D2337" s="106">
        <v>1450000.0</v>
      </c>
      <c r="E2337" s="111">
        <v>217500.0</v>
      </c>
    </row>
    <row r="2338">
      <c r="A2338" s="28" t="s">
        <v>2166</v>
      </c>
      <c r="B2338" s="107" t="s">
        <v>2442</v>
      </c>
      <c r="C2338" s="28">
        <v>50.0</v>
      </c>
      <c r="D2338" s="29">
        <v>0.0</v>
      </c>
      <c r="E2338" s="26">
        <v>0.0</v>
      </c>
      <c r="F2338" s="26" t="s">
        <v>2438</v>
      </c>
    </row>
    <row r="2339">
      <c r="A2339" s="28" t="s">
        <v>2167</v>
      </c>
      <c r="B2339" s="107" t="s">
        <v>2429</v>
      </c>
      <c r="C2339" s="28">
        <v>24.0</v>
      </c>
      <c r="D2339" s="106">
        <v>45000.0</v>
      </c>
      <c r="E2339" s="26">
        <v>0.0</v>
      </c>
    </row>
    <row r="2340">
      <c r="A2340" s="28" t="s">
        <v>2167</v>
      </c>
      <c r="B2340" s="107" t="s">
        <v>2502</v>
      </c>
      <c r="C2340" s="28">
        <v>6.0</v>
      </c>
      <c r="D2340" s="29">
        <v>0.0</v>
      </c>
      <c r="E2340" s="26">
        <v>0.0</v>
      </c>
      <c r="F2340" s="26" t="s">
        <v>2436</v>
      </c>
    </row>
    <row r="2341">
      <c r="A2341" s="28" t="s">
        <v>2168</v>
      </c>
      <c r="B2341" s="107" t="s">
        <v>2435</v>
      </c>
      <c r="C2341" s="28">
        <v>24.0</v>
      </c>
      <c r="D2341" s="106">
        <v>40000.0</v>
      </c>
      <c r="E2341" s="26">
        <v>0.0</v>
      </c>
    </row>
    <row r="2342">
      <c r="A2342" s="28" t="s">
        <v>2168</v>
      </c>
      <c r="B2342" s="107" t="s">
        <v>2502</v>
      </c>
      <c r="C2342" s="28">
        <v>24.0</v>
      </c>
      <c r="D2342" s="29">
        <v>0.0</v>
      </c>
      <c r="E2342" s="26">
        <v>0.0</v>
      </c>
      <c r="F2342" s="26" t="s">
        <v>2436</v>
      </c>
    </row>
    <row r="2343">
      <c r="A2343" s="28" t="s">
        <v>2168</v>
      </c>
      <c r="B2343" s="107" t="s">
        <v>2429</v>
      </c>
      <c r="C2343" s="28">
        <v>48.0</v>
      </c>
      <c r="D2343" s="106">
        <v>45000.0</v>
      </c>
      <c r="E2343" s="26">
        <v>0.0</v>
      </c>
    </row>
    <row r="2344">
      <c r="A2344" s="28" t="s">
        <v>2168</v>
      </c>
      <c r="B2344" s="107" t="s">
        <v>2430</v>
      </c>
      <c r="C2344" s="28">
        <v>4.0</v>
      </c>
      <c r="D2344" s="106">
        <v>45000.0</v>
      </c>
      <c r="E2344" s="26">
        <v>0.0</v>
      </c>
    </row>
    <row r="2345">
      <c r="A2345" s="28" t="s">
        <v>2168</v>
      </c>
      <c r="B2345" s="107" t="s">
        <v>2426</v>
      </c>
      <c r="C2345" s="28">
        <v>20.0</v>
      </c>
      <c r="D2345" s="106">
        <v>55000.0</v>
      </c>
      <c r="E2345" s="26">
        <v>0.0</v>
      </c>
    </row>
    <row r="2346">
      <c r="A2346" s="28" t="s">
        <v>2169</v>
      </c>
      <c r="B2346" s="107" t="s">
        <v>2433</v>
      </c>
      <c r="C2346" s="28">
        <v>1.0</v>
      </c>
      <c r="D2346" s="106">
        <v>1450000.0</v>
      </c>
      <c r="E2346" s="26">
        <v>0.0</v>
      </c>
    </row>
    <row r="2347">
      <c r="A2347" s="28" t="s">
        <v>2170</v>
      </c>
      <c r="B2347" s="107" t="s">
        <v>2425</v>
      </c>
      <c r="C2347" s="28">
        <v>1.0</v>
      </c>
      <c r="D2347" s="106">
        <v>1875000.0</v>
      </c>
      <c r="E2347" s="26">
        <v>0.0</v>
      </c>
    </row>
    <row r="2348">
      <c r="A2348" s="28" t="s">
        <v>2170</v>
      </c>
      <c r="B2348" s="107" t="s">
        <v>2433</v>
      </c>
      <c r="C2348" s="28">
        <v>1.0</v>
      </c>
      <c r="D2348" s="106">
        <v>1450000.0</v>
      </c>
      <c r="E2348" s="26">
        <v>0.0</v>
      </c>
    </row>
    <row r="2349">
      <c r="A2349" s="28" t="s">
        <v>2171</v>
      </c>
      <c r="B2349" s="107" t="s">
        <v>2429</v>
      </c>
      <c r="C2349" s="28">
        <v>24.0</v>
      </c>
      <c r="D2349" s="106">
        <v>45000.0</v>
      </c>
      <c r="E2349" s="26">
        <v>0.0</v>
      </c>
    </row>
    <row r="2350">
      <c r="A2350" s="28" t="s">
        <v>2172</v>
      </c>
      <c r="B2350" s="107" t="s">
        <v>2502</v>
      </c>
      <c r="C2350" s="28">
        <v>12.0</v>
      </c>
      <c r="D2350" s="29">
        <v>0.0</v>
      </c>
      <c r="E2350" s="26">
        <v>0.0</v>
      </c>
      <c r="F2350" s="26" t="s">
        <v>2436</v>
      </c>
    </row>
    <row r="2351">
      <c r="A2351" s="28" t="s">
        <v>2173</v>
      </c>
      <c r="B2351" s="107" t="s">
        <v>2425</v>
      </c>
      <c r="C2351" s="28">
        <v>1.0</v>
      </c>
      <c r="D2351" s="106">
        <v>1875000.0</v>
      </c>
      <c r="E2351" s="26">
        <v>0.0</v>
      </c>
    </row>
    <row r="2352">
      <c r="A2352" s="28" t="s">
        <v>2173</v>
      </c>
      <c r="B2352" s="107" t="s">
        <v>2442</v>
      </c>
      <c r="C2352" s="28">
        <v>50.0</v>
      </c>
      <c r="D2352" s="29">
        <v>0.0</v>
      </c>
      <c r="E2352" s="26">
        <v>0.0</v>
      </c>
      <c r="F2352" s="26" t="s">
        <v>2438</v>
      </c>
    </row>
    <row r="2353">
      <c r="A2353" s="28" t="s">
        <v>2174</v>
      </c>
      <c r="B2353" s="107" t="s">
        <v>2425</v>
      </c>
      <c r="C2353" s="28">
        <v>1.0</v>
      </c>
      <c r="D2353" s="106">
        <v>1875000.0</v>
      </c>
      <c r="E2353" s="29">
        <v>309375.0</v>
      </c>
    </row>
    <row r="2354">
      <c r="A2354" s="28" t="s">
        <v>2175</v>
      </c>
      <c r="B2354" s="107" t="s">
        <v>2425</v>
      </c>
      <c r="C2354" s="28">
        <v>1.0</v>
      </c>
      <c r="D2354" s="106">
        <v>1875000.0</v>
      </c>
      <c r="E2354" s="26">
        <v>0.0</v>
      </c>
    </row>
    <row r="2355">
      <c r="A2355" s="28" t="s">
        <v>2176</v>
      </c>
      <c r="B2355" s="107" t="s">
        <v>2432</v>
      </c>
      <c r="C2355" s="28">
        <v>1.0</v>
      </c>
      <c r="D2355" s="106">
        <v>1480000.0</v>
      </c>
      <c r="E2355" s="29">
        <v>296000.0</v>
      </c>
    </row>
    <row r="2356">
      <c r="A2356" s="28" t="s">
        <v>2176</v>
      </c>
      <c r="B2356" s="107" t="s">
        <v>2433</v>
      </c>
      <c r="C2356" s="28">
        <v>1.0</v>
      </c>
      <c r="D2356" s="106">
        <v>1450000.0</v>
      </c>
      <c r="E2356" s="29">
        <v>290000.0</v>
      </c>
    </row>
    <row r="2357">
      <c r="A2357" s="28" t="s">
        <v>2177</v>
      </c>
      <c r="B2357" s="107" t="s">
        <v>2481</v>
      </c>
      <c r="C2357" s="28">
        <v>900.0</v>
      </c>
      <c r="D2357" s="106">
        <v>3616.28</v>
      </c>
      <c r="E2357" s="26">
        <v>0.0</v>
      </c>
    </row>
    <row r="2358">
      <c r="A2358" s="28" t="s">
        <v>2178</v>
      </c>
      <c r="B2358" s="107" t="s">
        <v>2433</v>
      </c>
      <c r="C2358" s="28">
        <v>1.0</v>
      </c>
      <c r="D2358" s="106">
        <v>1450000.0</v>
      </c>
      <c r="E2358" s="26">
        <v>0.0</v>
      </c>
    </row>
    <row r="2359">
      <c r="A2359" s="28" t="s">
        <v>2179</v>
      </c>
      <c r="B2359" s="107" t="s">
        <v>2433</v>
      </c>
      <c r="C2359" s="28">
        <v>1.0</v>
      </c>
      <c r="D2359" s="106">
        <v>1450000.0</v>
      </c>
      <c r="E2359" s="26">
        <v>0.0</v>
      </c>
    </row>
    <row r="2360">
      <c r="A2360" s="28" t="s">
        <v>2180</v>
      </c>
      <c r="B2360" s="107" t="s">
        <v>2435</v>
      </c>
      <c r="C2360" s="28">
        <v>6.0</v>
      </c>
      <c r="D2360" s="106">
        <v>40000.0</v>
      </c>
      <c r="E2360" s="29">
        <v>60000.0</v>
      </c>
    </row>
    <row r="2361">
      <c r="A2361" s="28" t="s">
        <v>2180</v>
      </c>
      <c r="B2361" s="107" t="s">
        <v>2430</v>
      </c>
      <c r="C2361" s="28">
        <v>6.0</v>
      </c>
      <c r="D2361" s="106">
        <v>45000.0</v>
      </c>
      <c r="E2361" s="29">
        <v>67500.0</v>
      </c>
    </row>
    <row r="2362">
      <c r="A2362" s="28" t="s">
        <v>2180</v>
      </c>
      <c r="B2362" s="107" t="s">
        <v>2426</v>
      </c>
      <c r="C2362" s="28">
        <v>6.0</v>
      </c>
      <c r="D2362" s="106">
        <v>55000.0</v>
      </c>
      <c r="E2362" s="29">
        <v>82500.0</v>
      </c>
    </row>
    <row r="2363">
      <c r="A2363" s="28" t="s">
        <v>2180</v>
      </c>
      <c r="B2363" s="107" t="s">
        <v>2428</v>
      </c>
      <c r="C2363" s="28">
        <v>6.0</v>
      </c>
      <c r="D2363" s="106">
        <v>45000.0</v>
      </c>
      <c r="E2363" s="29">
        <v>67500.0</v>
      </c>
    </row>
    <row r="2364">
      <c r="A2364" s="28" t="s">
        <v>2182</v>
      </c>
      <c r="B2364" s="107" t="s">
        <v>2444</v>
      </c>
      <c r="C2364" s="28">
        <v>3.0</v>
      </c>
      <c r="D2364" s="29">
        <v>0.0</v>
      </c>
      <c r="E2364" s="26">
        <v>0.0</v>
      </c>
      <c r="F2364" s="26" t="s">
        <v>2438</v>
      </c>
    </row>
    <row r="2365">
      <c r="A2365" s="28" t="s">
        <v>2183</v>
      </c>
      <c r="B2365" s="107" t="s">
        <v>2503</v>
      </c>
      <c r="C2365" s="28">
        <v>24.0</v>
      </c>
      <c r="D2365" s="29">
        <v>0.0</v>
      </c>
      <c r="E2365" s="26">
        <v>0.0</v>
      </c>
      <c r="F2365" s="26" t="s">
        <v>1522</v>
      </c>
    </row>
    <row r="2366">
      <c r="A2366" s="28" t="s">
        <v>2183</v>
      </c>
      <c r="B2366" s="107" t="s">
        <v>2502</v>
      </c>
      <c r="C2366" s="28">
        <v>12.0</v>
      </c>
      <c r="D2366" s="29">
        <v>0.0</v>
      </c>
      <c r="E2366" s="26">
        <v>0.0</v>
      </c>
      <c r="F2366" s="26" t="s">
        <v>1522</v>
      </c>
    </row>
    <row r="2367">
      <c r="A2367" s="28" t="s">
        <v>2183</v>
      </c>
      <c r="B2367" s="107" t="s">
        <v>2510</v>
      </c>
      <c r="C2367" s="28">
        <v>4.0</v>
      </c>
      <c r="D2367" s="29">
        <v>0.0</v>
      </c>
      <c r="E2367" s="26">
        <v>0.0</v>
      </c>
      <c r="F2367" s="26" t="s">
        <v>1522</v>
      </c>
    </row>
    <row r="2368">
      <c r="A2368" s="28" t="s">
        <v>2183</v>
      </c>
      <c r="B2368" s="107" t="s">
        <v>2512</v>
      </c>
      <c r="C2368" s="28">
        <v>4.0</v>
      </c>
      <c r="D2368" s="29">
        <v>0.0</v>
      </c>
      <c r="E2368" s="26">
        <v>0.0</v>
      </c>
      <c r="F2368" s="26" t="s">
        <v>1522</v>
      </c>
    </row>
    <row r="2369">
      <c r="A2369" s="28" t="s">
        <v>2183</v>
      </c>
      <c r="B2369" s="107" t="s">
        <v>2507</v>
      </c>
      <c r="C2369" s="28">
        <v>4.0</v>
      </c>
      <c r="D2369" s="29">
        <v>0.0</v>
      </c>
      <c r="E2369" s="26">
        <v>0.0</v>
      </c>
      <c r="F2369" s="26" t="s">
        <v>1522</v>
      </c>
    </row>
    <row r="2370">
      <c r="A2370" s="28" t="s">
        <v>2184</v>
      </c>
      <c r="B2370" s="107" t="s">
        <v>2433</v>
      </c>
      <c r="C2370" s="28">
        <v>1.0</v>
      </c>
      <c r="D2370" s="106">
        <v>1450000.0</v>
      </c>
      <c r="E2370" s="26">
        <v>0.0</v>
      </c>
    </row>
    <row r="2371">
      <c r="A2371" s="28" t="s">
        <v>2185</v>
      </c>
      <c r="B2371" s="107" t="s">
        <v>2520</v>
      </c>
      <c r="C2371" s="28">
        <v>10.0</v>
      </c>
      <c r="D2371" s="29">
        <v>1790000.0</v>
      </c>
      <c r="E2371" s="26">
        <v>0.0</v>
      </c>
    </row>
    <row r="2372">
      <c r="A2372" s="28" t="s">
        <v>2185</v>
      </c>
      <c r="B2372" s="107" t="s">
        <v>2517</v>
      </c>
      <c r="C2372" s="28">
        <v>20.0</v>
      </c>
      <c r="D2372" s="29">
        <v>2380000.0</v>
      </c>
      <c r="E2372" s="26">
        <v>0.0</v>
      </c>
    </row>
    <row r="2373">
      <c r="A2373" s="28" t="s">
        <v>2185</v>
      </c>
      <c r="B2373" s="107" t="s">
        <v>2515</v>
      </c>
      <c r="C2373" s="28">
        <v>20.0</v>
      </c>
      <c r="D2373" s="29">
        <v>1450000.0</v>
      </c>
      <c r="E2373" s="26">
        <v>0.0</v>
      </c>
    </row>
    <row r="2374">
      <c r="A2374" s="28" t="s">
        <v>2185</v>
      </c>
      <c r="B2374" s="107" t="s">
        <v>2516</v>
      </c>
      <c r="C2374" s="28">
        <v>10.0</v>
      </c>
      <c r="D2374" s="29">
        <v>1480000.0</v>
      </c>
      <c r="E2374" s="26">
        <v>0.0</v>
      </c>
    </row>
    <row r="2375">
      <c r="A2375" s="28" t="s">
        <v>2185</v>
      </c>
      <c r="B2375" s="107" t="s">
        <v>2502</v>
      </c>
      <c r="C2375" s="28">
        <v>240.0</v>
      </c>
      <c r="D2375" s="29">
        <v>40000.0</v>
      </c>
      <c r="E2375" s="26">
        <v>0.0</v>
      </c>
    </row>
    <row r="2376">
      <c r="A2376" s="28" t="s">
        <v>2185</v>
      </c>
      <c r="B2376" s="107" t="s">
        <v>2518</v>
      </c>
      <c r="C2376" s="28">
        <v>3.0</v>
      </c>
      <c r="D2376" s="29">
        <v>1350000.0</v>
      </c>
      <c r="E2376" s="26">
        <v>0.0</v>
      </c>
    </row>
    <row r="2377">
      <c r="A2377" s="28" t="s">
        <v>2185</v>
      </c>
      <c r="B2377" s="107" t="s">
        <v>2513</v>
      </c>
      <c r="C2377" s="28">
        <v>24.0</v>
      </c>
      <c r="D2377" s="29">
        <v>60000.0</v>
      </c>
      <c r="E2377" s="26">
        <v>0.0</v>
      </c>
    </row>
    <row r="2378">
      <c r="A2378" s="28" t="s">
        <v>2185</v>
      </c>
      <c r="B2378" s="107" t="s">
        <v>2457</v>
      </c>
      <c r="C2378" s="28">
        <v>100.0</v>
      </c>
      <c r="D2378" s="29">
        <v>0.0</v>
      </c>
      <c r="E2378" s="26">
        <v>0.0</v>
      </c>
      <c r="F2378" s="26" t="s">
        <v>2438</v>
      </c>
    </row>
    <row r="2379">
      <c r="A2379" s="28" t="s">
        <v>2186</v>
      </c>
      <c r="B2379" s="107" t="s">
        <v>2432</v>
      </c>
      <c r="C2379" s="28">
        <v>8.0</v>
      </c>
      <c r="D2379" s="106">
        <v>1480000.0</v>
      </c>
      <c r="E2379" s="29">
        <v>3552000.0</v>
      </c>
    </row>
    <row r="2380">
      <c r="A2380" s="28" t="s">
        <v>2186</v>
      </c>
      <c r="B2380" s="107" t="s">
        <v>2431</v>
      </c>
      <c r="C2380" s="28">
        <v>2.0</v>
      </c>
      <c r="D2380" s="106">
        <v>2380000.0</v>
      </c>
      <c r="E2380" s="29">
        <v>1428000.0</v>
      </c>
    </row>
    <row r="2381">
      <c r="A2381" s="28" t="s">
        <v>2186</v>
      </c>
      <c r="B2381" s="107" t="s">
        <v>2434</v>
      </c>
      <c r="C2381" s="28">
        <v>2.0</v>
      </c>
      <c r="D2381" s="106">
        <v>1350000.0</v>
      </c>
      <c r="E2381" s="29">
        <v>810000.0</v>
      </c>
    </row>
    <row r="2382">
      <c r="A2382" s="28" t="s">
        <v>2186</v>
      </c>
      <c r="B2382" s="107" t="s">
        <v>2502</v>
      </c>
      <c r="C2382" s="28">
        <v>24.0</v>
      </c>
      <c r="D2382" s="29">
        <v>0.0</v>
      </c>
      <c r="E2382" s="26">
        <v>0.0</v>
      </c>
      <c r="F2382" s="26" t="s">
        <v>2436</v>
      </c>
    </row>
    <row r="2383">
      <c r="A2383" s="28" t="s">
        <v>2186</v>
      </c>
      <c r="B2383" s="107" t="s">
        <v>2510</v>
      </c>
      <c r="C2383" s="28">
        <v>10.0</v>
      </c>
      <c r="D2383" s="29">
        <v>0.0</v>
      </c>
      <c r="E2383" s="26">
        <v>0.0</v>
      </c>
      <c r="F2383" s="26" t="s">
        <v>2436</v>
      </c>
    </row>
    <row r="2384">
      <c r="A2384" s="28" t="s">
        <v>2186</v>
      </c>
      <c r="B2384" s="107" t="s">
        <v>2512</v>
      </c>
      <c r="C2384" s="28">
        <v>10.0</v>
      </c>
      <c r="D2384" s="29">
        <v>0.0</v>
      </c>
      <c r="E2384" s="26">
        <v>0.0</v>
      </c>
      <c r="F2384" s="26" t="s">
        <v>2436</v>
      </c>
    </row>
    <row r="2385">
      <c r="A2385" s="28" t="s">
        <v>2186</v>
      </c>
      <c r="B2385" s="107" t="s">
        <v>2503</v>
      </c>
      <c r="C2385" s="28">
        <v>9.0</v>
      </c>
      <c r="D2385" s="29">
        <v>0.0</v>
      </c>
      <c r="E2385" s="26">
        <v>0.0</v>
      </c>
      <c r="F2385" s="26" t="s">
        <v>2436</v>
      </c>
    </row>
    <row r="2386">
      <c r="A2386" s="28" t="s">
        <v>2186</v>
      </c>
      <c r="B2386" s="107" t="s">
        <v>2507</v>
      </c>
      <c r="C2386" s="28">
        <v>9.0</v>
      </c>
      <c r="D2386" s="29">
        <v>0.0</v>
      </c>
      <c r="E2386" s="26">
        <v>0.0</v>
      </c>
      <c r="F2386" s="26" t="s">
        <v>2436</v>
      </c>
    </row>
    <row r="2387">
      <c r="A2387" s="28" t="s">
        <v>2186</v>
      </c>
      <c r="B2387" s="107" t="s">
        <v>2513</v>
      </c>
      <c r="C2387" s="28">
        <v>10.0</v>
      </c>
      <c r="D2387" s="29">
        <v>0.0</v>
      </c>
      <c r="E2387" s="26">
        <v>0.0</v>
      </c>
      <c r="F2387" s="26" t="s">
        <v>2436</v>
      </c>
    </row>
    <row r="2388">
      <c r="A2388" s="28" t="s">
        <v>2187</v>
      </c>
      <c r="B2388" s="107" t="s">
        <v>2431</v>
      </c>
      <c r="C2388" s="28">
        <v>1.0</v>
      </c>
      <c r="D2388" s="106">
        <v>2380000.0</v>
      </c>
      <c r="E2388" s="26">
        <v>0.0</v>
      </c>
    </row>
    <row r="2389">
      <c r="A2389" s="28" t="s">
        <v>2187</v>
      </c>
      <c r="B2389" s="107" t="s">
        <v>2502</v>
      </c>
      <c r="C2389" s="28">
        <v>6.0</v>
      </c>
      <c r="D2389" s="29">
        <v>0.0</v>
      </c>
      <c r="E2389" s="26">
        <v>0.0</v>
      </c>
      <c r="F2389" s="26" t="s">
        <v>1522</v>
      </c>
    </row>
    <row r="2390">
      <c r="A2390" s="28" t="s">
        <v>2187</v>
      </c>
      <c r="B2390" s="107" t="s">
        <v>2437</v>
      </c>
      <c r="C2390" s="28">
        <v>12.0</v>
      </c>
      <c r="D2390" s="29">
        <v>0.0</v>
      </c>
      <c r="E2390" s="26">
        <v>0.0</v>
      </c>
      <c r="F2390" s="26" t="s">
        <v>2438</v>
      </c>
    </row>
    <row r="2391">
      <c r="A2391" s="28" t="s">
        <v>2189</v>
      </c>
      <c r="B2391" s="107" t="s">
        <v>2502</v>
      </c>
      <c r="C2391" s="28">
        <v>72.0</v>
      </c>
      <c r="D2391" s="29">
        <v>0.0</v>
      </c>
      <c r="E2391" s="26">
        <v>0.0</v>
      </c>
      <c r="F2391" s="26" t="s">
        <v>1522</v>
      </c>
    </row>
    <row r="2392">
      <c r="A2392" s="28" t="s">
        <v>2189</v>
      </c>
      <c r="B2392" s="107" t="s">
        <v>2525</v>
      </c>
      <c r="C2392" s="28">
        <v>12.0</v>
      </c>
      <c r="D2392" s="29">
        <v>0.0</v>
      </c>
      <c r="E2392" s="26">
        <v>0.0</v>
      </c>
      <c r="F2392" s="26" t="s">
        <v>2438</v>
      </c>
    </row>
    <row r="2393">
      <c r="A2393" s="28" t="s">
        <v>2190</v>
      </c>
      <c r="B2393" s="107" t="s">
        <v>2433</v>
      </c>
      <c r="C2393" s="28">
        <v>1.0</v>
      </c>
      <c r="D2393" s="106">
        <v>1450000.0</v>
      </c>
      <c r="E2393" s="26">
        <v>0.0</v>
      </c>
    </row>
    <row r="2394">
      <c r="A2394" s="28" t="s">
        <v>2191</v>
      </c>
      <c r="B2394" s="107" t="s">
        <v>2431</v>
      </c>
      <c r="C2394" s="28">
        <v>1.0</v>
      </c>
      <c r="D2394" s="106">
        <v>2380000.0</v>
      </c>
      <c r="E2394" s="26">
        <v>0.0</v>
      </c>
    </row>
    <row r="2395">
      <c r="A2395" s="28" t="s">
        <v>2191</v>
      </c>
      <c r="B2395" s="107" t="s">
        <v>2502</v>
      </c>
      <c r="C2395" s="28">
        <v>6.0</v>
      </c>
      <c r="D2395" s="29">
        <v>0.0</v>
      </c>
      <c r="E2395" s="26">
        <v>0.0</v>
      </c>
      <c r="F2395" s="26" t="s">
        <v>2436</v>
      </c>
    </row>
    <row r="2396">
      <c r="A2396" s="28" t="s">
        <v>2192</v>
      </c>
      <c r="B2396" s="107" t="s">
        <v>2513</v>
      </c>
      <c r="C2396" s="28">
        <v>24.0</v>
      </c>
      <c r="D2396" s="29">
        <v>0.0</v>
      </c>
      <c r="E2396" s="26">
        <v>0.0</v>
      </c>
      <c r="F2396" s="26" t="s">
        <v>2436</v>
      </c>
    </row>
    <row r="2397">
      <c r="A2397" s="28" t="s">
        <v>2192</v>
      </c>
      <c r="B2397" s="107" t="s">
        <v>2502</v>
      </c>
      <c r="C2397" s="28">
        <v>6.0</v>
      </c>
      <c r="D2397" s="29">
        <v>0.0</v>
      </c>
      <c r="E2397" s="26">
        <v>0.0</v>
      </c>
      <c r="F2397" s="26" t="s">
        <v>2436</v>
      </c>
    </row>
    <row r="2398">
      <c r="A2398" s="28" t="s">
        <v>2192</v>
      </c>
      <c r="B2398" s="107" t="s">
        <v>2442</v>
      </c>
      <c r="C2398" s="28">
        <v>50.0</v>
      </c>
      <c r="D2398" s="29">
        <v>0.0</v>
      </c>
      <c r="E2398" s="26">
        <v>0.0</v>
      </c>
      <c r="F2398" s="26" t="s">
        <v>2438</v>
      </c>
    </row>
    <row r="2399">
      <c r="A2399" s="28" t="s">
        <v>2193</v>
      </c>
      <c r="B2399" s="107" t="s">
        <v>2431</v>
      </c>
      <c r="C2399" s="28">
        <v>2.0</v>
      </c>
      <c r="D2399" s="106">
        <v>2380000.0</v>
      </c>
      <c r="E2399" s="26">
        <v>0.0</v>
      </c>
    </row>
    <row r="2400">
      <c r="A2400" s="28" t="s">
        <v>2193</v>
      </c>
      <c r="B2400" s="107" t="s">
        <v>2517</v>
      </c>
      <c r="C2400" s="28">
        <v>1.0</v>
      </c>
      <c r="D2400" s="29">
        <v>0.0</v>
      </c>
      <c r="E2400" s="26">
        <v>0.0</v>
      </c>
      <c r="F2400" s="26" t="s">
        <v>2436</v>
      </c>
    </row>
    <row r="2401">
      <c r="A2401" s="28" t="s">
        <v>2194</v>
      </c>
      <c r="B2401" s="107" t="s">
        <v>2431</v>
      </c>
      <c r="C2401" s="28">
        <v>1.0</v>
      </c>
      <c r="D2401" s="106">
        <v>2380000.0</v>
      </c>
      <c r="E2401" s="26">
        <v>0.0</v>
      </c>
    </row>
    <row r="2402">
      <c r="A2402" s="28" t="s">
        <v>2194</v>
      </c>
      <c r="B2402" s="107" t="s">
        <v>2502</v>
      </c>
      <c r="C2402" s="28">
        <v>6.0</v>
      </c>
      <c r="D2402" s="29">
        <v>0.0</v>
      </c>
      <c r="E2402" s="26">
        <v>0.0</v>
      </c>
      <c r="F2402" s="26" t="s">
        <v>2436</v>
      </c>
    </row>
    <row r="2403">
      <c r="A2403" s="28" t="s">
        <v>2194</v>
      </c>
      <c r="B2403" s="107" t="s">
        <v>2447</v>
      </c>
      <c r="C2403" s="28">
        <v>1.0</v>
      </c>
      <c r="D2403" s="29">
        <v>0.0</v>
      </c>
      <c r="E2403" s="26">
        <v>0.0</v>
      </c>
      <c r="F2403" s="26" t="s">
        <v>2438</v>
      </c>
    </row>
    <row r="2404">
      <c r="A2404" s="28" t="s">
        <v>2195</v>
      </c>
      <c r="B2404" s="107" t="s">
        <v>2432</v>
      </c>
      <c r="C2404" s="28">
        <v>1.0</v>
      </c>
      <c r="D2404" s="106">
        <v>1480000.0</v>
      </c>
      <c r="E2404" s="111">
        <v>296000.0</v>
      </c>
    </row>
    <row r="2405">
      <c r="A2405" s="28" t="s">
        <v>2196</v>
      </c>
      <c r="B2405" s="107" t="s">
        <v>2495</v>
      </c>
      <c r="C2405" s="28">
        <v>1.0</v>
      </c>
      <c r="D2405" s="106">
        <v>1790000.0</v>
      </c>
      <c r="E2405" s="26">
        <v>0.0</v>
      </c>
    </row>
    <row r="2406">
      <c r="A2406" s="28" t="s">
        <v>2197</v>
      </c>
      <c r="B2406" s="107" t="s">
        <v>2433</v>
      </c>
      <c r="C2406" s="28">
        <v>1.0</v>
      </c>
      <c r="D2406" s="106">
        <v>1450000.0</v>
      </c>
      <c r="E2406" s="26">
        <v>0.0</v>
      </c>
    </row>
    <row r="2407">
      <c r="A2407" s="28" t="s">
        <v>2198</v>
      </c>
      <c r="B2407" s="107" t="s">
        <v>2425</v>
      </c>
      <c r="C2407" s="28">
        <v>1.0</v>
      </c>
      <c r="D2407" s="106">
        <v>1875000.0</v>
      </c>
      <c r="E2407" s="26">
        <v>0.0</v>
      </c>
    </row>
    <row r="2408">
      <c r="A2408" s="28" t="s">
        <v>2198</v>
      </c>
      <c r="B2408" s="107" t="s">
        <v>2433</v>
      </c>
      <c r="C2408" s="28">
        <v>1.0</v>
      </c>
      <c r="D2408" s="106">
        <v>1450000.0</v>
      </c>
      <c r="E2408" s="26">
        <v>0.0</v>
      </c>
    </row>
    <row r="2409">
      <c r="A2409" s="28" t="s">
        <v>2199</v>
      </c>
      <c r="B2409" s="107" t="s">
        <v>2433</v>
      </c>
      <c r="C2409" s="28">
        <v>1.0</v>
      </c>
      <c r="D2409" s="106">
        <v>1450000.0</v>
      </c>
      <c r="E2409" s="26">
        <v>0.0</v>
      </c>
    </row>
    <row r="2410">
      <c r="A2410" s="28" t="s">
        <v>2200</v>
      </c>
      <c r="B2410" s="107" t="s">
        <v>2433</v>
      </c>
      <c r="C2410" s="28">
        <v>1.0</v>
      </c>
      <c r="D2410" s="106">
        <v>1450000.0</v>
      </c>
      <c r="E2410" s="26">
        <v>0.0</v>
      </c>
    </row>
    <row r="2411">
      <c r="A2411" s="28" t="s">
        <v>2201</v>
      </c>
      <c r="B2411" s="107" t="s">
        <v>2433</v>
      </c>
      <c r="C2411" s="28">
        <v>1.0</v>
      </c>
      <c r="D2411" s="106">
        <v>1450000.0</v>
      </c>
      <c r="E2411" s="26">
        <v>0.0</v>
      </c>
    </row>
    <row r="2412">
      <c r="A2412" s="28" t="s">
        <v>2202</v>
      </c>
      <c r="B2412" s="107" t="s">
        <v>2430</v>
      </c>
      <c r="C2412" s="28">
        <v>24.0</v>
      </c>
      <c r="D2412" s="106">
        <v>45000.0</v>
      </c>
      <c r="E2412" s="26">
        <v>0.0</v>
      </c>
    </row>
    <row r="2413">
      <c r="A2413" s="28" t="s">
        <v>2202</v>
      </c>
      <c r="B2413" s="107" t="s">
        <v>2442</v>
      </c>
      <c r="C2413" s="28">
        <v>50.0</v>
      </c>
      <c r="D2413" s="29">
        <v>0.0</v>
      </c>
      <c r="E2413" s="26">
        <v>0.0</v>
      </c>
      <c r="F2413" s="26" t="s">
        <v>2438</v>
      </c>
    </row>
    <row r="2414">
      <c r="A2414" s="28" t="s">
        <v>2203</v>
      </c>
      <c r="B2414" s="107" t="s">
        <v>2433</v>
      </c>
      <c r="C2414" s="28">
        <v>1.0</v>
      </c>
      <c r="D2414" s="106">
        <v>1450000.0</v>
      </c>
    </row>
    <row r="2415">
      <c r="A2415" s="28" t="s">
        <v>2204</v>
      </c>
      <c r="B2415" s="107" t="s">
        <v>2431</v>
      </c>
      <c r="C2415" s="28">
        <v>2.0</v>
      </c>
      <c r="D2415" s="106">
        <v>2380000.0</v>
      </c>
    </row>
    <row r="2416">
      <c r="A2416" s="28" t="s">
        <v>2204</v>
      </c>
      <c r="B2416" s="107" t="s">
        <v>2442</v>
      </c>
      <c r="C2416" s="28">
        <v>50.0</v>
      </c>
      <c r="D2416" s="29">
        <v>0.0</v>
      </c>
      <c r="E2416" s="26">
        <v>0.0</v>
      </c>
      <c r="F2416" s="26" t="s">
        <v>2438</v>
      </c>
    </row>
    <row r="2417">
      <c r="A2417" s="28" t="s">
        <v>2205</v>
      </c>
      <c r="B2417" s="107" t="s">
        <v>2429</v>
      </c>
      <c r="C2417" s="28">
        <v>24.0</v>
      </c>
      <c r="D2417" s="106">
        <v>45000.0</v>
      </c>
      <c r="E2417" s="26">
        <v>0.0</v>
      </c>
    </row>
    <row r="2418">
      <c r="A2418" s="28" t="s">
        <v>2206</v>
      </c>
      <c r="B2418" s="107" t="s">
        <v>2429</v>
      </c>
      <c r="C2418" s="28">
        <v>24.0</v>
      </c>
      <c r="D2418" s="106">
        <v>45000.0</v>
      </c>
      <c r="E2418" s="26">
        <v>0.0</v>
      </c>
    </row>
    <row r="2419">
      <c r="A2419" s="28" t="s">
        <v>2206</v>
      </c>
      <c r="B2419" s="107" t="s">
        <v>2507</v>
      </c>
      <c r="C2419" s="28">
        <v>24.0</v>
      </c>
      <c r="D2419" s="29">
        <v>0.0</v>
      </c>
      <c r="E2419" s="26">
        <v>0.0</v>
      </c>
      <c r="F2419" s="26" t="s">
        <v>2436</v>
      </c>
    </row>
    <row r="2420">
      <c r="A2420" s="28" t="s">
        <v>2206</v>
      </c>
      <c r="B2420" s="107" t="s">
        <v>2428</v>
      </c>
      <c r="C2420" s="28">
        <v>6.0</v>
      </c>
      <c r="D2420" s="106">
        <v>45000.0</v>
      </c>
      <c r="E2420" s="26">
        <v>0.0</v>
      </c>
    </row>
    <row r="2421">
      <c r="A2421" s="28" t="s">
        <v>2207</v>
      </c>
      <c r="B2421" s="107" t="s">
        <v>2433</v>
      </c>
      <c r="C2421" s="28">
        <v>1.0</v>
      </c>
      <c r="D2421" s="106">
        <v>1450000.0</v>
      </c>
      <c r="E2421" s="26">
        <v>0.0</v>
      </c>
    </row>
    <row r="2422">
      <c r="A2422" s="28" t="s">
        <v>2207</v>
      </c>
      <c r="B2422" s="107" t="s">
        <v>2442</v>
      </c>
      <c r="C2422" s="28">
        <v>50.0</v>
      </c>
      <c r="D2422" s="29">
        <v>0.0</v>
      </c>
      <c r="E2422" s="26">
        <v>0.0</v>
      </c>
      <c r="F2422" s="26" t="s">
        <v>2438</v>
      </c>
    </row>
    <row r="2423">
      <c r="A2423" s="28" t="s">
        <v>2208</v>
      </c>
      <c r="B2423" s="107" t="s">
        <v>2516</v>
      </c>
      <c r="C2423" s="28">
        <v>10.0</v>
      </c>
      <c r="D2423" s="29">
        <v>1450000.0</v>
      </c>
      <c r="E2423" s="26">
        <v>0.0</v>
      </c>
    </row>
    <row r="2424">
      <c r="A2424" s="28" t="s">
        <v>2208</v>
      </c>
      <c r="B2424" s="107" t="s">
        <v>2526</v>
      </c>
      <c r="C2424" s="28">
        <v>3.0</v>
      </c>
      <c r="D2424" s="29">
        <v>2500000.0</v>
      </c>
      <c r="E2424" s="26">
        <v>0.0</v>
      </c>
    </row>
    <row r="2425">
      <c r="A2425" s="28" t="s">
        <v>2208</v>
      </c>
      <c r="B2425" s="107" t="s">
        <v>2517</v>
      </c>
      <c r="C2425" s="28">
        <v>3.0</v>
      </c>
      <c r="D2425" s="29">
        <v>2380000.0</v>
      </c>
      <c r="E2425" s="26">
        <v>0.0</v>
      </c>
    </row>
    <row r="2426">
      <c r="A2426" s="28" t="s">
        <v>2208</v>
      </c>
      <c r="B2426" s="107" t="s">
        <v>2503</v>
      </c>
      <c r="C2426" s="28">
        <v>288.0</v>
      </c>
      <c r="D2426" s="29">
        <v>55000.0</v>
      </c>
      <c r="E2426" s="26">
        <v>0.0</v>
      </c>
    </row>
    <row r="2427">
      <c r="A2427" s="28" t="s">
        <v>2208</v>
      </c>
      <c r="B2427" s="107" t="s">
        <v>2510</v>
      </c>
      <c r="C2427" s="28">
        <v>288.0</v>
      </c>
      <c r="D2427" s="29">
        <v>450000.0</v>
      </c>
      <c r="E2427" s="26">
        <v>0.0</v>
      </c>
    </row>
    <row r="2428">
      <c r="A2428" s="28" t="s">
        <v>2208</v>
      </c>
      <c r="B2428" s="107" t="s">
        <v>2502</v>
      </c>
      <c r="C2428" s="28">
        <v>288.0</v>
      </c>
      <c r="D2428" s="29">
        <v>40000.0</v>
      </c>
      <c r="E2428" s="26">
        <v>0.0</v>
      </c>
    </row>
    <row r="2429">
      <c r="A2429" s="28" t="s">
        <v>2208</v>
      </c>
      <c r="B2429" s="107" t="s">
        <v>2437</v>
      </c>
      <c r="C2429" s="28">
        <v>24.0</v>
      </c>
      <c r="D2429" s="29">
        <v>0.0</v>
      </c>
      <c r="E2429" s="26">
        <v>0.0</v>
      </c>
      <c r="F2429" s="26" t="s">
        <v>2438</v>
      </c>
    </row>
    <row r="2430">
      <c r="A2430" s="28" t="s">
        <v>2208</v>
      </c>
      <c r="B2430" s="107" t="s">
        <v>2457</v>
      </c>
      <c r="C2430" s="28">
        <v>120.0</v>
      </c>
      <c r="D2430" s="29">
        <v>0.0</v>
      </c>
      <c r="E2430" s="26">
        <v>0.0</v>
      </c>
      <c r="F2430" s="26" t="s">
        <v>2438</v>
      </c>
    </row>
    <row r="2431">
      <c r="A2431" s="28" t="s">
        <v>2208</v>
      </c>
      <c r="B2431" s="107" t="s">
        <v>2470</v>
      </c>
      <c r="C2431" s="28">
        <v>12.0</v>
      </c>
      <c r="D2431" s="29">
        <v>0.0</v>
      </c>
      <c r="E2431" s="26">
        <v>0.0</v>
      </c>
      <c r="F2431" s="26" t="s">
        <v>2438</v>
      </c>
    </row>
    <row r="2432">
      <c r="A2432" s="28" t="s">
        <v>2209</v>
      </c>
      <c r="B2432" s="107" t="s">
        <v>2507</v>
      </c>
      <c r="C2432" s="28">
        <v>5.0</v>
      </c>
      <c r="D2432" s="29">
        <v>0.0</v>
      </c>
      <c r="E2432" s="26">
        <v>0.0</v>
      </c>
      <c r="F2432" s="26" t="s">
        <v>1522</v>
      </c>
    </row>
    <row r="2433">
      <c r="A2433" s="28" t="s">
        <v>2209</v>
      </c>
      <c r="B2433" s="107" t="s">
        <v>2510</v>
      </c>
      <c r="C2433" s="28">
        <v>5.0</v>
      </c>
      <c r="D2433" s="29">
        <v>0.0</v>
      </c>
      <c r="E2433" s="26">
        <v>0.0</v>
      </c>
      <c r="F2433" s="26" t="s">
        <v>1522</v>
      </c>
    </row>
    <row r="2434">
      <c r="A2434" s="28" t="s">
        <v>2209</v>
      </c>
      <c r="B2434" s="107" t="s">
        <v>2511</v>
      </c>
      <c r="C2434" s="28">
        <v>4.0</v>
      </c>
      <c r="D2434" s="29">
        <v>0.0</v>
      </c>
      <c r="E2434" s="26">
        <v>0.0</v>
      </c>
      <c r="F2434" s="26" t="s">
        <v>1522</v>
      </c>
    </row>
    <row r="2435">
      <c r="A2435" s="28" t="s">
        <v>2209</v>
      </c>
      <c r="B2435" s="107" t="s">
        <v>2512</v>
      </c>
      <c r="C2435" s="28">
        <v>4.0</v>
      </c>
      <c r="D2435" s="29">
        <v>0.0</v>
      </c>
      <c r="E2435" s="26">
        <v>0.0</v>
      </c>
      <c r="F2435" s="26" t="s">
        <v>1522</v>
      </c>
    </row>
    <row r="2436">
      <c r="A2436" s="28" t="s">
        <v>2209</v>
      </c>
      <c r="B2436" s="107" t="s">
        <v>2513</v>
      </c>
      <c r="C2436" s="28">
        <v>4.0</v>
      </c>
      <c r="D2436" s="29">
        <v>0.0</v>
      </c>
      <c r="E2436" s="26">
        <v>0.0</v>
      </c>
      <c r="F2436" s="26" t="s">
        <v>1522</v>
      </c>
    </row>
    <row r="2437">
      <c r="A2437" s="28" t="s">
        <v>2209</v>
      </c>
      <c r="B2437" s="107" t="s">
        <v>2503</v>
      </c>
      <c r="C2437" s="28">
        <v>2.0</v>
      </c>
      <c r="D2437" s="29">
        <v>0.0</v>
      </c>
      <c r="E2437" s="26">
        <v>0.0</v>
      </c>
      <c r="F2437" s="26" t="s">
        <v>1522</v>
      </c>
    </row>
    <row r="2438">
      <c r="A2438" s="28" t="s">
        <v>2209</v>
      </c>
      <c r="B2438" s="107" t="s">
        <v>2502</v>
      </c>
      <c r="C2438" s="28">
        <v>6.0</v>
      </c>
      <c r="D2438" s="29">
        <v>0.0</v>
      </c>
      <c r="E2438" s="26">
        <v>0.0</v>
      </c>
      <c r="F2438" s="26" t="s">
        <v>1522</v>
      </c>
    </row>
    <row r="2439">
      <c r="A2439" s="28" t="s">
        <v>2210</v>
      </c>
      <c r="B2439" s="107" t="s">
        <v>2476</v>
      </c>
      <c r="C2439" s="28">
        <v>24.0</v>
      </c>
      <c r="D2439" s="106">
        <v>60000.0</v>
      </c>
      <c r="E2439" s="111">
        <v>144000.0</v>
      </c>
    </row>
    <row r="2440">
      <c r="A2440" s="28" t="s">
        <v>2211</v>
      </c>
      <c r="B2440" s="107" t="s">
        <v>2494</v>
      </c>
      <c r="C2440" s="28">
        <v>1.0</v>
      </c>
      <c r="D2440" s="106">
        <v>2500000.0</v>
      </c>
      <c r="E2440" s="111">
        <v>220000.0</v>
      </c>
    </row>
    <row r="2441">
      <c r="A2441" s="28" t="s">
        <v>2212</v>
      </c>
      <c r="B2441" s="107" t="s">
        <v>2432</v>
      </c>
      <c r="C2441" s="28">
        <v>1.0</v>
      </c>
      <c r="D2441" s="106">
        <v>1480000.0</v>
      </c>
      <c r="E2441" s="26">
        <v>0.0</v>
      </c>
    </row>
    <row r="2442">
      <c r="A2442" s="28" t="s">
        <v>2212</v>
      </c>
      <c r="B2442" s="107" t="s">
        <v>2442</v>
      </c>
      <c r="C2442" s="28">
        <v>50.0</v>
      </c>
      <c r="D2442" s="29">
        <v>0.0</v>
      </c>
      <c r="E2442" s="26">
        <v>0.0</v>
      </c>
      <c r="F2442" s="26" t="s">
        <v>2438</v>
      </c>
    </row>
    <row r="2443">
      <c r="A2443" s="28" t="s">
        <v>2213</v>
      </c>
      <c r="B2443" s="107" t="s">
        <v>2429</v>
      </c>
      <c r="C2443" s="28">
        <v>72.0</v>
      </c>
      <c r="D2443" s="106">
        <v>45000.0</v>
      </c>
      <c r="E2443" s="26">
        <v>0.0</v>
      </c>
    </row>
    <row r="2444">
      <c r="A2444" s="28" t="s">
        <v>2213</v>
      </c>
      <c r="B2444" s="107" t="s">
        <v>2442</v>
      </c>
      <c r="C2444" s="28">
        <v>50.0</v>
      </c>
      <c r="D2444" s="29">
        <v>0.0</v>
      </c>
      <c r="E2444" s="26">
        <v>0.0</v>
      </c>
      <c r="F2444" s="26" t="s">
        <v>2438</v>
      </c>
    </row>
    <row r="2445">
      <c r="A2445" s="28" t="s">
        <v>2214</v>
      </c>
      <c r="B2445" s="107" t="s">
        <v>2433</v>
      </c>
      <c r="C2445" s="28">
        <v>1.0</v>
      </c>
      <c r="D2445" s="106">
        <v>1450000.0</v>
      </c>
      <c r="E2445" s="111">
        <v>290000.0</v>
      </c>
    </row>
    <row r="2446">
      <c r="A2446" s="28" t="s">
        <v>2214</v>
      </c>
      <c r="B2446" s="107" t="s">
        <v>2495</v>
      </c>
      <c r="C2446" s="28">
        <v>1.0</v>
      </c>
      <c r="D2446" s="106">
        <v>1790000.0</v>
      </c>
      <c r="E2446" s="111">
        <v>358000.0</v>
      </c>
    </row>
    <row r="2447">
      <c r="A2447" s="28" t="s">
        <v>2214</v>
      </c>
      <c r="B2447" s="107" t="s">
        <v>2432</v>
      </c>
      <c r="C2447" s="28">
        <v>1.0</v>
      </c>
      <c r="D2447" s="106">
        <v>1480000.0</v>
      </c>
      <c r="E2447" s="111">
        <v>296000.0</v>
      </c>
    </row>
    <row r="2448">
      <c r="A2448" s="28" t="s">
        <v>2214</v>
      </c>
      <c r="B2448" s="107" t="s">
        <v>2425</v>
      </c>
      <c r="C2448" s="28">
        <v>1.0</v>
      </c>
      <c r="D2448" s="106">
        <v>1875000.0</v>
      </c>
      <c r="E2448" s="111">
        <v>375000.0</v>
      </c>
    </row>
    <row r="2449">
      <c r="A2449" s="28" t="s">
        <v>2214</v>
      </c>
      <c r="B2449" s="107" t="s">
        <v>2485</v>
      </c>
      <c r="C2449" s="28">
        <v>1.0</v>
      </c>
      <c r="D2449" s="29">
        <v>0.0</v>
      </c>
      <c r="E2449" s="26">
        <v>0.0</v>
      </c>
      <c r="F2449" s="26" t="s">
        <v>2438</v>
      </c>
    </row>
    <row r="2450">
      <c r="A2450" s="28" t="s">
        <v>2215</v>
      </c>
      <c r="B2450" s="107" t="s">
        <v>2431</v>
      </c>
      <c r="C2450" s="28">
        <v>1.0</v>
      </c>
      <c r="D2450" s="106">
        <v>2380000.0</v>
      </c>
    </row>
    <row r="2451">
      <c r="A2451" s="28" t="s">
        <v>2216</v>
      </c>
      <c r="B2451" s="107" t="s">
        <v>2519</v>
      </c>
      <c r="C2451" s="28">
        <v>1.0</v>
      </c>
      <c r="D2451" s="29">
        <v>0.0</v>
      </c>
      <c r="E2451" s="26">
        <v>0.0</v>
      </c>
      <c r="F2451" s="26" t="s">
        <v>2436</v>
      </c>
    </row>
    <row r="2452">
      <c r="A2452" s="28" t="s">
        <v>2217</v>
      </c>
      <c r="B2452" s="107" t="s">
        <v>2429</v>
      </c>
      <c r="C2452" s="28">
        <v>24.0</v>
      </c>
      <c r="D2452" s="106">
        <v>45000.0</v>
      </c>
      <c r="E2452" s="26">
        <v>0.0</v>
      </c>
    </row>
    <row r="2453">
      <c r="A2453" s="28" t="s">
        <v>2218</v>
      </c>
      <c r="B2453" s="107" t="s">
        <v>2512</v>
      </c>
      <c r="C2453" s="28">
        <v>240.0</v>
      </c>
      <c r="D2453" s="29">
        <v>45000.0</v>
      </c>
      <c r="E2453" s="26">
        <v>0.0</v>
      </c>
    </row>
    <row r="2454">
      <c r="A2454" s="28" t="s">
        <v>2218</v>
      </c>
      <c r="B2454" s="107" t="s">
        <v>2507</v>
      </c>
      <c r="C2454" s="28">
        <v>960.0</v>
      </c>
      <c r="D2454" s="29">
        <v>45000.0</v>
      </c>
      <c r="E2454" s="26">
        <v>0.0</v>
      </c>
    </row>
    <row r="2455">
      <c r="A2455" s="28" t="s">
        <v>2218</v>
      </c>
      <c r="B2455" s="107" t="s">
        <v>2510</v>
      </c>
      <c r="C2455" s="28">
        <v>240.0</v>
      </c>
      <c r="D2455" s="29">
        <v>45000.0</v>
      </c>
      <c r="E2455" s="26">
        <v>0.0</v>
      </c>
    </row>
    <row r="2456">
      <c r="A2456" s="28" t="s">
        <v>2218</v>
      </c>
      <c r="B2456" s="107" t="s">
        <v>2516</v>
      </c>
      <c r="C2456" s="28">
        <v>15.0</v>
      </c>
      <c r="D2456" s="29">
        <v>1480000.0</v>
      </c>
      <c r="E2456" s="26">
        <v>0.0</v>
      </c>
    </row>
    <row r="2457">
      <c r="A2457" s="28" t="s">
        <v>2218</v>
      </c>
      <c r="B2457" s="107" t="s">
        <v>2519</v>
      </c>
      <c r="C2457" s="28">
        <v>5.0</v>
      </c>
      <c r="D2457" s="29">
        <v>1875000.0</v>
      </c>
      <c r="E2457" s="26">
        <v>0.0</v>
      </c>
    </row>
    <row r="2458">
      <c r="A2458" s="28" t="s">
        <v>2219</v>
      </c>
      <c r="B2458" s="107" t="s">
        <v>2431</v>
      </c>
      <c r="C2458" s="28">
        <v>1.0</v>
      </c>
      <c r="D2458" s="106">
        <v>2380000.0</v>
      </c>
      <c r="E2458" s="26">
        <v>0.0</v>
      </c>
    </row>
    <row r="2459">
      <c r="A2459" s="28" t="s">
        <v>2220</v>
      </c>
      <c r="B2459" s="107" t="s">
        <v>2433</v>
      </c>
      <c r="C2459" s="28">
        <v>1.0</v>
      </c>
      <c r="D2459" s="106">
        <v>1450000.0</v>
      </c>
      <c r="E2459" s="26">
        <v>0.0</v>
      </c>
    </row>
    <row r="2460">
      <c r="A2460" s="28" t="s">
        <v>2221</v>
      </c>
      <c r="B2460" s="107" t="s">
        <v>2433</v>
      </c>
      <c r="C2460" s="28">
        <v>1.0</v>
      </c>
      <c r="D2460" s="106">
        <v>1450000.0</v>
      </c>
      <c r="E2460" s="26">
        <v>0.0</v>
      </c>
    </row>
    <row r="2461">
      <c r="A2461" s="28" t="s">
        <v>2222</v>
      </c>
      <c r="B2461" s="107" t="s">
        <v>2425</v>
      </c>
      <c r="C2461" s="28">
        <v>1.0</v>
      </c>
      <c r="D2461" s="106">
        <v>1875000.0</v>
      </c>
      <c r="E2461" s="26">
        <v>0.0</v>
      </c>
    </row>
    <row r="2462">
      <c r="A2462" s="28" t="s">
        <v>2222</v>
      </c>
      <c r="B2462" s="107" t="s">
        <v>2441</v>
      </c>
      <c r="C2462" s="28">
        <v>10.0</v>
      </c>
      <c r="D2462" s="106">
        <v>32000.0</v>
      </c>
      <c r="E2462" s="26">
        <v>0.0</v>
      </c>
    </row>
    <row r="2463">
      <c r="A2463" s="28" t="s">
        <v>2222</v>
      </c>
      <c r="B2463" s="107" t="s">
        <v>2442</v>
      </c>
      <c r="C2463" s="28">
        <v>50.0</v>
      </c>
      <c r="D2463" s="29">
        <v>0.0</v>
      </c>
      <c r="E2463" s="26">
        <v>0.0</v>
      </c>
      <c r="F2463" s="26" t="s">
        <v>2438</v>
      </c>
    </row>
    <row r="2464">
      <c r="A2464" s="28" t="s">
        <v>2223</v>
      </c>
      <c r="B2464" s="107" t="s">
        <v>2433</v>
      </c>
      <c r="C2464" s="28">
        <v>1.0</v>
      </c>
      <c r="D2464" s="106">
        <v>1450000.0</v>
      </c>
      <c r="E2464" s="111">
        <v>290000.0</v>
      </c>
    </row>
    <row r="2465">
      <c r="A2465" s="28" t="s">
        <v>2224</v>
      </c>
      <c r="B2465" s="107" t="s">
        <v>2433</v>
      </c>
      <c r="C2465" s="28">
        <v>1.0</v>
      </c>
      <c r="D2465" s="106">
        <v>1450000.0</v>
      </c>
      <c r="E2465" s="26">
        <v>0.0</v>
      </c>
    </row>
    <row r="2466">
      <c r="A2466" s="28" t="s">
        <v>2225</v>
      </c>
      <c r="B2466" s="107" t="s">
        <v>2431</v>
      </c>
      <c r="C2466" s="28">
        <v>1.0</v>
      </c>
      <c r="D2466" s="106">
        <v>2380000.0</v>
      </c>
      <c r="E2466" s="26">
        <v>0.0</v>
      </c>
    </row>
    <row r="2467">
      <c r="A2467" s="28" t="s">
        <v>2226</v>
      </c>
      <c r="B2467" s="107" t="s">
        <v>2429</v>
      </c>
      <c r="C2467" s="28">
        <v>48.0</v>
      </c>
      <c r="D2467" s="106">
        <v>45000.0</v>
      </c>
      <c r="E2467" s="26">
        <v>0.0</v>
      </c>
    </row>
    <row r="2468">
      <c r="A2468" s="28" t="s">
        <v>2226</v>
      </c>
      <c r="B2468" s="107" t="s">
        <v>2426</v>
      </c>
      <c r="C2468" s="28">
        <v>10.0</v>
      </c>
      <c r="D2468" s="106">
        <v>55000.0</v>
      </c>
      <c r="E2468" s="26">
        <v>0.0</v>
      </c>
    </row>
    <row r="2469">
      <c r="A2469" s="28" t="s">
        <v>2226</v>
      </c>
      <c r="B2469" s="107" t="s">
        <v>2430</v>
      </c>
      <c r="C2469" s="28">
        <v>10.0</v>
      </c>
      <c r="D2469" s="106">
        <v>45000.0</v>
      </c>
      <c r="E2469" s="26">
        <v>0.0</v>
      </c>
    </row>
    <row r="2470">
      <c r="A2470" s="28" t="s">
        <v>2227</v>
      </c>
      <c r="B2470" s="107" t="s">
        <v>2431</v>
      </c>
      <c r="C2470" s="28">
        <v>1.0</v>
      </c>
      <c r="D2470" s="106">
        <v>2380000.0</v>
      </c>
      <c r="E2470" s="26">
        <v>0.0</v>
      </c>
    </row>
    <row r="2471">
      <c r="A2471" s="28" t="s">
        <v>2228</v>
      </c>
      <c r="B2471" s="107" t="s">
        <v>2433</v>
      </c>
      <c r="C2471" s="28">
        <v>1.0</v>
      </c>
      <c r="D2471" s="106">
        <v>1450000.0</v>
      </c>
      <c r="E2471" s="26">
        <v>0.0</v>
      </c>
    </row>
    <row r="2472">
      <c r="A2472" s="28" t="s">
        <v>2229</v>
      </c>
      <c r="B2472" s="107" t="s">
        <v>2495</v>
      </c>
      <c r="C2472" s="28">
        <v>1.0</v>
      </c>
      <c r="D2472" s="106">
        <v>1790000.0</v>
      </c>
      <c r="E2472" s="111">
        <v>358000.0</v>
      </c>
    </row>
    <row r="2473">
      <c r="A2473" s="28" t="s">
        <v>2230</v>
      </c>
      <c r="B2473" s="107" t="s">
        <v>2429</v>
      </c>
      <c r="C2473" s="28">
        <v>24.0</v>
      </c>
      <c r="D2473" s="106">
        <v>45000.0</v>
      </c>
      <c r="E2473" s="26">
        <v>0.0</v>
      </c>
    </row>
    <row r="2474">
      <c r="A2474" s="28" t="s">
        <v>2231</v>
      </c>
      <c r="B2474" s="107" t="s">
        <v>2425</v>
      </c>
      <c r="C2474" s="28">
        <v>1.0</v>
      </c>
      <c r="D2474" s="106">
        <v>1875000.0</v>
      </c>
      <c r="E2474" s="111">
        <v>375000.0</v>
      </c>
    </row>
    <row r="2475">
      <c r="A2475" s="28" t="s">
        <v>2231</v>
      </c>
      <c r="B2475" s="107" t="s">
        <v>2433</v>
      </c>
      <c r="C2475" s="28">
        <v>1.0</v>
      </c>
      <c r="D2475" s="106">
        <v>1450000.0</v>
      </c>
      <c r="E2475" s="111">
        <v>290000.0</v>
      </c>
    </row>
    <row r="2476">
      <c r="A2476" s="28" t="s">
        <v>2232</v>
      </c>
      <c r="B2476" s="107" t="s">
        <v>2433</v>
      </c>
      <c r="C2476" s="28">
        <v>1.0</v>
      </c>
      <c r="D2476" s="106">
        <v>1450000.0</v>
      </c>
      <c r="E2476" s="26">
        <v>0.0</v>
      </c>
    </row>
    <row r="2477">
      <c r="A2477" s="28" t="s">
        <v>2232</v>
      </c>
      <c r="B2477" s="107" t="s">
        <v>2426</v>
      </c>
      <c r="C2477" s="28">
        <v>12.0</v>
      </c>
      <c r="D2477" s="106">
        <v>55000.0</v>
      </c>
      <c r="E2477" s="26">
        <v>0.0</v>
      </c>
    </row>
    <row r="2478">
      <c r="A2478" s="28" t="s">
        <v>2232</v>
      </c>
      <c r="B2478" s="107" t="s">
        <v>2478</v>
      </c>
      <c r="C2478" s="28">
        <v>12.0</v>
      </c>
      <c r="D2478" s="106">
        <v>45000.0</v>
      </c>
      <c r="E2478" s="26">
        <v>0.0</v>
      </c>
    </row>
    <row r="2479">
      <c r="A2479" s="28" t="s">
        <v>2233</v>
      </c>
      <c r="B2479" s="107" t="s">
        <v>2429</v>
      </c>
      <c r="C2479" s="28">
        <v>24.0</v>
      </c>
      <c r="D2479" s="106">
        <v>45000.0</v>
      </c>
      <c r="E2479" s="26">
        <v>0.0</v>
      </c>
    </row>
    <row r="2480">
      <c r="A2480" s="28" t="s">
        <v>2234</v>
      </c>
      <c r="B2480" s="107" t="s">
        <v>2433</v>
      </c>
      <c r="C2480" s="28">
        <v>1.0</v>
      </c>
      <c r="D2480" s="106">
        <v>1450000.0</v>
      </c>
      <c r="E2480" s="26">
        <v>0.0</v>
      </c>
    </row>
    <row r="2481">
      <c r="A2481" s="28" t="s">
        <v>2235</v>
      </c>
      <c r="B2481" s="107" t="s">
        <v>2425</v>
      </c>
      <c r="C2481" s="28">
        <v>1.0</v>
      </c>
      <c r="D2481" s="106">
        <v>1875000.0</v>
      </c>
      <c r="E2481" s="26">
        <v>0.0</v>
      </c>
    </row>
    <row r="2482">
      <c r="A2482" s="28" t="s">
        <v>2236</v>
      </c>
      <c r="B2482" s="107" t="s">
        <v>2429</v>
      </c>
      <c r="C2482" s="28">
        <v>48.0</v>
      </c>
      <c r="D2482" s="106">
        <v>45000.0</v>
      </c>
      <c r="E2482" s="26">
        <v>0.0</v>
      </c>
    </row>
    <row r="2483">
      <c r="A2483" s="28" t="s">
        <v>2237</v>
      </c>
      <c r="B2483" s="107" t="s">
        <v>2494</v>
      </c>
      <c r="C2483" s="28">
        <v>1.0</v>
      </c>
      <c r="D2483" s="106">
        <v>2500000.0</v>
      </c>
      <c r="E2483" s="111">
        <v>220000.0</v>
      </c>
    </row>
    <row r="2484">
      <c r="A2484" s="28" t="s">
        <v>2238</v>
      </c>
      <c r="B2484" s="107" t="s">
        <v>2433</v>
      </c>
      <c r="C2484" s="28">
        <v>1.0</v>
      </c>
      <c r="D2484" s="106">
        <v>1450000.0</v>
      </c>
      <c r="E2484" s="26">
        <v>0.0</v>
      </c>
    </row>
    <row r="2485">
      <c r="A2485" s="28" t="s">
        <v>2239</v>
      </c>
      <c r="B2485" s="107" t="s">
        <v>2428</v>
      </c>
      <c r="C2485" s="28">
        <v>6.0</v>
      </c>
      <c r="D2485" s="106">
        <v>45000.0</v>
      </c>
      <c r="E2485" s="26">
        <v>0.0</v>
      </c>
    </row>
    <row r="2486">
      <c r="A2486" s="28" t="s">
        <v>2239</v>
      </c>
      <c r="B2486" s="107" t="s">
        <v>2478</v>
      </c>
      <c r="C2486" s="28">
        <v>6.0</v>
      </c>
      <c r="D2486" s="106">
        <v>45000.0</v>
      </c>
      <c r="E2486" s="26">
        <v>0.0</v>
      </c>
    </row>
    <row r="2487">
      <c r="A2487" s="28" t="s">
        <v>2239</v>
      </c>
      <c r="B2487" s="107" t="s">
        <v>2429</v>
      </c>
      <c r="C2487" s="28">
        <v>6.0</v>
      </c>
      <c r="D2487" s="106">
        <v>45000.0</v>
      </c>
      <c r="E2487" s="26">
        <v>0.0</v>
      </c>
    </row>
    <row r="2488">
      <c r="A2488" s="28" t="s">
        <v>2239</v>
      </c>
      <c r="B2488" s="107" t="s">
        <v>2426</v>
      </c>
      <c r="C2488" s="28">
        <v>6.0</v>
      </c>
      <c r="D2488" s="106">
        <v>55000.0</v>
      </c>
      <c r="E2488" s="26">
        <v>0.0</v>
      </c>
    </row>
    <row r="2489">
      <c r="A2489" s="28" t="s">
        <v>2239</v>
      </c>
      <c r="B2489" s="107" t="s">
        <v>2442</v>
      </c>
      <c r="C2489" s="28">
        <v>50.0</v>
      </c>
      <c r="D2489" s="29">
        <v>0.0</v>
      </c>
      <c r="E2489" s="26">
        <v>0.0</v>
      </c>
      <c r="F2489" s="26" t="s">
        <v>2438</v>
      </c>
    </row>
    <row r="2490">
      <c r="A2490" s="28" t="s">
        <v>2240</v>
      </c>
      <c r="B2490" s="107" t="s">
        <v>2494</v>
      </c>
      <c r="C2490" s="28">
        <v>1.0</v>
      </c>
      <c r="D2490" s="106">
        <v>2500000.0</v>
      </c>
    </row>
    <row r="2491">
      <c r="A2491" s="28" t="s">
        <v>2241</v>
      </c>
      <c r="B2491" s="107" t="s">
        <v>2429</v>
      </c>
      <c r="C2491" s="28">
        <v>24.0</v>
      </c>
      <c r="D2491" s="106">
        <v>45000.0</v>
      </c>
    </row>
    <row r="2492">
      <c r="A2492" s="28" t="s">
        <v>2241</v>
      </c>
      <c r="B2492" s="107" t="s">
        <v>2507</v>
      </c>
      <c r="C2492" s="28">
        <v>24.0</v>
      </c>
      <c r="D2492" s="29">
        <v>0.0</v>
      </c>
      <c r="E2492" s="26">
        <v>0.0</v>
      </c>
      <c r="F2492" s="26" t="s">
        <v>2436</v>
      </c>
    </row>
    <row r="2493">
      <c r="A2493" s="28" t="s">
        <v>2242</v>
      </c>
      <c r="B2493" s="107" t="s">
        <v>2425</v>
      </c>
      <c r="C2493" s="28">
        <v>2.0</v>
      </c>
      <c r="D2493" s="106">
        <v>1875000.0</v>
      </c>
    </row>
    <row r="2494">
      <c r="A2494" s="28" t="s">
        <v>2242</v>
      </c>
      <c r="B2494" s="107" t="s">
        <v>2429</v>
      </c>
      <c r="C2494" s="28">
        <v>24.0</v>
      </c>
      <c r="D2494" s="106">
        <v>45000.0</v>
      </c>
    </row>
    <row r="2495">
      <c r="A2495" s="28" t="s">
        <v>2242</v>
      </c>
      <c r="B2495" s="107" t="s">
        <v>2442</v>
      </c>
      <c r="C2495" s="28">
        <v>50.0</v>
      </c>
      <c r="D2495" s="29">
        <v>0.0</v>
      </c>
      <c r="E2495" s="26">
        <v>0.0</v>
      </c>
      <c r="F2495" s="26" t="s">
        <v>2438</v>
      </c>
    </row>
    <row r="2496">
      <c r="A2496" s="28" t="s">
        <v>2243</v>
      </c>
      <c r="B2496" s="107" t="s">
        <v>2495</v>
      </c>
      <c r="C2496" s="28">
        <v>1.0</v>
      </c>
      <c r="D2496" s="106">
        <v>1790000.0</v>
      </c>
      <c r="E2496" s="111">
        <v>358000.0</v>
      </c>
    </row>
    <row r="2497">
      <c r="A2497" s="28" t="s">
        <v>2243</v>
      </c>
      <c r="B2497" s="107" t="s">
        <v>2433</v>
      </c>
      <c r="C2497" s="28">
        <v>1.0</v>
      </c>
      <c r="D2497" s="106">
        <v>1450000.0</v>
      </c>
      <c r="E2497" s="111">
        <v>290000.0</v>
      </c>
    </row>
    <row r="2498">
      <c r="A2498" s="28" t="s">
        <v>2243</v>
      </c>
      <c r="B2498" s="107" t="s">
        <v>2425</v>
      </c>
      <c r="C2498" s="28">
        <v>1.0</v>
      </c>
      <c r="D2498" s="106">
        <v>1875000.0</v>
      </c>
      <c r="E2498" s="111">
        <v>375000.0</v>
      </c>
    </row>
    <row r="2499">
      <c r="A2499" s="28" t="s">
        <v>2244</v>
      </c>
      <c r="B2499" s="107" t="s">
        <v>2425</v>
      </c>
      <c r="C2499" s="28">
        <v>1.0</v>
      </c>
      <c r="D2499" s="106">
        <v>1875000.0</v>
      </c>
      <c r="E2499" s="26">
        <v>0.0</v>
      </c>
    </row>
    <row r="2500">
      <c r="A2500" s="28" t="s">
        <v>2245</v>
      </c>
      <c r="B2500" s="107" t="s">
        <v>2425</v>
      </c>
      <c r="C2500" s="28">
        <v>1.0</v>
      </c>
      <c r="D2500" s="106">
        <v>1875000.0</v>
      </c>
      <c r="E2500" s="26">
        <v>0.0</v>
      </c>
    </row>
    <row r="2501">
      <c r="A2501" s="28" t="s">
        <v>2245</v>
      </c>
      <c r="B2501" s="107" t="s">
        <v>2433</v>
      </c>
      <c r="C2501" s="28">
        <v>1.0</v>
      </c>
      <c r="D2501" s="106">
        <v>1450000.0</v>
      </c>
      <c r="E2501" s="26">
        <v>0.0</v>
      </c>
    </row>
    <row r="2502">
      <c r="A2502" s="28" t="s">
        <v>2246</v>
      </c>
      <c r="B2502" s="107" t="s">
        <v>2512</v>
      </c>
      <c r="C2502" s="28">
        <v>240.0</v>
      </c>
      <c r="D2502" s="29">
        <v>45000.0</v>
      </c>
      <c r="E2502" s="26">
        <v>0.0</v>
      </c>
    </row>
    <row r="2503">
      <c r="A2503" s="28" t="s">
        <v>2246</v>
      </c>
      <c r="B2503" s="107" t="s">
        <v>2507</v>
      </c>
      <c r="C2503" s="28">
        <v>960.0</v>
      </c>
      <c r="D2503" s="29">
        <v>45000.0</v>
      </c>
      <c r="E2503" s="26">
        <v>0.0</v>
      </c>
    </row>
    <row r="2504">
      <c r="A2504" s="28" t="s">
        <v>2246</v>
      </c>
      <c r="B2504" s="107" t="s">
        <v>2517</v>
      </c>
      <c r="C2504" s="28">
        <v>10.0</v>
      </c>
      <c r="D2504" s="29">
        <v>2380000.0</v>
      </c>
      <c r="E2504" s="26">
        <v>0.0</v>
      </c>
    </row>
    <row r="2505">
      <c r="A2505" s="28" t="s">
        <v>2246</v>
      </c>
      <c r="B2505" s="107" t="s">
        <v>2515</v>
      </c>
      <c r="C2505" s="28">
        <v>15.0</v>
      </c>
      <c r="D2505" s="29">
        <v>1450000.0</v>
      </c>
      <c r="E2505" s="26">
        <v>0.0</v>
      </c>
    </row>
    <row r="2506">
      <c r="A2506" s="28" t="s">
        <v>2246</v>
      </c>
      <c r="B2506" s="107" t="s">
        <v>2519</v>
      </c>
      <c r="C2506" s="28">
        <v>7.0</v>
      </c>
      <c r="D2506" s="29">
        <v>1875000.0</v>
      </c>
      <c r="E2506" s="26">
        <v>0.0</v>
      </c>
    </row>
    <row r="2507">
      <c r="A2507" s="28" t="s">
        <v>2247</v>
      </c>
      <c r="B2507" s="107" t="s">
        <v>2433</v>
      </c>
      <c r="C2507" s="28">
        <v>1.0</v>
      </c>
      <c r="D2507" s="106">
        <v>1450000.0</v>
      </c>
      <c r="E2507" s="26">
        <v>0.0</v>
      </c>
    </row>
    <row r="2508">
      <c r="A2508" s="28" t="s">
        <v>2248</v>
      </c>
      <c r="B2508" s="107" t="s">
        <v>2433</v>
      </c>
      <c r="C2508" s="28">
        <v>1.0</v>
      </c>
      <c r="D2508" s="106">
        <v>1450000.0</v>
      </c>
      <c r="E2508" s="26">
        <v>0.0</v>
      </c>
    </row>
    <row r="2509">
      <c r="A2509" s="28" t="s">
        <v>2249</v>
      </c>
      <c r="B2509" s="107" t="s">
        <v>2429</v>
      </c>
      <c r="C2509" s="28">
        <v>48.0</v>
      </c>
      <c r="D2509" s="106">
        <v>45000.0</v>
      </c>
      <c r="E2509" s="26">
        <v>0.0</v>
      </c>
    </row>
    <row r="2510">
      <c r="A2510" s="28" t="s">
        <v>2249</v>
      </c>
      <c r="B2510" s="107" t="s">
        <v>2430</v>
      </c>
      <c r="C2510" s="28">
        <v>12.0</v>
      </c>
      <c r="D2510" s="106">
        <v>45000.0</v>
      </c>
      <c r="E2510" s="26">
        <v>0.0</v>
      </c>
    </row>
    <row r="2511">
      <c r="A2511" s="28" t="s">
        <v>2250</v>
      </c>
      <c r="B2511" s="107" t="s">
        <v>2431</v>
      </c>
      <c r="C2511" s="28">
        <v>1.0</v>
      </c>
      <c r="D2511" s="106">
        <v>2380000.0</v>
      </c>
      <c r="E2511" s="26">
        <v>0.0</v>
      </c>
    </row>
    <row r="2512">
      <c r="A2512" s="28" t="s">
        <v>2251</v>
      </c>
      <c r="B2512" s="107" t="s">
        <v>2433</v>
      </c>
      <c r="C2512" s="28">
        <v>1.0</v>
      </c>
      <c r="D2512" s="106">
        <v>1450000.0</v>
      </c>
      <c r="E2512" s="26">
        <v>0.0</v>
      </c>
    </row>
    <row r="2513">
      <c r="A2513" s="28" t="s">
        <v>2252</v>
      </c>
      <c r="B2513" s="107" t="s">
        <v>2433</v>
      </c>
      <c r="C2513" s="28">
        <v>1.0</v>
      </c>
      <c r="D2513" s="106">
        <v>1450000.0</v>
      </c>
      <c r="E2513" s="26">
        <v>0.0</v>
      </c>
    </row>
    <row r="2514">
      <c r="A2514" s="28" t="s">
        <v>2253</v>
      </c>
      <c r="B2514" s="107" t="s">
        <v>2429</v>
      </c>
      <c r="C2514" s="28">
        <v>48.0</v>
      </c>
      <c r="D2514" s="106">
        <v>45000.0</v>
      </c>
      <c r="E2514" s="26">
        <v>0.0</v>
      </c>
    </row>
    <row r="2515">
      <c r="A2515" s="28" t="s">
        <v>2254</v>
      </c>
      <c r="B2515" s="107" t="s">
        <v>2426</v>
      </c>
      <c r="C2515" s="28">
        <v>12.0</v>
      </c>
      <c r="D2515" s="106">
        <v>55000.0</v>
      </c>
      <c r="E2515" s="26">
        <v>0.0</v>
      </c>
    </row>
    <row r="2516">
      <c r="A2516" s="28" t="s">
        <v>2254</v>
      </c>
      <c r="B2516" s="107" t="s">
        <v>2428</v>
      </c>
      <c r="C2516" s="28">
        <v>7.0</v>
      </c>
      <c r="D2516" s="106">
        <v>45000.0</v>
      </c>
      <c r="E2516" s="26">
        <v>0.0</v>
      </c>
    </row>
    <row r="2517">
      <c r="A2517" s="28" t="s">
        <v>2254</v>
      </c>
      <c r="B2517" s="107" t="s">
        <v>2478</v>
      </c>
      <c r="C2517" s="28">
        <v>5.0</v>
      </c>
      <c r="D2517" s="106">
        <v>45000.0</v>
      </c>
      <c r="E2517" s="26">
        <v>0.0</v>
      </c>
    </row>
    <row r="2518">
      <c r="A2518" s="28" t="s">
        <v>2255</v>
      </c>
      <c r="B2518" s="107" t="s">
        <v>2433</v>
      </c>
      <c r="C2518" s="28">
        <v>1.0</v>
      </c>
      <c r="D2518" s="106">
        <v>1450000.0</v>
      </c>
      <c r="E2518" s="26">
        <v>0.0</v>
      </c>
    </row>
    <row r="2519">
      <c r="A2519" s="28" t="s">
        <v>2256</v>
      </c>
      <c r="B2519" s="107" t="s">
        <v>2429</v>
      </c>
      <c r="C2519" s="28">
        <v>48.0</v>
      </c>
      <c r="D2519" s="106">
        <v>45000.0</v>
      </c>
      <c r="E2519" s="26">
        <v>0.0</v>
      </c>
    </row>
    <row r="2520">
      <c r="A2520" s="28" t="s">
        <v>2257</v>
      </c>
      <c r="B2520" s="107" t="s">
        <v>2432</v>
      </c>
      <c r="C2520" s="28">
        <v>1.0</v>
      </c>
      <c r="D2520" s="106">
        <v>1480000.0</v>
      </c>
      <c r="E2520" s="111">
        <v>296000.0</v>
      </c>
    </row>
    <row r="2521">
      <c r="A2521" s="28" t="s">
        <v>2257</v>
      </c>
      <c r="B2521" s="107" t="s">
        <v>2433</v>
      </c>
      <c r="C2521" s="28">
        <v>1.0</v>
      </c>
      <c r="D2521" s="106">
        <v>1450000.0</v>
      </c>
      <c r="E2521" s="111">
        <v>290000.0</v>
      </c>
    </row>
    <row r="2522">
      <c r="A2522" s="28" t="s">
        <v>2258</v>
      </c>
      <c r="B2522" s="107" t="s">
        <v>2515</v>
      </c>
      <c r="C2522" s="28">
        <v>10.0</v>
      </c>
      <c r="D2522" s="29">
        <v>1450000.0</v>
      </c>
      <c r="E2522" s="26">
        <v>0.0</v>
      </c>
    </row>
    <row r="2523">
      <c r="A2523" s="28" t="s">
        <v>2258</v>
      </c>
      <c r="B2523" s="107" t="s">
        <v>2517</v>
      </c>
      <c r="C2523" s="28">
        <v>8.0</v>
      </c>
      <c r="D2523" s="29">
        <v>2380000.0</v>
      </c>
      <c r="E2523" s="26">
        <v>0.0</v>
      </c>
    </row>
    <row r="2524">
      <c r="A2524" s="28" t="s">
        <v>2258</v>
      </c>
      <c r="B2524" s="107" t="s">
        <v>2520</v>
      </c>
      <c r="C2524" s="28">
        <v>8.0</v>
      </c>
      <c r="D2524" s="29">
        <v>1790000.0</v>
      </c>
      <c r="E2524" s="26">
        <v>0.0</v>
      </c>
    </row>
    <row r="2525">
      <c r="A2525" s="28" t="s">
        <v>2258</v>
      </c>
      <c r="B2525" s="107" t="s">
        <v>2519</v>
      </c>
      <c r="C2525" s="28">
        <v>4.0</v>
      </c>
      <c r="D2525" s="29">
        <v>1875000.0</v>
      </c>
      <c r="E2525" s="26">
        <v>0.0</v>
      </c>
    </row>
    <row r="2526">
      <c r="A2526" s="28" t="s">
        <v>2258</v>
      </c>
      <c r="B2526" s="107" t="s">
        <v>2507</v>
      </c>
      <c r="C2526" s="28">
        <v>240.0</v>
      </c>
      <c r="D2526" s="29">
        <v>45000.0</v>
      </c>
      <c r="E2526" s="26">
        <v>0.0</v>
      </c>
    </row>
    <row r="2527">
      <c r="A2527" s="28" t="s">
        <v>2258</v>
      </c>
      <c r="B2527" s="107" t="s">
        <v>2503</v>
      </c>
      <c r="C2527" s="28">
        <v>240.0</v>
      </c>
      <c r="D2527" s="29">
        <v>55000.0</v>
      </c>
      <c r="E2527" s="26">
        <v>0.0</v>
      </c>
    </row>
    <row r="2528">
      <c r="A2528" s="28" t="s">
        <v>2258</v>
      </c>
      <c r="B2528" s="107" t="s">
        <v>2511</v>
      </c>
      <c r="C2528" s="28">
        <v>96.0</v>
      </c>
      <c r="D2528" s="29">
        <v>45000.0</v>
      </c>
      <c r="E2528" s="26">
        <v>0.0</v>
      </c>
    </row>
    <row r="2529">
      <c r="A2529" s="28" t="s">
        <v>2258</v>
      </c>
      <c r="B2529" s="107" t="s">
        <v>2512</v>
      </c>
      <c r="C2529" s="28">
        <v>96.0</v>
      </c>
      <c r="D2529" s="29">
        <v>45000.0</v>
      </c>
      <c r="E2529" s="26">
        <v>0.0</v>
      </c>
    </row>
    <row r="2530">
      <c r="A2530" s="28" t="s">
        <v>2258</v>
      </c>
      <c r="B2530" s="107" t="s">
        <v>2513</v>
      </c>
      <c r="C2530" s="28">
        <v>120.0</v>
      </c>
      <c r="D2530" s="29">
        <v>60000.0</v>
      </c>
      <c r="E2530" s="26">
        <v>0.0</v>
      </c>
    </row>
    <row r="2531">
      <c r="A2531" s="28" t="s">
        <v>2258</v>
      </c>
      <c r="B2531" s="107" t="s">
        <v>2437</v>
      </c>
      <c r="C2531" s="28">
        <v>24.0</v>
      </c>
      <c r="D2531" s="29">
        <v>0.0</v>
      </c>
      <c r="E2531" s="26">
        <v>0.0</v>
      </c>
      <c r="F2531" s="26" t="s">
        <v>2438</v>
      </c>
    </row>
    <row r="2532">
      <c r="A2532" s="28" t="s">
        <v>2259</v>
      </c>
      <c r="B2532" s="107" t="s">
        <v>2431</v>
      </c>
      <c r="C2532" s="28">
        <v>6.0</v>
      </c>
      <c r="D2532" s="106">
        <v>2380000.0</v>
      </c>
      <c r="E2532" s="111">
        <v>3570000.0</v>
      </c>
    </row>
    <row r="2533">
      <c r="A2533" s="28" t="s">
        <v>2259</v>
      </c>
      <c r="B2533" s="107" t="s">
        <v>2433</v>
      </c>
      <c r="C2533" s="28">
        <v>6.0</v>
      </c>
      <c r="D2533" s="106">
        <v>1450000.0</v>
      </c>
      <c r="E2533" s="111">
        <v>2175000.0</v>
      </c>
    </row>
    <row r="2534">
      <c r="A2534" s="28" t="s">
        <v>2260</v>
      </c>
      <c r="B2534" s="107" t="s">
        <v>2431</v>
      </c>
      <c r="C2534" s="28">
        <v>1.0</v>
      </c>
      <c r="D2534" s="106">
        <v>2380000.0</v>
      </c>
      <c r="E2534" s="26">
        <v>0.0</v>
      </c>
    </row>
    <row r="2535">
      <c r="A2535" s="28" t="s">
        <v>2262</v>
      </c>
      <c r="B2535" s="107" t="s">
        <v>2429</v>
      </c>
      <c r="C2535" s="28">
        <v>24.0</v>
      </c>
      <c r="D2535" s="106">
        <v>45000.0</v>
      </c>
      <c r="E2535" s="26">
        <v>0.0</v>
      </c>
    </row>
    <row r="2536">
      <c r="A2536" s="28" t="s">
        <v>2263</v>
      </c>
      <c r="B2536" s="107" t="s">
        <v>2425</v>
      </c>
      <c r="C2536" s="28">
        <v>1.0</v>
      </c>
      <c r="D2536" s="106">
        <v>1875000.0</v>
      </c>
      <c r="E2536" s="111">
        <v>281250.0</v>
      </c>
    </row>
    <row r="2537">
      <c r="A2537" s="28" t="s">
        <v>2264</v>
      </c>
      <c r="B2537" s="107" t="s">
        <v>2429</v>
      </c>
      <c r="C2537" s="28">
        <v>48.0</v>
      </c>
      <c r="D2537" s="106">
        <v>45000.0</v>
      </c>
      <c r="E2537" s="26">
        <v>0.0</v>
      </c>
    </row>
    <row r="2538">
      <c r="A2538" s="28" t="s">
        <v>2265</v>
      </c>
      <c r="B2538" s="107" t="s">
        <v>2433</v>
      </c>
      <c r="C2538" s="28">
        <v>1.0</v>
      </c>
      <c r="D2538" s="106">
        <v>1450000.0</v>
      </c>
      <c r="E2538" s="26">
        <v>0.0</v>
      </c>
    </row>
    <row r="2539">
      <c r="A2539" s="28" t="s">
        <v>2265</v>
      </c>
      <c r="B2539" s="107" t="s">
        <v>2442</v>
      </c>
      <c r="C2539" s="28">
        <v>50.0</v>
      </c>
      <c r="D2539" s="29">
        <v>0.0</v>
      </c>
      <c r="E2539" s="26">
        <v>0.0</v>
      </c>
      <c r="F2539" s="26" t="s">
        <v>2438</v>
      </c>
    </row>
    <row r="2540">
      <c r="A2540" s="28" t="s">
        <v>2266</v>
      </c>
      <c r="B2540" s="107" t="s">
        <v>2425</v>
      </c>
      <c r="C2540" s="28">
        <v>1.0</v>
      </c>
      <c r="D2540" s="106">
        <v>1875000.0</v>
      </c>
      <c r="E2540" s="111">
        <v>412500.0</v>
      </c>
    </row>
    <row r="2541">
      <c r="A2541" s="28" t="s">
        <v>2267</v>
      </c>
      <c r="B2541" s="107" t="s">
        <v>2433</v>
      </c>
      <c r="C2541" s="28">
        <v>1.0</v>
      </c>
      <c r="D2541" s="106">
        <v>1450000.0</v>
      </c>
      <c r="E2541" s="26">
        <v>0.0</v>
      </c>
    </row>
    <row r="2542">
      <c r="A2542" s="28" t="s">
        <v>2268</v>
      </c>
      <c r="B2542" s="107" t="s">
        <v>2432</v>
      </c>
      <c r="C2542" s="28">
        <v>1.0</v>
      </c>
      <c r="D2542" s="106">
        <v>1480000.0</v>
      </c>
      <c r="E2542" s="111">
        <v>325600.0</v>
      </c>
    </row>
    <row r="2543">
      <c r="A2543" s="28" t="s">
        <v>2268</v>
      </c>
      <c r="B2543" s="107" t="s">
        <v>2433</v>
      </c>
      <c r="C2543" s="28">
        <v>1.0</v>
      </c>
      <c r="D2543" s="106">
        <v>1450000.0</v>
      </c>
      <c r="E2543" s="111">
        <v>319000.0</v>
      </c>
    </row>
    <row r="2544">
      <c r="A2544" s="28" t="s">
        <v>2269</v>
      </c>
      <c r="B2544" s="107" t="s">
        <v>2431</v>
      </c>
      <c r="C2544" s="28">
        <v>2.0</v>
      </c>
      <c r="D2544" s="106">
        <v>2380000.0</v>
      </c>
      <c r="E2544" s="26">
        <v>0.0</v>
      </c>
    </row>
    <row r="2545">
      <c r="A2545" s="28" t="s">
        <v>2269</v>
      </c>
      <c r="B2545" s="107" t="s">
        <v>2442</v>
      </c>
      <c r="C2545" s="28">
        <v>50.0</v>
      </c>
      <c r="D2545" s="29">
        <v>0.0</v>
      </c>
      <c r="E2545" s="26">
        <v>0.0</v>
      </c>
      <c r="F2545" s="26" t="s">
        <v>2438</v>
      </c>
    </row>
    <row r="2546">
      <c r="A2546" s="28" t="s">
        <v>2270</v>
      </c>
      <c r="B2546" s="107" t="s">
        <v>2431</v>
      </c>
      <c r="C2546" s="28">
        <v>1.0</v>
      </c>
      <c r="D2546" s="106">
        <v>2380000.0</v>
      </c>
      <c r="E2546" s="26">
        <v>0.0</v>
      </c>
    </row>
    <row r="2547">
      <c r="A2547" s="28" t="s">
        <v>2271</v>
      </c>
      <c r="B2547" s="107" t="s">
        <v>2431</v>
      </c>
      <c r="C2547" s="28">
        <v>1.0</v>
      </c>
      <c r="D2547" s="106">
        <v>2380000.0</v>
      </c>
      <c r="E2547" s="26">
        <v>0.0</v>
      </c>
    </row>
    <row r="2548">
      <c r="A2548" s="28" t="s">
        <v>2271</v>
      </c>
      <c r="B2548" s="107" t="s">
        <v>2517</v>
      </c>
      <c r="C2548" s="28">
        <v>1.0</v>
      </c>
      <c r="D2548" s="29">
        <v>0.0</v>
      </c>
      <c r="E2548" s="26">
        <v>0.0</v>
      </c>
      <c r="F2548" s="26" t="s">
        <v>2436</v>
      </c>
    </row>
    <row r="2549">
      <c r="A2549" s="28" t="s">
        <v>2272</v>
      </c>
      <c r="B2549" s="107" t="s">
        <v>2521</v>
      </c>
      <c r="C2549" s="28">
        <v>1.0</v>
      </c>
      <c r="D2549" s="29">
        <v>0.0</v>
      </c>
      <c r="E2549" s="26">
        <v>0.0</v>
      </c>
      <c r="F2549" s="26" t="s">
        <v>1522</v>
      </c>
    </row>
    <row r="2550">
      <c r="A2550" s="28" t="s">
        <v>2273</v>
      </c>
      <c r="B2550" s="107" t="s">
        <v>2481</v>
      </c>
      <c r="C2550" s="28">
        <v>1000.0</v>
      </c>
      <c r="D2550" s="106">
        <v>3616.28</v>
      </c>
      <c r="E2550" s="26">
        <v>0.0</v>
      </c>
    </row>
    <row r="2551">
      <c r="A2551" s="28" t="s">
        <v>2274</v>
      </c>
      <c r="B2551" s="107" t="s">
        <v>2433</v>
      </c>
      <c r="C2551" s="28">
        <v>1.0</v>
      </c>
      <c r="D2551" s="106">
        <v>1450000.0</v>
      </c>
      <c r="E2551" s="26">
        <v>0.0</v>
      </c>
    </row>
    <row r="2552">
      <c r="A2552" s="28" t="s">
        <v>2275</v>
      </c>
      <c r="B2552" s="107" t="s">
        <v>2429</v>
      </c>
      <c r="C2552" s="28">
        <v>24.0</v>
      </c>
      <c r="D2552" s="106">
        <v>45000.0</v>
      </c>
      <c r="E2552" s="26">
        <v>0.0</v>
      </c>
    </row>
    <row r="2553">
      <c r="A2553" s="28" t="s">
        <v>2276</v>
      </c>
      <c r="B2553" s="107" t="s">
        <v>2430</v>
      </c>
      <c r="C2553" s="28">
        <v>24.0</v>
      </c>
      <c r="D2553" s="106">
        <v>45000.0</v>
      </c>
      <c r="E2553" s="26">
        <v>0.0</v>
      </c>
    </row>
    <row r="2554">
      <c r="A2554" s="28" t="s">
        <v>2276</v>
      </c>
      <c r="B2554" s="107" t="s">
        <v>2442</v>
      </c>
      <c r="C2554" s="28">
        <v>50.0</v>
      </c>
      <c r="D2554" s="29">
        <v>0.0</v>
      </c>
      <c r="E2554" s="26">
        <v>0.0</v>
      </c>
      <c r="F2554" s="26" t="s">
        <v>2438</v>
      </c>
    </row>
    <row r="2555">
      <c r="A2555" s="28" t="s">
        <v>2277</v>
      </c>
      <c r="B2555" s="107" t="s">
        <v>2429</v>
      </c>
      <c r="C2555" s="28">
        <v>24.0</v>
      </c>
      <c r="D2555" s="106">
        <v>45000.0</v>
      </c>
      <c r="E2555" s="26">
        <v>0.0</v>
      </c>
    </row>
    <row r="2556">
      <c r="A2556" s="28" t="s">
        <v>2278</v>
      </c>
      <c r="B2556" s="107" t="s">
        <v>2429</v>
      </c>
      <c r="C2556" s="28">
        <v>48.0</v>
      </c>
      <c r="D2556" s="106">
        <v>45000.0</v>
      </c>
      <c r="E2556" s="26">
        <v>0.0</v>
      </c>
    </row>
    <row r="2557">
      <c r="A2557" s="28" t="s">
        <v>2278</v>
      </c>
      <c r="B2557" s="107" t="s">
        <v>2430</v>
      </c>
      <c r="C2557" s="28">
        <v>6.0</v>
      </c>
      <c r="D2557" s="106">
        <v>45000.0</v>
      </c>
      <c r="E2557" s="26">
        <v>0.0</v>
      </c>
    </row>
    <row r="2558">
      <c r="A2558" s="28" t="s">
        <v>2278</v>
      </c>
      <c r="B2558" s="107" t="s">
        <v>2478</v>
      </c>
      <c r="C2558" s="28">
        <v>6.0</v>
      </c>
      <c r="D2558" s="106">
        <v>45000.0</v>
      </c>
      <c r="E2558" s="26">
        <v>0.0</v>
      </c>
    </row>
    <row r="2559">
      <c r="A2559" s="28" t="s">
        <v>2279</v>
      </c>
      <c r="B2559" s="107" t="s">
        <v>2425</v>
      </c>
      <c r="C2559" s="28">
        <v>1.0</v>
      </c>
      <c r="D2559" s="106">
        <v>1875000.0</v>
      </c>
      <c r="E2559" s="26">
        <v>0.0</v>
      </c>
    </row>
    <row r="2560">
      <c r="A2560" s="28" t="s">
        <v>2280</v>
      </c>
      <c r="B2560" s="107" t="s">
        <v>2495</v>
      </c>
      <c r="C2560" s="28">
        <v>1.0</v>
      </c>
      <c r="D2560" s="106">
        <v>1790000.0</v>
      </c>
      <c r="E2560" s="111">
        <v>393800.0</v>
      </c>
    </row>
    <row r="2561">
      <c r="A2561" s="28" t="s">
        <v>2281</v>
      </c>
      <c r="B2561" s="107" t="s">
        <v>2433</v>
      </c>
      <c r="C2561" s="28">
        <v>1.0</v>
      </c>
      <c r="D2561" s="106">
        <v>1450000.0</v>
      </c>
      <c r="E2561" s="26">
        <v>0.0</v>
      </c>
    </row>
    <row r="2562">
      <c r="A2562" s="28" t="s">
        <v>2282</v>
      </c>
      <c r="B2562" s="107" t="s">
        <v>2429</v>
      </c>
      <c r="C2562" s="28">
        <v>48.0</v>
      </c>
      <c r="D2562" s="106">
        <v>45000.0</v>
      </c>
      <c r="E2562" s="26">
        <v>0.0</v>
      </c>
    </row>
    <row r="2563">
      <c r="A2563" s="28" t="s">
        <v>2282</v>
      </c>
      <c r="B2563" s="107" t="s">
        <v>2430</v>
      </c>
      <c r="C2563" s="28">
        <v>6.0</v>
      </c>
      <c r="D2563" s="106">
        <v>45000.0</v>
      </c>
      <c r="E2563" s="26">
        <v>0.0</v>
      </c>
    </row>
    <row r="2564">
      <c r="A2564" s="28" t="s">
        <v>2282</v>
      </c>
      <c r="B2564" s="107" t="s">
        <v>2428</v>
      </c>
      <c r="C2564" s="28">
        <v>6.0</v>
      </c>
      <c r="D2564" s="106">
        <v>45000.0</v>
      </c>
      <c r="E2564" s="26">
        <v>0.0</v>
      </c>
    </row>
    <row r="2565">
      <c r="A2565" s="28" t="s">
        <v>2282</v>
      </c>
      <c r="B2565" s="107" t="s">
        <v>2478</v>
      </c>
      <c r="C2565" s="28">
        <v>6.0</v>
      </c>
      <c r="D2565" s="106">
        <v>45000.0</v>
      </c>
      <c r="E2565" s="26">
        <v>0.0</v>
      </c>
    </row>
    <row r="2566">
      <c r="A2566" s="28" t="s">
        <v>2283</v>
      </c>
      <c r="B2566" s="107" t="s">
        <v>2433</v>
      </c>
      <c r="C2566" s="28">
        <v>1.0</v>
      </c>
      <c r="D2566" s="106">
        <v>1450000.0</v>
      </c>
      <c r="E2566" s="26">
        <v>0.0</v>
      </c>
    </row>
    <row r="2567">
      <c r="A2567" s="28" t="s">
        <v>2284</v>
      </c>
      <c r="B2567" s="107" t="s">
        <v>2432</v>
      </c>
      <c r="C2567" s="28">
        <v>1.0</v>
      </c>
      <c r="D2567" s="106">
        <v>1480000.0</v>
      </c>
      <c r="E2567" s="111">
        <v>325600.0</v>
      </c>
    </row>
    <row r="2568">
      <c r="A2568" s="28" t="s">
        <v>2285</v>
      </c>
      <c r="B2568" s="107" t="s">
        <v>2494</v>
      </c>
      <c r="C2568" s="28">
        <v>1.0</v>
      </c>
      <c r="D2568" s="106">
        <v>2500000.0</v>
      </c>
      <c r="E2568" s="111">
        <v>220000.0</v>
      </c>
    </row>
    <row r="2569">
      <c r="A2569" s="28" t="s">
        <v>2286</v>
      </c>
      <c r="B2569" s="107" t="s">
        <v>2433</v>
      </c>
      <c r="C2569" s="28">
        <v>1.0</v>
      </c>
      <c r="D2569" s="106">
        <v>1450000.0</v>
      </c>
      <c r="E2569" s="26">
        <v>0.0</v>
      </c>
    </row>
    <row r="2570">
      <c r="A2570" s="28" t="s">
        <v>2286</v>
      </c>
      <c r="B2570" s="107" t="s">
        <v>2494</v>
      </c>
      <c r="C2570" s="28">
        <v>1.0</v>
      </c>
      <c r="D2570" s="106">
        <v>2500000.0</v>
      </c>
      <c r="E2570" s="26">
        <v>0.0</v>
      </c>
    </row>
    <row r="2571">
      <c r="A2571" s="28" t="s">
        <v>2286</v>
      </c>
      <c r="B2571" s="107" t="s">
        <v>2442</v>
      </c>
      <c r="C2571" s="28">
        <v>50.0</v>
      </c>
      <c r="D2571" s="29">
        <v>0.0</v>
      </c>
      <c r="E2571" s="26">
        <v>0.0</v>
      </c>
      <c r="F2571" s="26" t="s">
        <v>2438</v>
      </c>
    </row>
    <row r="2572">
      <c r="A2572" s="28" t="s">
        <v>2287</v>
      </c>
      <c r="B2572" s="107" t="s">
        <v>2429</v>
      </c>
      <c r="C2572" s="28">
        <v>30.0</v>
      </c>
      <c r="D2572" s="106">
        <v>45000.0</v>
      </c>
      <c r="E2572" s="26">
        <v>0.0</v>
      </c>
    </row>
    <row r="2573">
      <c r="A2573" s="28" t="s">
        <v>2287</v>
      </c>
      <c r="B2573" s="107" t="s">
        <v>2426</v>
      </c>
      <c r="C2573" s="28">
        <v>18.0</v>
      </c>
      <c r="D2573" s="106">
        <v>55000.0</v>
      </c>
      <c r="E2573" s="26">
        <v>0.0</v>
      </c>
    </row>
    <row r="2574">
      <c r="A2574" s="28" t="s">
        <v>2288</v>
      </c>
      <c r="B2574" s="107" t="s">
        <v>2431</v>
      </c>
      <c r="C2574" s="28">
        <v>1.0</v>
      </c>
      <c r="D2574" s="106">
        <v>2380000.0</v>
      </c>
      <c r="E2574" s="26">
        <v>0.0</v>
      </c>
    </row>
    <row r="2575">
      <c r="A2575" s="28" t="s">
        <v>2289</v>
      </c>
      <c r="B2575" s="107" t="s">
        <v>2429</v>
      </c>
      <c r="C2575" s="28">
        <v>24.0</v>
      </c>
      <c r="D2575" s="106">
        <v>45000.0</v>
      </c>
      <c r="E2575" s="26">
        <v>0.0</v>
      </c>
    </row>
    <row r="2576">
      <c r="A2576" s="28" t="s">
        <v>2290</v>
      </c>
      <c r="B2576" s="107" t="s">
        <v>2495</v>
      </c>
      <c r="C2576" s="28">
        <v>2.0</v>
      </c>
      <c r="D2576" s="106">
        <v>1790000.0</v>
      </c>
      <c r="E2576" s="111">
        <v>895000.0</v>
      </c>
    </row>
    <row r="2577">
      <c r="A2577" s="28" t="s">
        <v>2290</v>
      </c>
      <c r="B2577" s="107" t="s">
        <v>2429</v>
      </c>
      <c r="C2577" s="28">
        <v>48.0</v>
      </c>
      <c r="D2577" s="106">
        <v>45000.0</v>
      </c>
      <c r="E2577" s="111">
        <v>540000.0</v>
      </c>
    </row>
    <row r="2578">
      <c r="A2578" s="28" t="s">
        <v>2290</v>
      </c>
      <c r="B2578" s="107" t="s">
        <v>2432</v>
      </c>
      <c r="C2578" s="28">
        <v>2.0</v>
      </c>
      <c r="D2578" s="106">
        <v>1480000.0</v>
      </c>
      <c r="E2578" s="111">
        <v>740000.0</v>
      </c>
    </row>
    <row r="2579">
      <c r="A2579" s="28" t="s">
        <v>2291</v>
      </c>
      <c r="B2579" s="107" t="s">
        <v>2495</v>
      </c>
      <c r="C2579" s="28">
        <v>1.0</v>
      </c>
      <c r="D2579" s="106">
        <v>1790000.0</v>
      </c>
      <c r="E2579" s="26">
        <v>0.0</v>
      </c>
    </row>
    <row r="2580">
      <c r="A2580" s="28" t="s">
        <v>2291</v>
      </c>
      <c r="B2580" s="107" t="s">
        <v>2426</v>
      </c>
      <c r="C2580" s="28">
        <v>12.0</v>
      </c>
      <c r="D2580" s="106">
        <v>55000.0</v>
      </c>
      <c r="E2580" s="26">
        <v>0.0</v>
      </c>
    </row>
    <row r="2581">
      <c r="A2581" s="28" t="s">
        <v>2291</v>
      </c>
      <c r="B2581" s="107" t="s">
        <v>2430</v>
      </c>
      <c r="C2581" s="28">
        <v>12.0</v>
      </c>
      <c r="D2581" s="106">
        <v>45000.0</v>
      </c>
      <c r="E2581" s="26">
        <v>0.0</v>
      </c>
    </row>
    <row r="2582">
      <c r="A2582" s="28" t="s">
        <v>2292</v>
      </c>
      <c r="B2582" s="107" t="s">
        <v>2425</v>
      </c>
      <c r="C2582" s="28">
        <v>1.0</v>
      </c>
      <c r="D2582" s="106">
        <v>1875000.0</v>
      </c>
      <c r="E2582" s="111">
        <v>412500.0</v>
      </c>
    </row>
    <row r="2583">
      <c r="A2583" s="28" t="s">
        <v>2292</v>
      </c>
      <c r="B2583" s="107" t="s">
        <v>2433</v>
      </c>
      <c r="C2583" s="28">
        <v>1.0</v>
      </c>
      <c r="D2583" s="106">
        <v>1450000.0</v>
      </c>
      <c r="E2583" s="111">
        <v>319000.0</v>
      </c>
    </row>
    <row r="2584">
      <c r="A2584" s="28" t="s">
        <v>2293</v>
      </c>
      <c r="B2584" s="107" t="s">
        <v>2433</v>
      </c>
      <c r="C2584" s="28">
        <v>1.0</v>
      </c>
      <c r="D2584" s="106">
        <v>1450000.0</v>
      </c>
      <c r="E2584" s="26">
        <v>0.0</v>
      </c>
    </row>
    <row r="2585">
      <c r="A2585" s="28" t="s">
        <v>2294</v>
      </c>
      <c r="B2585" s="107" t="s">
        <v>2521</v>
      </c>
      <c r="C2585" s="28">
        <v>1.0</v>
      </c>
      <c r="D2585" s="29">
        <v>0.0</v>
      </c>
      <c r="E2585" s="26">
        <v>0.0</v>
      </c>
      <c r="F2585" s="26" t="s">
        <v>1522</v>
      </c>
    </row>
    <row r="2586">
      <c r="A2586" s="28" t="s">
        <v>2296</v>
      </c>
      <c r="B2586" s="107" t="s">
        <v>2431</v>
      </c>
      <c r="C2586" s="28">
        <v>1.0</v>
      </c>
      <c r="D2586" s="106">
        <v>2380000.0</v>
      </c>
      <c r="E2586" s="26">
        <v>0.0</v>
      </c>
    </row>
    <row r="2587">
      <c r="A2587" s="28" t="s">
        <v>2297</v>
      </c>
      <c r="B2587" s="107" t="s">
        <v>2433</v>
      </c>
      <c r="C2587" s="28">
        <v>1.0</v>
      </c>
      <c r="D2587" s="106">
        <v>1450000.0</v>
      </c>
      <c r="E2587" s="26">
        <v>0.0</v>
      </c>
    </row>
    <row r="2588">
      <c r="A2588" s="28" t="s">
        <v>2299</v>
      </c>
      <c r="B2588" s="107" t="s">
        <v>2429</v>
      </c>
      <c r="C2588" s="28">
        <v>24.0</v>
      </c>
      <c r="D2588" s="106">
        <v>45000.0</v>
      </c>
      <c r="E2588" s="26">
        <v>0.0</v>
      </c>
    </row>
    <row r="2589">
      <c r="A2589" s="28" t="s">
        <v>2299</v>
      </c>
      <c r="B2589" s="107" t="s">
        <v>2430</v>
      </c>
      <c r="C2589" s="28">
        <v>6.0</v>
      </c>
      <c r="D2589" s="106">
        <v>45000.0</v>
      </c>
      <c r="E2589" s="26">
        <v>0.0</v>
      </c>
    </row>
    <row r="2590">
      <c r="A2590" s="28" t="s">
        <v>2299</v>
      </c>
      <c r="B2590" s="107" t="s">
        <v>2428</v>
      </c>
      <c r="C2590" s="28">
        <v>6.0</v>
      </c>
      <c r="D2590" s="106">
        <v>45000.0</v>
      </c>
      <c r="E2590" s="26">
        <v>0.0</v>
      </c>
    </row>
    <row r="2591">
      <c r="A2591" s="28" t="s">
        <v>2299</v>
      </c>
      <c r="B2591" s="107" t="s">
        <v>2478</v>
      </c>
      <c r="C2591" s="28">
        <v>6.0</v>
      </c>
      <c r="D2591" s="106">
        <v>45000.0</v>
      </c>
      <c r="E2591" s="26">
        <v>0.0</v>
      </c>
    </row>
    <row r="2592">
      <c r="A2592" s="28" t="s">
        <v>2299</v>
      </c>
      <c r="B2592" s="107" t="s">
        <v>2426</v>
      </c>
      <c r="C2592" s="28">
        <v>6.0</v>
      </c>
      <c r="D2592" s="106">
        <v>55000.0</v>
      </c>
      <c r="E2592" s="26">
        <v>0.0</v>
      </c>
    </row>
    <row r="2593">
      <c r="A2593" s="28" t="s">
        <v>2300</v>
      </c>
      <c r="B2593" s="107" t="s">
        <v>2429</v>
      </c>
      <c r="C2593" s="28">
        <v>24.0</v>
      </c>
      <c r="D2593" s="106">
        <v>45000.0</v>
      </c>
      <c r="E2593" s="26">
        <v>0.0</v>
      </c>
    </row>
    <row r="2594">
      <c r="A2594" s="28" t="s">
        <v>2301</v>
      </c>
      <c r="B2594" s="107" t="s">
        <v>2425</v>
      </c>
      <c r="C2594" s="28">
        <v>1.0</v>
      </c>
      <c r="D2594" s="106">
        <v>1875000.0</v>
      </c>
      <c r="E2594" s="26">
        <v>0.0</v>
      </c>
    </row>
    <row r="2595">
      <c r="A2595" s="28" t="s">
        <v>2302</v>
      </c>
      <c r="B2595" s="107" t="s">
        <v>2433</v>
      </c>
      <c r="C2595" s="28">
        <v>1.0</v>
      </c>
      <c r="D2595" s="106">
        <v>1450000.0</v>
      </c>
      <c r="E2595" s="26">
        <v>0.0</v>
      </c>
    </row>
    <row r="2596">
      <c r="A2596" s="28" t="s">
        <v>2303</v>
      </c>
      <c r="B2596" s="107" t="s">
        <v>2432</v>
      </c>
      <c r="C2596" s="28">
        <v>1.0</v>
      </c>
      <c r="D2596" s="106">
        <v>1480000.0</v>
      </c>
      <c r="E2596" s="111">
        <v>325600.0</v>
      </c>
    </row>
    <row r="2597">
      <c r="A2597" s="28" t="s">
        <v>2304</v>
      </c>
      <c r="B2597" s="107" t="s">
        <v>2433</v>
      </c>
      <c r="C2597" s="28">
        <v>1.0</v>
      </c>
      <c r="D2597" s="106">
        <v>1450000.0</v>
      </c>
      <c r="E2597" s="26">
        <v>0.0</v>
      </c>
    </row>
    <row r="2598">
      <c r="A2598" s="28" t="s">
        <v>2305</v>
      </c>
      <c r="B2598" s="107" t="s">
        <v>2433</v>
      </c>
      <c r="C2598" s="28">
        <v>1.0</v>
      </c>
      <c r="D2598" s="106">
        <v>1450000.0</v>
      </c>
      <c r="E2598" s="26">
        <v>0.0</v>
      </c>
    </row>
    <row r="2599">
      <c r="A2599" s="28" t="s">
        <v>2306</v>
      </c>
      <c r="B2599" s="107" t="s">
        <v>2425</v>
      </c>
      <c r="C2599" s="28">
        <v>1.0</v>
      </c>
      <c r="D2599" s="106">
        <v>1875000.0</v>
      </c>
      <c r="E2599" s="26">
        <v>0.0</v>
      </c>
    </row>
    <row r="2600">
      <c r="A2600" s="28" t="s">
        <v>2306</v>
      </c>
      <c r="B2600" s="107" t="s">
        <v>2441</v>
      </c>
      <c r="C2600" s="28">
        <v>10.0</v>
      </c>
      <c r="D2600" s="106">
        <v>32000.0</v>
      </c>
      <c r="E2600" s="26">
        <v>0.0</v>
      </c>
    </row>
    <row r="2601">
      <c r="A2601" s="28" t="s">
        <v>2306</v>
      </c>
      <c r="B2601" s="107" t="s">
        <v>2442</v>
      </c>
      <c r="C2601" s="28">
        <v>50.0</v>
      </c>
      <c r="D2601" s="29">
        <v>0.0</v>
      </c>
      <c r="E2601" s="26">
        <v>0.0</v>
      </c>
      <c r="F2601" s="26" t="s">
        <v>1522</v>
      </c>
    </row>
    <row r="2602">
      <c r="A2602" s="28" t="s">
        <v>2307</v>
      </c>
      <c r="B2602" s="107" t="s">
        <v>2433</v>
      </c>
      <c r="C2602" s="28">
        <v>1.0</v>
      </c>
      <c r="D2602" s="106">
        <v>1450000.0</v>
      </c>
      <c r="E2602" s="26">
        <v>0.0</v>
      </c>
    </row>
    <row r="2603">
      <c r="A2603" s="28" t="s">
        <v>2308</v>
      </c>
      <c r="B2603" s="107" t="s">
        <v>2431</v>
      </c>
      <c r="C2603" s="28">
        <v>1.0</v>
      </c>
      <c r="D2603" s="106">
        <v>2380000.0</v>
      </c>
      <c r="E2603" s="26">
        <v>0.0</v>
      </c>
    </row>
    <row r="2604">
      <c r="A2604" s="28" t="s">
        <v>2309</v>
      </c>
      <c r="B2604" s="107" t="s">
        <v>2429</v>
      </c>
      <c r="C2604" s="28">
        <v>24.0</v>
      </c>
      <c r="D2604" s="106">
        <v>45000.0</v>
      </c>
      <c r="E2604" s="26">
        <v>0.0</v>
      </c>
    </row>
    <row r="2605">
      <c r="A2605" s="28" t="s">
        <v>2309</v>
      </c>
      <c r="B2605" s="107" t="s">
        <v>2430</v>
      </c>
      <c r="C2605" s="28">
        <v>24.0</v>
      </c>
      <c r="D2605" s="106">
        <v>45000.0</v>
      </c>
      <c r="E2605" s="26">
        <v>0.0</v>
      </c>
    </row>
    <row r="2606">
      <c r="A2606" s="28" t="s">
        <v>2310</v>
      </c>
      <c r="B2606" s="107" t="s">
        <v>2433</v>
      </c>
      <c r="C2606" s="28">
        <v>1.0</v>
      </c>
      <c r="D2606" s="106">
        <v>1450000.0</v>
      </c>
      <c r="E2606" s="26">
        <v>0.0</v>
      </c>
    </row>
    <row r="2607">
      <c r="A2607" s="28" t="s">
        <v>2311</v>
      </c>
      <c r="B2607" s="107" t="s">
        <v>2433</v>
      </c>
      <c r="C2607" s="28">
        <v>1.0</v>
      </c>
      <c r="D2607" s="106">
        <v>1450000.0</v>
      </c>
      <c r="E2607" s="26">
        <v>0.0</v>
      </c>
    </row>
    <row r="2608">
      <c r="A2608" s="28" t="s">
        <v>2312</v>
      </c>
      <c r="B2608" s="107" t="s">
        <v>2431</v>
      </c>
      <c r="C2608" s="28">
        <v>1.0</v>
      </c>
      <c r="D2608" s="106">
        <v>2380000.0</v>
      </c>
      <c r="E2608" s="111">
        <v>238000.0</v>
      </c>
    </row>
    <row r="2609">
      <c r="A2609" s="28" t="s">
        <v>2312</v>
      </c>
      <c r="B2609" s="107" t="s">
        <v>2433</v>
      </c>
      <c r="C2609" s="28">
        <v>1.0</v>
      </c>
      <c r="D2609" s="106">
        <v>1450000.0</v>
      </c>
      <c r="E2609" s="111">
        <v>145000.0</v>
      </c>
    </row>
    <row r="2610">
      <c r="A2610" s="28" t="s">
        <v>2312</v>
      </c>
      <c r="B2610" s="107" t="s">
        <v>2442</v>
      </c>
      <c r="C2610" s="28">
        <v>50.0</v>
      </c>
      <c r="D2610" s="29">
        <v>0.0</v>
      </c>
      <c r="E2610" s="26">
        <v>0.0</v>
      </c>
      <c r="F2610" s="26" t="s">
        <v>2438</v>
      </c>
    </row>
    <row r="2611">
      <c r="A2611" s="28" t="s">
        <v>2312</v>
      </c>
      <c r="B2611" s="107" t="s">
        <v>2447</v>
      </c>
      <c r="C2611" s="28">
        <v>2.0</v>
      </c>
      <c r="D2611" s="29">
        <v>0.0</v>
      </c>
      <c r="E2611" s="26">
        <v>0.0</v>
      </c>
      <c r="F2611" s="26" t="s">
        <v>2438</v>
      </c>
    </row>
    <row r="2612">
      <c r="A2612" s="28" t="s">
        <v>2312</v>
      </c>
      <c r="B2612" s="107" t="s">
        <v>2457</v>
      </c>
      <c r="C2612" s="28">
        <v>4.0</v>
      </c>
      <c r="D2612" s="29">
        <v>0.0</v>
      </c>
      <c r="E2612" s="26">
        <v>0.0</v>
      </c>
      <c r="F2612" s="26" t="s">
        <v>2438</v>
      </c>
    </row>
    <row r="2613">
      <c r="A2613" s="28" t="s">
        <v>2313</v>
      </c>
      <c r="B2613" s="107" t="s">
        <v>2431</v>
      </c>
      <c r="C2613" s="28">
        <v>3.0</v>
      </c>
      <c r="D2613" s="106">
        <v>2380000.0</v>
      </c>
      <c r="E2613" s="26">
        <v>0.0</v>
      </c>
    </row>
    <row r="2614">
      <c r="A2614" s="28" t="s">
        <v>2314</v>
      </c>
      <c r="B2614" s="107" t="s">
        <v>2429</v>
      </c>
      <c r="C2614" s="28">
        <v>72.0</v>
      </c>
      <c r="D2614" s="106">
        <v>45000.0</v>
      </c>
      <c r="E2614" s="26">
        <v>0.0</v>
      </c>
    </row>
    <row r="2615">
      <c r="A2615" s="28" t="s">
        <v>2314</v>
      </c>
      <c r="B2615" s="107" t="s">
        <v>2442</v>
      </c>
      <c r="C2615" s="28">
        <v>50.0</v>
      </c>
      <c r="D2615" s="29">
        <v>0.0</v>
      </c>
      <c r="E2615" s="26">
        <v>0.0</v>
      </c>
      <c r="F2615" s="26" t="s">
        <v>2438</v>
      </c>
    </row>
    <row r="2616">
      <c r="A2616" s="28" t="s">
        <v>2315</v>
      </c>
      <c r="B2616" s="107" t="s">
        <v>2426</v>
      </c>
      <c r="C2616" s="28">
        <v>24.0</v>
      </c>
      <c r="D2616" s="106">
        <v>55000.0</v>
      </c>
      <c r="E2616" s="26">
        <v>0.0</v>
      </c>
    </row>
    <row r="2617">
      <c r="A2617" s="28" t="s">
        <v>2315</v>
      </c>
      <c r="B2617" s="107" t="s">
        <v>2429</v>
      </c>
      <c r="C2617" s="28">
        <v>24.0</v>
      </c>
      <c r="D2617" s="106">
        <v>45000.0</v>
      </c>
      <c r="E2617" s="26">
        <v>0.0</v>
      </c>
    </row>
    <row r="2618">
      <c r="A2618" s="28" t="s">
        <v>2316</v>
      </c>
      <c r="B2618" s="107" t="s">
        <v>2425</v>
      </c>
      <c r="C2618" s="28">
        <v>1.0</v>
      </c>
      <c r="D2618" s="106">
        <v>1875000.0</v>
      </c>
      <c r="E2618" s="26">
        <v>0.0</v>
      </c>
    </row>
    <row r="2619">
      <c r="A2619" s="28" t="s">
        <v>2317</v>
      </c>
      <c r="B2619" s="107" t="s">
        <v>2503</v>
      </c>
      <c r="C2619" s="28">
        <v>360.0</v>
      </c>
      <c r="D2619" s="29">
        <v>55000.0</v>
      </c>
      <c r="E2619" s="26">
        <v>0.0</v>
      </c>
    </row>
    <row r="2620">
      <c r="A2620" s="28" t="s">
        <v>2317</v>
      </c>
      <c r="B2620" s="107" t="s">
        <v>2520</v>
      </c>
      <c r="C2620" s="28">
        <v>5.0</v>
      </c>
      <c r="D2620" s="29">
        <v>1790000.0</v>
      </c>
      <c r="E2620" s="26">
        <v>0.0</v>
      </c>
    </row>
    <row r="2621">
      <c r="A2621" s="28" t="s">
        <v>2317</v>
      </c>
      <c r="B2621" s="107" t="s">
        <v>2517</v>
      </c>
      <c r="C2621" s="28">
        <v>15.0</v>
      </c>
      <c r="D2621" s="29">
        <v>2380000.0</v>
      </c>
      <c r="E2621" s="26">
        <v>0.0</v>
      </c>
    </row>
    <row r="2622">
      <c r="A2622" s="28" t="s">
        <v>2317</v>
      </c>
      <c r="B2622" s="107" t="s">
        <v>2516</v>
      </c>
      <c r="C2622" s="28">
        <v>8.0</v>
      </c>
      <c r="D2622" s="29">
        <v>1480000.0</v>
      </c>
      <c r="E2622" s="26">
        <v>0.0</v>
      </c>
    </row>
    <row r="2623">
      <c r="A2623" s="28" t="s">
        <v>2318</v>
      </c>
      <c r="B2623" s="107" t="s">
        <v>2478</v>
      </c>
      <c r="C2623" s="28">
        <v>12.0</v>
      </c>
      <c r="D2623" s="106">
        <v>45000.0</v>
      </c>
      <c r="E2623" s="26">
        <v>0.0</v>
      </c>
    </row>
    <row r="2624">
      <c r="A2624" s="28" t="s">
        <v>2318</v>
      </c>
      <c r="B2624" s="107" t="s">
        <v>2429</v>
      </c>
      <c r="C2624" s="28">
        <v>12.0</v>
      </c>
      <c r="D2624" s="106">
        <v>45000.0</v>
      </c>
      <c r="E2624" s="26">
        <v>0.0</v>
      </c>
    </row>
    <row r="2625">
      <c r="A2625" s="28" t="s">
        <v>2319</v>
      </c>
      <c r="B2625" s="107" t="s">
        <v>2426</v>
      </c>
      <c r="C2625" s="28">
        <v>24.0</v>
      </c>
      <c r="D2625" s="106">
        <v>55000.0</v>
      </c>
      <c r="E2625" s="111">
        <v>600000.0</v>
      </c>
    </row>
    <row r="2626">
      <c r="A2626" s="28" t="s">
        <v>2320</v>
      </c>
      <c r="B2626" s="107" t="s">
        <v>2433</v>
      </c>
      <c r="C2626" s="28">
        <v>1.0</v>
      </c>
      <c r="D2626" s="106">
        <v>1450000.0</v>
      </c>
      <c r="E2626" s="26">
        <v>0.0</v>
      </c>
    </row>
    <row r="2627">
      <c r="A2627" s="28" t="s">
        <v>2321</v>
      </c>
      <c r="B2627" s="107" t="s">
        <v>2476</v>
      </c>
      <c r="C2627" s="28">
        <v>120.0</v>
      </c>
      <c r="D2627" s="106">
        <v>60000.0</v>
      </c>
      <c r="E2627" s="26">
        <v>0.0</v>
      </c>
    </row>
    <row r="2628">
      <c r="A2628" s="28" t="s">
        <v>2321</v>
      </c>
      <c r="B2628" s="107" t="s">
        <v>2525</v>
      </c>
      <c r="C2628" s="28">
        <v>2.0</v>
      </c>
      <c r="D2628" s="29">
        <v>0.0</v>
      </c>
      <c r="E2628" s="26">
        <v>0.0</v>
      </c>
      <c r="F2628" s="26" t="s">
        <v>2438</v>
      </c>
    </row>
    <row r="2629">
      <c r="A2629" s="28" t="s">
        <v>2322</v>
      </c>
      <c r="B2629" s="107" t="s">
        <v>2425</v>
      </c>
      <c r="C2629" s="28">
        <v>1.0</v>
      </c>
      <c r="D2629" s="106">
        <v>1875000.0</v>
      </c>
      <c r="E2629" s="111">
        <v>281250.0</v>
      </c>
    </row>
    <row r="2630">
      <c r="A2630" s="28" t="s">
        <v>2323</v>
      </c>
      <c r="B2630" s="107" t="s">
        <v>2433</v>
      </c>
      <c r="C2630" s="28">
        <v>3.0</v>
      </c>
      <c r="D2630" s="106">
        <v>1450000.0</v>
      </c>
      <c r="E2630" s="111">
        <v>1087500.0</v>
      </c>
    </row>
    <row r="2631">
      <c r="A2631" s="28" t="s">
        <v>2323</v>
      </c>
      <c r="B2631" s="107" t="s">
        <v>2432</v>
      </c>
      <c r="C2631" s="28">
        <v>3.0</v>
      </c>
      <c r="D2631" s="106">
        <v>1480000.0</v>
      </c>
      <c r="E2631" s="111">
        <v>1110000.0</v>
      </c>
    </row>
    <row r="2632">
      <c r="A2632" s="28" t="s">
        <v>2323</v>
      </c>
      <c r="B2632" s="107" t="s">
        <v>2431</v>
      </c>
      <c r="C2632" s="28">
        <v>3.0</v>
      </c>
      <c r="D2632" s="106">
        <v>2380000.0</v>
      </c>
      <c r="E2632" s="111">
        <v>1785000.0</v>
      </c>
    </row>
    <row r="2633">
      <c r="A2633" s="28" t="s">
        <v>2323</v>
      </c>
      <c r="B2633" s="107" t="s">
        <v>2429</v>
      </c>
      <c r="C2633" s="28">
        <v>48.0</v>
      </c>
      <c r="D2633" s="106">
        <v>45000.0</v>
      </c>
      <c r="E2633" s="111">
        <v>540000.0</v>
      </c>
    </row>
    <row r="2634">
      <c r="A2634" s="28" t="s">
        <v>2323</v>
      </c>
      <c r="B2634" s="107" t="s">
        <v>2447</v>
      </c>
      <c r="C2634" s="28">
        <v>1.0</v>
      </c>
      <c r="D2634" s="29">
        <v>0.0</v>
      </c>
      <c r="E2634" s="26">
        <v>0.0</v>
      </c>
      <c r="F2634" s="26" t="s">
        <v>2438</v>
      </c>
    </row>
    <row r="2635">
      <c r="A2635" s="28" t="s">
        <v>2324</v>
      </c>
      <c r="B2635" s="107" t="s">
        <v>2429</v>
      </c>
      <c r="C2635" s="28">
        <v>24.0</v>
      </c>
      <c r="D2635" s="106">
        <v>45000.0</v>
      </c>
      <c r="E2635" s="26">
        <v>0.0</v>
      </c>
    </row>
    <row r="2636">
      <c r="A2636" s="28" t="s">
        <v>2325</v>
      </c>
      <c r="B2636" s="107" t="s">
        <v>2433</v>
      </c>
      <c r="C2636" s="28">
        <v>1.0</v>
      </c>
      <c r="D2636" s="106">
        <v>1450000.0</v>
      </c>
      <c r="E2636" s="26">
        <v>0.0</v>
      </c>
    </row>
    <row r="2637">
      <c r="A2637" s="28" t="s">
        <v>2326</v>
      </c>
      <c r="B2637" s="107" t="s">
        <v>2433</v>
      </c>
      <c r="C2637" s="28">
        <v>1.0</v>
      </c>
      <c r="D2637" s="106">
        <v>1450000.0</v>
      </c>
      <c r="E2637" s="26">
        <v>0.0</v>
      </c>
    </row>
    <row r="2638">
      <c r="A2638" s="28" t="s">
        <v>2327</v>
      </c>
      <c r="B2638" s="107" t="s">
        <v>2431</v>
      </c>
      <c r="C2638" s="28">
        <v>1.0</v>
      </c>
      <c r="D2638" s="106">
        <v>2380000.0</v>
      </c>
      <c r="E2638" s="26">
        <v>0.0</v>
      </c>
    </row>
    <row r="2639">
      <c r="A2639" s="28" t="s">
        <v>2328</v>
      </c>
      <c r="B2639" s="107" t="s">
        <v>2430</v>
      </c>
      <c r="C2639" s="28">
        <v>8.0</v>
      </c>
      <c r="D2639" s="106">
        <v>45000.0</v>
      </c>
      <c r="E2639" s="111">
        <v>180000.0</v>
      </c>
    </row>
    <row r="2640">
      <c r="A2640" s="28" t="s">
        <v>2328</v>
      </c>
      <c r="B2640" s="107" t="s">
        <v>2478</v>
      </c>
      <c r="C2640" s="28">
        <v>8.0</v>
      </c>
      <c r="D2640" s="106">
        <v>45000.0</v>
      </c>
      <c r="E2640" s="111">
        <v>180000.0</v>
      </c>
    </row>
    <row r="2641">
      <c r="A2641" s="28" t="s">
        <v>2328</v>
      </c>
      <c r="B2641" s="107" t="s">
        <v>2426</v>
      </c>
      <c r="C2641" s="28">
        <v>8.0</v>
      </c>
      <c r="D2641" s="106">
        <v>55000.0</v>
      </c>
      <c r="E2641" s="111">
        <v>220000.0</v>
      </c>
    </row>
    <row r="2642">
      <c r="A2642" s="28" t="s">
        <v>2329</v>
      </c>
      <c r="B2642" s="107" t="s">
        <v>2425</v>
      </c>
      <c r="C2642" s="28">
        <v>2.0</v>
      </c>
      <c r="D2642" s="106">
        <v>1875000.0</v>
      </c>
      <c r="E2642" s="26">
        <v>0.0</v>
      </c>
    </row>
    <row r="2643">
      <c r="A2643" s="28" t="s">
        <v>2329</v>
      </c>
      <c r="B2643" s="107" t="s">
        <v>2429</v>
      </c>
      <c r="C2643" s="28">
        <v>24.0</v>
      </c>
      <c r="D2643" s="106">
        <v>45000.0</v>
      </c>
      <c r="E2643" s="26">
        <v>0.0</v>
      </c>
    </row>
    <row r="2644">
      <c r="A2644" s="28" t="s">
        <v>2329</v>
      </c>
      <c r="B2644" s="107" t="s">
        <v>2441</v>
      </c>
      <c r="C2644" s="28">
        <v>5.0</v>
      </c>
      <c r="D2644" s="106">
        <v>32000.0</v>
      </c>
      <c r="E2644" s="26">
        <v>0.0</v>
      </c>
    </row>
    <row r="2645">
      <c r="A2645" s="28" t="s">
        <v>2329</v>
      </c>
      <c r="B2645" s="107" t="s">
        <v>2442</v>
      </c>
      <c r="C2645" s="28">
        <v>50.0</v>
      </c>
      <c r="D2645" s="29">
        <v>0.0</v>
      </c>
      <c r="E2645" s="26">
        <v>0.0</v>
      </c>
      <c r="F2645" s="26" t="s">
        <v>2438</v>
      </c>
    </row>
    <row r="2646">
      <c r="A2646" s="28" t="s">
        <v>2330</v>
      </c>
      <c r="B2646" s="107" t="s">
        <v>2432</v>
      </c>
      <c r="C2646" s="28">
        <v>1.0</v>
      </c>
      <c r="D2646" s="106">
        <v>1480000.0</v>
      </c>
      <c r="E2646" s="111">
        <v>325600.0</v>
      </c>
    </row>
    <row r="2647">
      <c r="A2647" s="28" t="s">
        <v>2330</v>
      </c>
      <c r="B2647" s="107" t="s">
        <v>2495</v>
      </c>
      <c r="C2647" s="28">
        <v>1.0</v>
      </c>
      <c r="D2647" s="106">
        <v>1790000.0</v>
      </c>
      <c r="E2647" s="111">
        <v>393800.0</v>
      </c>
    </row>
    <row r="2648">
      <c r="A2648" s="28" t="s">
        <v>2330</v>
      </c>
      <c r="B2648" s="107" t="s">
        <v>2425</v>
      </c>
      <c r="C2648" s="28">
        <v>1.0</v>
      </c>
      <c r="D2648" s="106">
        <v>1875000.0</v>
      </c>
      <c r="E2648" s="111">
        <v>412500.0</v>
      </c>
    </row>
    <row r="2649">
      <c r="A2649" s="28" t="s">
        <v>2330</v>
      </c>
      <c r="B2649" s="107" t="s">
        <v>2433</v>
      </c>
      <c r="C2649" s="28">
        <v>1.0</v>
      </c>
      <c r="D2649" s="106">
        <v>1450000.0</v>
      </c>
      <c r="E2649" s="111">
        <v>319000.0</v>
      </c>
    </row>
    <row r="2650">
      <c r="A2650" s="28" t="s">
        <v>2331</v>
      </c>
      <c r="B2650" s="107" t="s">
        <v>2429</v>
      </c>
      <c r="C2650" s="28">
        <v>48.0</v>
      </c>
      <c r="D2650" s="106">
        <v>45000.0</v>
      </c>
      <c r="E2650" s="26">
        <v>0.0</v>
      </c>
    </row>
    <row r="2651">
      <c r="A2651" s="28" t="s">
        <v>2332</v>
      </c>
      <c r="B2651" s="107" t="s">
        <v>2433</v>
      </c>
      <c r="C2651" s="28">
        <v>1.0</v>
      </c>
      <c r="D2651" s="106">
        <v>1450000.0</v>
      </c>
      <c r="E2651" s="26">
        <v>0.0</v>
      </c>
    </row>
    <row r="2652">
      <c r="A2652" s="28" t="s">
        <v>2333</v>
      </c>
      <c r="B2652" s="107" t="s">
        <v>2494</v>
      </c>
      <c r="C2652" s="28">
        <v>1.0</v>
      </c>
      <c r="D2652" s="106">
        <v>2500000.0</v>
      </c>
      <c r="E2652" s="111">
        <v>220000.0</v>
      </c>
    </row>
    <row r="2653">
      <c r="A2653" s="28" t="s">
        <v>2334</v>
      </c>
      <c r="B2653" s="107" t="s">
        <v>2429</v>
      </c>
      <c r="C2653" s="28">
        <v>48.0</v>
      </c>
      <c r="D2653" s="106">
        <v>45000.0</v>
      </c>
      <c r="E2653" s="26">
        <v>0.0</v>
      </c>
    </row>
    <row r="2654">
      <c r="A2654" s="28" t="s">
        <v>2335</v>
      </c>
      <c r="B2654" s="107" t="s">
        <v>2431</v>
      </c>
      <c r="C2654" s="28">
        <v>1.0</v>
      </c>
      <c r="D2654" s="106">
        <v>2380000.0</v>
      </c>
      <c r="E2654" s="26">
        <v>0.0</v>
      </c>
    </row>
    <row r="2655">
      <c r="A2655" s="28" t="s">
        <v>2335</v>
      </c>
      <c r="B2655" s="107" t="s">
        <v>2494</v>
      </c>
      <c r="C2655" s="28">
        <v>1.0</v>
      </c>
      <c r="D2655" s="106">
        <v>2500000.0</v>
      </c>
      <c r="E2655" s="26">
        <v>0.0</v>
      </c>
    </row>
    <row r="2656">
      <c r="A2656" s="28" t="s">
        <v>2335</v>
      </c>
      <c r="B2656" s="107" t="s">
        <v>2437</v>
      </c>
      <c r="C2656" s="28">
        <v>12.0</v>
      </c>
      <c r="D2656" s="29">
        <v>0.0</v>
      </c>
      <c r="E2656" s="26">
        <v>0.0</v>
      </c>
      <c r="F2656" s="26" t="s">
        <v>2438</v>
      </c>
    </row>
    <row r="2657">
      <c r="A2657" s="28" t="s">
        <v>2336</v>
      </c>
      <c r="B2657" s="107" t="s">
        <v>2426</v>
      </c>
      <c r="C2657" s="28">
        <v>144.0</v>
      </c>
      <c r="D2657" s="106">
        <v>55000.0</v>
      </c>
      <c r="E2657" s="111">
        <v>792000.0</v>
      </c>
    </row>
    <row r="2658">
      <c r="A2658" s="28" t="s">
        <v>2336</v>
      </c>
      <c r="B2658" s="107" t="s">
        <v>2429</v>
      </c>
      <c r="C2658" s="28">
        <v>96.0</v>
      </c>
      <c r="D2658" s="106">
        <v>45000.0</v>
      </c>
      <c r="E2658" s="111">
        <v>432000.0</v>
      </c>
    </row>
    <row r="2659">
      <c r="A2659" s="28" t="s">
        <v>2336</v>
      </c>
      <c r="B2659" s="107" t="s">
        <v>2442</v>
      </c>
      <c r="C2659" s="28">
        <v>50.0</v>
      </c>
      <c r="D2659" s="29">
        <v>0.0</v>
      </c>
      <c r="E2659" s="26">
        <v>0.0</v>
      </c>
      <c r="F2659" s="26" t="s">
        <v>2438</v>
      </c>
    </row>
    <row r="2660">
      <c r="A2660" s="28" t="s">
        <v>2336</v>
      </c>
      <c r="B2660" s="107" t="s">
        <v>2437</v>
      </c>
      <c r="C2660" s="28">
        <v>12.0</v>
      </c>
      <c r="D2660" s="29">
        <v>0.0</v>
      </c>
      <c r="E2660" s="26">
        <v>0.0</v>
      </c>
      <c r="F2660" s="26" t="s">
        <v>2438</v>
      </c>
    </row>
    <row r="2661">
      <c r="A2661" s="28" t="s">
        <v>2337</v>
      </c>
      <c r="B2661" s="107" t="s">
        <v>2513</v>
      </c>
      <c r="C2661" s="28">
        <v>120.0</v>
      </c>
      <c r="D2661" s="29">
        <v>0.0</v>
      </c>
      <c r="E2661" s="26">
        <v>0.0</v>
      </c>
      <c r="F2661" s="26" t="s">
        <v>2436</v>
      </c>
    </row>
    <row r="2662">
      <c r="A2662" s="28" t="s">
        <v>2338</v>
      </c>
      <c r="B2662" s="107" t="s">
        <v>2431</v>
      </c>
      <c r="C2662" s="28">
        <v>1.0</v>
      </c>
      <c r="D2662" s="106">
        <v>2380000.0</v>
      </c>
      <c r="E2662" s="26">
        <v>0.0</v>
      </c>
    </row>
    <row r="2663">
      <c r="A2663" s="28" t="s">
        <v>2339</v>
      </c>
      <c r="B2663" s="107" t="s">
        <v>2426</v>
      </c>
      <c r="C2663" s="28">
        <v>48.0</v>
      </c>
      <c r="D2663" s="106">
        <v>55000.0</v>
      </c>
      <c r="E2663" s="26">
        <v>0.0</v>
      </c>
    </row>
    <row r="2664">
      <c r="A2664" s="28" t="s">
        <v>2339</v>
      </c>
      <c r="B2664" s="107" t="s">
        <v>2429</v>
      </c>
      <c r="C2664" s="28">
        <v>72.0</v>
      </c>
      <c r="D2664" s="106">
        <v>45000.0</v>
      </c>
      <c r="E2664" s="26">
        <v>0.0</v>
      </c>
    </row>
    <row r="2665">
      <c r="A2665" s="28" t="s">
        <v>2340</v>
      </c>
      <c r="B2665" s="107" t="s">
        <v>2433</v>
      </c>
      <c r="C2665" s="28">
        <v>2.0</v>
      </c>
      <c r="D2665" s="106">
        <v>1450000.0</v>
      </c>
      <c r="E2665" s="26">
        <v>0.0</v>
      </c>
    </row>
    <row r="2666">
      <c r="A2666" s="28" t="s">
        <v>2340</v>
      </c>
      <c r="B2666" s="107" t="s">
        <v>2425</v>
      </c>
      <c r="C2666" s="28">
        <v>1.0</v>
      </c>
      <c r="D2666" s="106">
        <v>1875000.0</v>
      </c>
      <c r="E2666" s="26">
        <v>0.0</v>
      </c>
    </row>
    <row r="2667">
      <c r="A2667" s="28" t="s">
        <v>2341</v>
      </c>
      <c r="B2667" s="107" t="s">
        <v>2429</v>
      </c>
      <c r="C2667" s="28">
        <v>24.0</v>
      </c>
      <c r="D2667" s="106">
        <v>45000.0</v>
      </c>
      <c r="E2667" s="111">
        <v>810000.0</v>
      </c>
    </row>
    <row r="2668">
      <c r="A2668" s="28" t="s">
        <v>2341</v>
      </c>
      <c r="B2668" s="107" t="s">
        <v>2426</v>
      </c>
      <c r="C2668" s="28">
        <v>24.0</v>
      </c>
      <c r="D2668" s="106">
        <v>55000.0</v>
      </c>
      <c r="E2668" s="111">
        <v>990000.0</v>
      </c>
    </row>
    <row r="2669">
      <c r="A2669" s="28" t="s">
        <v>2342</v>
      </c>
      <c r="B2669" s="107" t="s">
        <v>2429</v>
      </c>
      <c r="C2669" s="28">
        <v>48.0</v>
      </c>
      <c r="D2669" s="106">
        <v>45000.0</v>
      </c>
      <c r="E2669" s="111">
        <v>1080000.0</v>
      </c>
    </row>
    <row r="2670">
      <c r="A2670" s="28" t="s">
        <v>2342</v>
      </c>
      <c r="B2670" s="107" t="s">
        <v>2478</v>
      </c>
      <c r="C2670" s="28">
        <v>6.0</v>
      </c>
      <c r="D2670" s="106">
        <v>45000.0</v>
      </c>
      <c r="E2670" s="111">
        <v>135000.0</v>
      </c>
    </row>
    <row r="2671">
      <c r="A2671" s="28" t="s">
        <v>2342</v>
      </c>
      <c r="B2671" s="107" t="s">
        <v>2428</v>
      </c>
      <c r="C2671" s="28">
        <v>6.0</v>
      </c>
      <c r="D2671" s="106">
        <v>45000.0</v>
      </c>
      <c r="E2671" s="111">
        <v>135000.0</v>
      </c>
    </row>
    <row r="2672">
      <c r="A2672" s="28" t="s">
        <v>2342</v>
      </c>
      <c r="B2672" s="107" t="s">
        <v>2430</v>
      </c>
      <c r="C2672" s="28">
        <v>6.0</v>
      </c>
      <c r="D2672" s="106">
        <v>45000.0</v>
      </c>
      <c r="E2672" s="111">
        <v>135000.0</v>
      </c>
    </row>
    <row r="2673">
      <c r="A2673" s="28" t="s">
        <v>2342</v>
      </c>
      <c r="B2673" s="107" t="s">
        <v>2426</v>
      </c>
      <c r="C2673" s="28">
        <v>6.0</v>
      </c>
      <c r="D2673" s="106">
        <v>55000.0</v>
      </c>
      <c r="E2673" s="111">
        <v>165000.0</v>
      </c>
    </row>
    <row r="2674">
      <c r="A2674" s="28" t="s">
        <v>2344</v>
      </c>
      <c r="B2674" s="107" t="s">
        <v>2478</v>
      </c>
      <c r="C2674" s="28">
        <v>18.0</v>
      </c>
      <c r="D2674" s="106">
        <v>45000.0</v>
      </c>
      <c r="E2674" s="111">
        <v>405000.0</v>
      </c>
    </row>
    <row r="2675">
      <c r="A2675" s="28" t="s">
        <v>2344</v>
      </c>
      <c r="B2675" s="107" t="s">
        <v>2430</v>
      </c>
      <c r="C2675" s="28">
        <v>18.0</v>
      </c>
      <c r="D2675" s="106">
        <v>45000.0</v>
      </c>
      <c r="E2675" s="111">
        <v>405000.0</v>
      </c>
    </row>
    <row r="2676">
      <c r="A2676" s="28" t="s">
        <v>2344</v>
      </c>
      <c r="B2676" s="107" t="s">
        <v>2426</v>
      </c>
      <c r="C2676" s="28">
        <v>12.0</v>
      </c>
      <c r="D2676" s="106">
        <v>55000.0</v>
      </c>
      <c r="E2676" s="111">
        <v>330000.0</v>
      </c>
    </row>
    <row r="2677">
      <c r="A2677" s="28" t="s">
        <v>2344</v>
      </c>
      <c r="B2677" s="107" t="s">
        <v>2428</v>
      </c>
      <c r="C2677" s="28">
        <v>12.0</v>
      </c>
      <c r="D2677" s="106">
        <v>45000.0</v>
      </c>
      <c r="E2677" s="111">
        <v>270000.0</v>
      </c>
    </row>
    <row r="2678">
      <c r="A2678" s="28" t="s">
        <v>2345</v>
      </c>
      <c r="B2678" s="107" t="s">
        <v>2432</v>
      </c>
      <c r="C2678" s="28">
        <v>1.0</v>
      </c>
      <c r="D2678" s="106">
        <v>1480000.0</v>
      </c>
      <c r="E2678" s="111">
        <v>325600.0</v>
      </c>
    </row>
    <row r="2679">
      <c r="A2679" s="28" t="s">
        <v>2346</v>
      </c>
      <c r="B2679" s="107" t="s">
        <v>2476</v>
      </c>
      <c r="C2679" s="28">
        <v>120.0</v>
      </c>
      <c r="D2679" s="106">
        <v>60000.0</v>
      </c>
      <c r="E2679" s="26">
        <v>0.0</v>
      </c>
    </row>
    <row r="2680">
      <c r="A2680" s="28" t="s">
        <v>2346</v>
      </c>
      <c r="B2680" s="107" t="s">
        <v>2525</v>
      </c>
      <c r="C2680" s="28">
        <v>5.0</v>
      </c>
      <c r="D2680" s="29">
        <v>0.0</v>
      </c>
      <c r="E2680" s="26">
        <v>0.0</v>
      </c>
      <c r="F2680" s="26" t="s">
        <v>2438</v>
      </c>
    </row>
    <row r="2681">
      <c r="A2681" s="28" t="s">
        <v>2346</v>
      </c>
      <c r="B2681" s="107" t="s">
        <v>2442</v>
      </c>
      <c r="C2681" s="28">
        <v>50.0</v>
      </c>
      <c r="D2681" s="29">
        <v>0.0</v>
      </c>
      <c r="E2681" s="26">
        <v>0.0</v>
      </c>
      <c r="F2681" s="26" t="s">
        <v>2438</v>
      </c>
    </row>
    <row r="2682">
      <c r="A2682" s="28" t="s">
        <v>2347</v>
      </c>
      <c r="B2682" s="107" t="s">
        <v>2433</v>
      </c>
      <c r="C2682" s="28">
        <v>7.0</v>
      </c>
      <c r="D2682" s="106">
        <v>1450000.0</v>
      </c>
      <c r="E2682" s="111">
        <v>2791250.0</v>
      </c>
    </row>
    <row r="2683">
      <c r="A2683" s="28" t="s">
        <v>2347</v>
      </c>
      <c r="B2683" s="107" t="s">
        <v>2515</v>
      </c>
      <c r="C2683" s="28">
        <v>1.0</v>
      </c>
      <c r="D2683" s="29">
        <v>0.0</v>
      </c>
      <c r="E2683" s="26">
        <v>0.0</v>
      </c>
      <c r="F2683" s="26" t="s">
        <v>2436</v>
      </c>
    </row>
    <row r="2684">
      <c r="A2684" s="28" t="s">
        <v>2347</v>
      </c>
      <c r="B2684" s="107" t="s">
        <v>2431</v>
      </c>
      <c r="C2684" s="28">
        <v>2.0</v>
      </c>
      <c r="D2684" s="106">
        <v>2380000.0</v>
      </c>
      <c r="E2684" s="111">
        <v>1309000.0</v>
      </c>
    </row>
    <row r="2685">
      <c r="A2685" s="28" t="s">
        <v>2347</v>
      </c>
      <c r="B2685" s="107" t="s">
        <v>2478</v>
      </c>
      <c r="C2685" s="28">
        <v>48.0</v>
      </c>
      <c r="D2685" s="106">
        <v>45000.0</v>
      </c>
      <c r="E2685" s="111">
        <v>594000.0</v>
      </c>
    </row>
    <row r="2686">
      <c r="A2686" s="28" t="s">
        <v>2348</v>
      </c>
      <c r="B2686" s="107" t="s">
        <v>2433</v>
      </c>
      <c r="C2686" s="28">
        <v>1.0</v>
      </c>
      <c r="D2686" s="106">
        <v>1450000.0</v>
      </c>
      <c r="E2686" s="26">
        <v>0.0</v>
      </c>
    </row>
    <row r="2687">
      <c r="A2687" s="28" t="s">
        <v>2349</v>
      </c>
      <c r="B2687" s="107" t="s">
        <v>2433</v>
      </c>
      <c r="C2687" s="28">
        <v>1.0</v>
      </c>
      <c r="D2687" s="106">
        <v>1450000.0</v>
      </c>
      <c r="E2687" s="26">
        <v>0.0</v>
      </c>
    </row>
    <row r="2688">
      <c r="A2688" s="28" t="s">
        <v>2350</v>
      </c>
      <c r="B2688" s="107" t="s">
        <v>2433</v>
      </c>
      <c r="C2688" s="28">
        <v>1.0</v>
      </c>
      <c r="D2688" s="106">
        <v>1450000.0</v>
      </c>
      <c r="E2688" s="26">
        <v>0.0</v>
      </c>
    </row>
    <row r="2689">
      <c r="A2689" s="28" t="s">
        <v>2351</v>
      </c>
      <c r="B2689" s="107" t="s">
        <v>2429</v>
      </c>
      <c r="C2689" s="28">
        <v>48.0</v>
      </c>
      <c r="D2689" s="106">
        <v>45000.0</v>
      </c>
      <c r="E2689" s="26">
        <v>0.0</v>
      </c>
    </row>
    <row r="2690">
      <c r="A2690" s="28" t="s">
        <v>2351</v>
      </c>
      <c r="B2690" s="107" t="s">
        <v>2426</v>
      </c>
      <c r="C2690" s="28">
        <v>8.0</v>
      </c>
      <c r="D2690" s="106">
        <v>55000.0</v>
      </c>
      <c r="E2690" s="26">
        <v>0.0</v>
      </c>
    </row>
    <row r="2691">
      <c r="A2691" s="28" t="s">
        <v>2351</v>
      </c>
      <c r="B2691" s="107" t="s">
        <v>2430</v>
      </c>
      <c r="C2691" s="28">
        <v>8.0</v>
      </c>
      <c r="D2691" s="106">
        <v>45000.0</v>
      </c>
      <c r="E2691" s="26">
        <v>0.0</v>
      </c>
    </row>
    <row r="2692">
      <c r="A2692" s="28" t="s">
        <v>2351</v>
      </c>
      <c r="B2692" s="107" t="s">
        <v>2428</v>
      </c>
      <c r="C2692" s="28">
        <v>8.0</v>
      </c>
      <c r="D2692" s="106">
        <v>45000.0</v>
      </c>
      <c r="E2692" s="26">
        <v>0.0</v>
      </c>
    </row>
    <row r="2693">
      <c r="A2693" s="28" t="s">
        <v>2352</v>
      </c>
      <c r="B2693" s="107" t="s">
        <v>2425</v>
      </c>
      <c r="C2693" s="28">
        <v>1.0</v>
      </c>
      <c r="D2693" s="106">
        <v>1875000.0</v>
      </c>
      <c r="E2693" s="26">
        <v>0.0</v>
      </c>
    </row>
    <row r="2694">
      <c r="A2694" s="28" t="s">
        <v>2354</v>
      </c>
      <c r="B2694" s="107" t="s">
        <v>2433</v>
      </c>
      <c r="C2694" s="28">
        <v>1.0</v>
      </c>
      <c r="D2694" s="106">
        <v>1450000.0</v>
      </c>
      <c r="E2694" s="111">
        <v>319000.0</v>
      </c>
    </row>
    <row r="2695">
      <c r="A2695" s="28" t="s">
        <v>2355</v>
      </c>
      <c r="B2695" s="107" t="s">
        <v>2433</v>
      </c>
      <c r="C2695" s="28">
        <v>1.0</v>
      </c>
      <c r="D2695" s="106">
        <v>1450000.0</v>
      </c>
      <c r="E2695" s="26">
        <v>0.0</v>
      </c>
    </row>
    <row r="2696">
      <c r="A2696" s="28" t="s">
        <v>2356</v>
      </c>
      <c r="B2696" s="107" t="s">
        <v>2429</v>
      </c>
      <c r="C2696" s="28">
        <v>360.0</v>
      </c>
      <c r="D2696" s="106">
        <v>45000.0</v>
      </c>
      <c r="E2696" s="26">
        <v>0.0</v>
      </c>
    </row>
    <row r="2697">
      <c r="A2697" s="28" t="s">
        <v>2356</v>
      </c>
      <c r="B2697" s="107" t="s">
        <v>2426</v>
      </c>
      <c r="C2697" s="28">
        <v>120.0</v>
      </c>
      <c r="D2697" s="106">
        <v>55000.0</v>
      </c>
      <c r="E2697" s="26">
        <v>0.0</v>
      </c>
    </row>
    <row r="2698">
      <c r="A2698" s="28" t="s">
        <v>2357</v>
      </c>
      <c r="B2698" s="107" t="s">
        <v>2429</v>
      </c>
      <c r="C2698" s="28">
        <v>24.0</v>
      </c>
      <c r="D2698" s="106">
        <v>45000.0</v>
      </c>
      <c r="E2698" s="26">
        <v>0.0</v>
      </c>
    </row>
    <row r="2699">
      <c r="A2699" s="28" t="s">
        <v>2357</v>
      </c>
      <c r="B2699" s="107" t="s">
        <v>2478</v>
      </c>
      <c r="C2699" s="28">
        <v>24.0</v>
      </c>
      <c r="D2699" s="106">
        <v>45000.0</v>
      </c>
      <c r="E2699" s="26">
        <v>0.0</v>
      </c>
    </row>
    <row r="2700">
      <c r="A2700" s="28" t="s">
        <v>2357</v>
      </c>
      <c r="B2700" s="107" t="s">
        <v>2426</v>
      </c>
      <c r="C2700" s="28">
        <v>24.0</v>
      </c>
      <c r="D2700" s="106">
        <v>55000.0</v>
      </c>
      <c r="E2700" s="26">
        <v>0.0</v>
      </c>
    </row>
    <row r="2701">
      <c r="A2701" s="28" t="s">
        <v>2357</v>
      </c>
      <c r="B2701" s="107" t="s">
        <v>2442</v>
      </c>
      <c r="C2701" s="28">
        <v>50.0</v>
      </c>
      <c r="D2701" s="29">
        <v>0.0</v>
      </c>
      <c r="E2701" s="26">
        <v>0.0</v>
      </c>
      <c r="F2701" s="26" t="s">
        <v>2438</v>
      </c>
    </row>
    <row r="2702">
      <c r="A2702" s="28" t="s">
        <v>2358</v>
      </c>
      <c r="B2702" s="107" t="s">
        <v>2425</v>
      </c>
      <c r="C2702" s="28">
        <v>1.0</v>
      </c>
      <c r="D2702" s="106">
        <v>1875000.0</v>
      </c>
      <c r="E2702" s="111">
        <v>412500.0</v>
      </c>
    </row>
    <row r="2703">
      <c r="A2703" s="28" t="s">
        <v>2358</v>
      </c>
      <c r="B2703" s="107" t="s">
        <v>2432</v>
      </c>
      <c r="C2703" s="28">
        <v>1.0</v>
      </c>
      <c r="D2703" s="106">
        <v>1480000.0</v>
      </c>
      <c r="E2703" s="111">
        <v>325600.0</v>
      </c>
    </row>
    <row r="2704">
      <c r="A2704" s="28" t="s">
        <v>2359</v>
      </c>
      <c r="B2704" s="107" t="s">
        <v>2429</v>
      </c>
      <c r="C2704" s="28">
        <v>24.0</v>
      </c>
      <c r="D2704" s="106">
        <v>45000.0</v>
      </c>
      <c r="E2704" s="26">
        <v>0.0</v>
      </c>
    </row>
    <row r="2705">
      <c r="A2705" s="28" t="s">
        <v>2360</v>
      </c>
      <c r="B2705" s="107" t="s">
        <v>2520</v>
      </c>
      <c r="C2705" s="28">
        <v>5.0</v>
      </c>
      <c r="D2705" s="29">
        <v>1790000.0</v>
      </c>
      <c r="E2705" s="26">
        <v>0.0</v>
      </c>
    </row>
    <row r="2706">
      <c r="A2706" s="28" t="s">
        <v>2360</v>
      </c>
      <c r="B2706" s="107" t="s">
        <v>2517</v>
      </c>
      <c r="C2706" s="28">
        <v>5.0</v>
      </c>
      <c r="D2706" s="29">
        <v>2380000.0</v>
      </c>
      <c r="E2706" s="26">
        <v>0.0</v>
      </c>
    </row>
    <row r="2707">
      <c r="A2707" s="28" t="s">
        <v>2360</v>
      </c>
      <c r="B2707" s="107" t="s">
        <v>2511</v>
      </c>
      <c r="C2707" s="28">
        <v>120.0</v>
      </c>
      <c r="D2707" s="29">
        <v>45000.0</v>
      </c>
      <c r="E2707" s="26">
        <v>0.0</v>
      </c>
    </row>
    <row r="2708">
      <c r="A2708" s="28" t="s">
        <v>2360</v>
      </c>
      <c r="B2708" s="107" t="s">
        <v>2503</v>
      </c>
      <c r="C2708" s="28">
        <v>240.0</v>
      </c>
      <c r="D2708" s="29">
        <v>2380000.0</v>
      </c>
      <c r="E2708" s="26">
        <v>0.0</v>
      </c>
    </row>
    <row r="2709">
      <c r="A2709" s="28" t="s">
        <v>2360</v>
      </c>
      <c r="B2709" s="107" t="s">
        <v>2513</v>
      </c>
      <c r="C2709" s="28">
        <v>96.0</v>
      </c>
      <c r="D2709" s="29">
        <v>2500000.0</v>
      </c>
      <c r="E2709" s="26">
        <v>0.0</v>
      </c>
    </row>
    <row r="2710">
      <c r="A2710" s="28" t="s">
        <v>2360</v>
      </c>
      <c r="B2710" s="107" t="s">
        <v>2515</v>
      </c>
      <c r="C2710" s="28">
        <v>6.0</v>
      </c>
      <c r="D2710" s="29">
        <v>1450000.0</v>
      </c>
      <c r="E2710" s="26">
        <v>0.0</v>
      </c>
    </row>
    <row r="2711">
      <c r="A2711" s="28" t="s">
        <v>2361</v>
      </c>
      <c r="B2711" s="107" t="s">
        <v>2426</v>
      </c>
      <c r="C2711" s="28">
        <v>24.0</v>
      </c>
      <c r="D2711" s="106">
        <v>55000.0</v>
      </c>
      <c r="E2711" s="26">
        <v>0.0</v>
      </c>
    </row>
    <row r="2712">
      <c r="A2712" s="28" t="s">
        <v>2361</v>
      </c>
      <c r="B2712" s="107" t="s">
        <v>2429</v>
      </c>
      <c r="C2712" s="28">
        <v>24.0</v>
      </c>
      <c r="D2712" s="106">
        <v>45000.0</v>
      </c>
      <c r="E2712" s="26">
        <v>0.0</v>
      </c>
    </row>
    <row r="2713">
      <c r="A2713" s="28" t="s">
        <v>2362</v>
      </c>
      <c r="B2713" s="107" t="s">
        <v>2425</v>
      </c>
      <c r="C2713" s="28">
        <v>1.0</v>
      </c>
      <c r="D2713" s="106">
        <v>1875000.0</v>
      </c>
      <c r="E2713" s="26">
        <v>0.0</v>
      </c>
    </row>
    <row r="2714">
      <c r="A2714" s="28" t="s">
        <v>2362</v>
      </c>
      <c r="B2714" s="107" t="s">
        <v>2433</v>
      </c>
      <c r="C2714" s="28">
        <v>1.0</v>
      </c>
      <c r="D2714" s="106">
        <v>1450000.0</v>
      </c>
      <c r="E2714" s="26">
        <v>0.0</v>
      </c>
    </row>
    <row r="2715">
      <c r="A2715" s="28" t="s">
        <v>2363</v>
      </c>
      <c r="B2715" s="107" t="s">
        <v>2433</v>
      </c>
      <c r="C2715" s="28">
        <v>1.0</v>
      </c>
      <c r="D2715" s="106">
        <v>1450000.0</v>
      </c>
      <c r="E2715" s="26">
        <v>0.0</v>
      </c>
    </row>
    <row r="2716">
      <c r="A2716" s="28" t="s">
        <v>2363</v>
      </c>
      <c r="B2716" s="107" t="s">
        <v>2425</v>
      </c>
      <c r="C2716" s="28">
        <v>1.0</v>
      </c>
      <c r="D2716" s="106">
        <v>1875000.0</v>
      </c>
      <c r="E2716" s="26">
        <v>0.0</v>
      </c>
    </row>
    <row r="2717">
      <c r="A2717" s="28" t="s">
        <v>2364</v>
      </c>
      <c r="B2717" s="107" t="s">
        <v>2429</v>
      </c>
      <c r="C2717" s="28">
        <v>12.0</v>
      </c>
      <c r="D2717" s="106">
        <v>45000.0</v>
      </c>
      <c r="E2717" s="26">
        <v>0.0</v>
      </c>
    </row>
    <row r="2718">
      <c r="A2718" s="28" t="s">
        <v>2365</v>
      </c>
      <c r="B2718" s="107" t="s">
        <v>2425</v>
      </c>
      <c r="C2718" s="28">
        <v>1.0</v>
      </c>
      <c r="D2718" s="106">
        <v>1875000.0</v>
      </c>
      <c r="E2718" s="26">
        <v>0.0</v>
      </c>
    </row>
    <row r="2719">
      <c r="A2719" s="28" t="s">
        <v>2366</v>
      </c>
      <c r="B2719" s="107" t="s">
        <v>2433</v>
      </c>
      <c r="C2719" s="28">
        <v>1.0</v>
      </c>
      <c r="D2719" s="106">
        <v>1450000.0</v>
      </c>
      <c r="E2719" s="111">
        <v>319000.0</v>
      </c>
    </row>
    <row r="2720">
      <c r="A2720" s="28" t="s">
        <v>2366</v>
      </c>
      <c r="B2720" s="107" t="s">
        <v>2495</v>
      </c>
      <c r="C2720" s="28">
        <v>1.0</v>
      </c>
      <c r="D2720" s="106">
        <v>1790000.0</v>
      </c>
      <c r="E2720" s="111">
        <v>393800.0</v>
      </c>
    </row>
    <row r="2721">
      <c r="A2721" s="28" t="s">
        <v>2366</v>
      </c>
      <c r="B2721" s="107" t="s">
        <v>2432</v>
      </c>
      <c r="C2721" s="28">
        <v>1.0</v>
      </c>
      <c r="D2721" s="106">
        <v>1480000.0</v>
      </c>
      <c r="E2721" s="111">
        <v>325600.0</v>
      </c>
    </row>
    <row r="2722">
      <c r="A2722" s="28" t="s">
        <v>2367</v>
      </c>
      <c r="B2722" s="107" t="s">
        <v>2494</v>
      </c>
      <c r="C2722" s="28">
        <v>1.0</v>
      </c>
      <c r="D2722" s="106">
        <v>2500000.0</v>
      </c>
      <c r="E2722" s="26">
        <v>0.0</v>
      </c>
    </row>
    <row r="2723">
      <c r="A2723" s="28" t="s">
        <v>2368</v>
      </c>
      <c r="B2723" s="107" t="s">
        <v>2429</v>
      </c>
      <c r="C2723" s="28">
        <v>64.0</v>
      </c>
      <c r="D2723" s="106">
        <v>45000.0</v>
      </c>
      <c r="E2723" s="111">
        <v>2160000.0</v>
      </c>
    </row>
    <row r="2724">
      <c r="A2724" s="28" t="s">
        <v>2368</v>
      </c>
      <c r="B2724" s="107" t="s">
        <v>2426</v>
      </c>
      <c r="C2724" s="28">
        <v>64.0</v>
      </c>
      <c r="D2724" s="106">
        <v>55000.0</v>
      </c>
      <c r="E2724" s="111">
        <v>2560000.0</v>
      </c>
    </row>
    <row r="2725">
      <c r="A2725" s="28" t="s">
        <v>2368</v>
      </c>
      <c r="B2725" s="107" t="s">
        <v>2428</v>
      </c>
      <c r="C2725" s="28">
        <v>64.0</v>
      </c>
      <c r="D2725" s="106">
        <v>45000.0</v>
      </c>
      <c r="E2725" s="111">
        <v>2160000.0</v>
      </c>
    </row>
    <row r="2726">
      <c r="A2726" s="28" t="s">
        <v>2369</v>
      </c>
      <c r="B2726" s="107" t="s">
        <v>2430</v>
      </c>
      <c r="C2726" s="28">
        <v>24.0</v>
      </c>
      <c r="D2726" s="106">
        <v>45000.0</v>
      </c>
      <c r="E2726" s="26">
        <v>0.0</v>
      </c>
    </row>
    <row r="2727">
      <c r="A2727" s="28" t="s">
        <v>2370</v>
      </c>
      <c r="B2727" s="107" t="s">
        <v>2431</v>
      </c>
      <c r="C2727" s="28">
        <v>2.0</v>
      </c>
      <c r="D2727" s="106">
        <v>2380000.0</v>
      </c>
      <c r="E2727" s="26">
        <v>0.0</v>
      </c>
    </row>
    <row r="2728">
      <c r="A2728" s="28" t="s">
        <v>2370</v>
      </c>
      <c r="B2728" s="107" t="s">
        <v>2517</v>
      </c>
      <c r="C2728" s="28">
        <v>1.0</v>
      </c>
      <c r="D2728" s="29">
        <v>0.0</v>
      </c>
      <c r="E2728" s="26">
        <v>0.0</v>
      </c>
      <c r="F2728" s="26" t="s">
        <v>2436</v>
      </c>
    </row>
    <row r="2729">
      <c r="A2729" s="28" t="s">
        <v>2371</v>
      </c>
      <c r="B2729" s="107" t="s">
        <v>2476</v>
      </c>
      <c r="C2729" s="28">
        <v>144.0</v>
      </c>
      <c r="D2729" s="106">
        <v>60000.0</v>
      </c>
      <c r="E2729" s="26">
        <v>0.0</v>
      </c>
    </row>
    <row r="2730">
      <c r="A2730" s="28" t="s">
        <v>2371</v>
      </c>
      <c r="B2730" s="107" t="s">
        <v>2437</v>
      </c>
      <c r="C2730" s="28">
        <v>12.0</v>
      </c>
      <c r="D2730" s="29">
        <v>0.0</v>
      </c>
      <c r="E2730" s="26">
        <v>0.0</v>
      </c>
      <c r="F2730" s="26" t="s">
        <v>2438</v>
      </c>
    </row>
    <row r="2731">
      <c r="A2731" s="28" t="s">
        <v>2372</v>
      </c>
      <c r="B2731" s="107" t="s">
        <v>2481</v>
      </c>
      <c r="C2731" s="28">
        <v>800.0</v>
      </c>
      <c r="D2731" s="106">
        <v>3616.28</v>
      </c>
      <c r="E2731" s="26">
        <v>0.0</v>
      </c>
    </row>
    <row r="2732">
      <c r="A2732" s="28" t="s">
        <v>2373</v>
      </c>
      <c r="B2732" s="107" t="s">
        <v>2432</v>
      </c>
      <c r="C2732" s="28">
        <v>1.0</v>
      </c>
      <c r="D2732" s="106">
        <v>1480000.0</v>
      </c>
      <c r="E2732" s="26">
        <v>0.0</v>
      </c>
    </row>
    <row r="2733">
      <c r="A2733" s="28" t="s">
        <v>2373</v>
      </c>
      <c r="B2733" s="107" t="s">
        <v>2442</v>
      </c>
      <c r="C2733" s="28">
        <v>50.0</v>
      </c>
      <c r="D2733" s="29">
        <v>0.0</v>
      </c>
      <c r="E2733" s="26">
        <v>0.0</v>
      </c>
      <c r="F2733" s="26" t="s">
        <v>2438</v>
      </c>
    </row>
    <row r="2734">
      <c r="A2734" s="28" t="s">
        <v>2374</v>
      </c>
      <c r="B2734" s="107" t="s">
        <v>2521</v>
      </c>
      <c r="C2734" s="28">
        <v>1.0</v>
      </c>
      <c r="D2734" s="29">
        <v>0.0</v>
      </c>
      <c r="E2734" s="26">
        <v>0.0</v>
      </c>
      <c r="F2734" s="26" t="s">
        <v>2438</v>
      </c>
    </row>
    <row r="2735">
      <c r="A2735" s="28" t="s">
        <v>2376</v>
      </c>
      <c r="B2735" s="107" t="s">
        <v>2428</v>
      </c>
      <c r="C2735" s="28">
        <v>24.0</v>
      </c>
      <c r="D2735" s="106">
        <v>45000.0</v>
      </c>
      <c r="E2735" s="26">
        <v>0.0</v>
      </c>
    </row>
    <row r="2736">
      <c r="A2736" s="28" t="s">
        <v>2376</v>
      </c>
      <c r="B2736" s="107" t="s">
        <v>2429</v>
      </c>
      <c r="C2736" s="28">
        <v>24.0</v>
      </c>
      <c r="D2736" s="106">
        <v>45000.0</v>
      </c>
      <c r="E2736" s="26">
        <v>0.0</v>
      </c>
    </row>
    <row r="2737">
      <c r="A2737" s="28" t="s">
        <v>2377</v>
      </c>
      <c r="B2737" s="107" t="s">
        <v>2431</v>
      </c>
      <c r="C2737" s="28">
        <v>2.0</v>
      </c>
      <c r="D2737" s="106">
        <v>2380000.0</v>
      </c>
      <c r="E2737" s="26">
        <v>0.0</v>
      </c>
    </row>
    <row r="2738">
      <c r="A2738" s="28" t="s">
        <v>2378</v>
      </c>
      <c r="B2738" s="107" t="s">
        <v>2433</v>
      </c>
      <c r="C2738" s="28">
        <v>1.0</v>
      </c>
      <c r="D2738" s="106">
        <v>1450000.0</v>
      </c>
      <c r="E2738" s="26">
        <v>0.0</v>
      </c>
    </row>
    <row r="2739">
      <c r="A2739" s="28" t="s">
        <v>2379</v>
      </c>
      <c r="B2739" s="107" t="s">
        <v>2429</v>
      </c>
      <c r="C2739" s="28">
        <v>24.0</v>
      </c>
      <c r="D2739" s="106">
        <v>45000.0</v>
      </c>
      <c r="E2739" s="26">
        <v>0.0</v>
      </c>
    </row>
    <row r="2740">
      <c r="A2740" s="28" t="s">
        <v>2380</v>
      </c>
      <c r="B2740" s="107" t="s">
        <v>2429</v>
      </c>
      <c r="C2740" s="28">
        <v>24.0</v>
      </c>
      <c r="D2740" s="106">
        <v>45000.0</v>
      </c>
      <c r="E2740" s="26">
        <v>0.0</v>
      </c>
    </row>
    <row r="2741">
      <c r="A2741" s="28" t="s">
        <v>2381</v>
      </c>
      <c r="B2741" s="107" t="s">
        <v>2495</v>
      </c>
      <c r="C2741" s="28">
        <v>1.0</v>
      </c>
      <c r="D2741" s="106">
        <v>1790000.0</v>
      </c>
      <c r="E2741" s="26">
        <v>0.0</v>
      </c>
    </row>
    <row r="2742">
      <c r="A2742" s="28" t="s">
        <v>2381</v>
      </c>
      <c r="B2742" s="107" t="s">
        <v>2442</v>
      </c>
      <c r="C2742" s="28">
        <v>50.0</v>
      </c>
      <c r="D2742" s="29">
        <v>0.0</v>
      </c>
      <c r="E2742" s="26">
        <v>0.0</v>
      </c>
      <c r="F2742" s="26" t="s">
        <v>2438</v>
      </c>
    </row>
    <row r="2743">
      <c r="A2743" s="28" t="s">
        <v>2382</v>
      </c>
      <c r="B2743" s="107" t="s">
        <v>2431</v>
      </c>
      <c r="C2743" s="28">
        <v>1.0</v>
      </c>
      <c r="D2743" s="106">
        <v>2380000.0</v>
      </c>
      <c r="E2743" s="26">
        <v>0.0</v>
      </c>
    </row>
    <row r="2744">
      <c r="A2744" s="28" t="s">
        <v>2382</v>
      </c>
      <c r="B2744" s="107" t="s">
        <v>2432</v>
      </c>
      <c r="C2744" s="28">
        <v>1.0</v>
      </c>
      <c r="D2744" s="106">
        <v>1480000.0</v>
      </c>
      <c r="E2744" s="26">
        <v>0.0</v>
      </c>
    </row>
    <row r="2745">
      <c r="A2745" s="28" t="s">
        <v>2383</v>
      </c>
      <c r="B2745" s="107" t="s">
        <v>2429</v>
      </c>
      <c r="C2745" s="28">
        <v>24.0</v>
      </c>
      <c r="D2745" s="106">
        <v>45000.0</v>
      </c>
      <c r="E2745" s="26">
        <v>0.0</v>
      </c>
    </row>
    <row r="2746">
      <c r="A2746" s="28" t="s">
        <v>2384</v>
      </c>
      <c r="B2746" s="107" t="s">
        <v>2507</v>
      </c>
      <c r="C2746" s="28">
        <v>24.0</v>
      </c>
      <c r="D2746" s="29">
        <v>0.0</v>
      </c>
      <c r="E2746" s="26">
        <v>0.0</v>
      </c>
      <c r="F2746" s="26" t="s">
        <v>2436</v>
      </c>
    </row>
    <row r="2747">
      <c r="A2747" s="28" t="s">
        <v>2385</v>
      </c>
      <c r="B2747" s="107" t="s">
        <v>2425</v>
      </c>
      <c r="C2747" s="28">
        <v>1.0</v>
      </c>
      <c r="D2747" s="106">
        <v>1875000.0</v>
      </c>
      <c r="E2747" s="26">
        <v>0.0</v>
      </c>
    </row>
    <row r="2748">
      <c r="A2748" s="28" t="s">
        <v>2385</v>
      </c>
      <c r="B2748" s="107" t="s">
        <v>2442</v>
      </c>
      <c r="C2748" s="28">
        <v>100.0</v>
      </c>
      <c r="D2748" s="29">
        <v>0.0</v>
      </c>
      <c r="E2748" s="26">
        <v>0.0</v>
      </c>
      <c r="F2748" s="26" t="s">
        <v>2438</v>
      </c>
    </row>
    <row r="2749">
      <c r="A2749" s="28" t="s">
        <v>2386</v>
      </c>
      <c r="B2749" s="107" t="s">
        <v>2433</v>
      </c>
      <c r="C2749" s="28">
        <v>1.0</v>
      </c>
      <c r="D2749" s="106">
        <v>1450000.0</v>
      </c>
      <c r="E2749" s="26">
        <v>0.0</v>
      </c>
    </row>
    <row r="2750">
      <c r="A2750" s="28" t="s">
        <v>2387</v>
      </c>
      <c r="B2750" s="107" t="s">
        <v>2430</v>
      </c>
      <c r="C2750" s="28">
        <v>12.0</v>
      </c>
      <c r="D2750" s="106">
        <v>45000.0</v>
      </c>
      <c r="E2750" s="111">
        <v>270000.0</v>
      </c>
    </row>
    <row r="2751">
      <c r="A2751" s="28" t="s">
        <v>2387</v>
      </c>
      <c r="B2751" s="107" t="s">
        <v>2478</v>
      </c>
      <c r="C2751" s="28">
        <v>12.0</v>
      </c>
      <c r="D2751" s="106">
        <v>45000.0</v>
      </c>
      <c r="E2751" s="111">
        <v>270000.0</v>
      </c>
    </row>
    <row r="2752">
      <c r="A2752" s="28" t="s">
        <v>2388</v>
      </c>
      <c r="B2752" s="107" t="s">
        <v>2495</v>
      </c>
      <c r="C2752" s="28">
        <v>4.0</v>
      </c>
      <c r="D2752" s="106">
        <v>1790000.0</v>
      </c>
      <c r="E2752" s="111">
        <v>1969000.0</v>
      </c>
    </row>
    <row r="2753">
      <c r="A2753" s="28" t="s">
        <v>2388</v>
      </c>
      <c r="B2753" s="107" t="s">
        <v>2425</v>
      </c>
      <c r="C2753" s="28">
        <v>2.0</v>
      </c>
      <c r="D2753" s="106">
        <v>1875000.0</v>
      </c>
      <c r="E2753" s="111">
        <v>1031250.0</v>
      </c>
    </row>
    <row r="2754">
      <c r="A2754" s="28" t="s">
        <v>2388</v>
      </c>
      <c r="B2754" s="107" t="s">
        <v>2429</v>
      </c>
      <c r="C2754" s="28">
        <v>48.0</v>
      </c>
      <c r="D2754" s="106">
        <v>45000.0</v>
      </c>
      <c r="E2754" s="111">
        <v>594000.0</v>
      </c>
    </row>
    <row r="2755">
      <c r="A2755" s="28" t="s">
        <v>2388</v>
      </c>
      <c r="B2755" s="107" t="s">
        <v>2447</v>
      </c>
      <c r="C2755" s="28">
        <v>1.0</v>
      </c>
      <c r="D2755" s="29">
        <v>0.0</v>
      </c>
      <c r="E2755" s="26">
        <v>0.0</v>
      </c>
      <c r="F2755" s="26" t="s">
        <v>2438</v>
      </c>
    </row>
    <row r="2756">
      <c r="A2756" s="28" t="s">
        <v>2389</v>
      </c>
      <c r="B2756" s="107" t="s">
        <v>2433</v>
      </c>
      <c r="C2756" s="28">
        <v>1.0</v>
      </c>
      <c r="D2756" s="106">
        <v>1450000.0</v>
      </c>
      <c r="E2756" s="26">
        <v>0.0</v>
      </c>
    </row>
    <row r="2757">
      <c r="A2757" s="28" t="s">
        <v>2390</v>
      </c>
      <c r="B2757" s="107" t="s">
        <v>2510</v>
      </c>
      <c r="C2757" s="28">
        <v>120.0</v>
      </c>
      <c r="D2757" s="29">
        <v>450000.0</v>
      </c>
      <c r="E2757" s="26">
        <v>0.0</v>
      </c>
    </row>
    <row r="2758">
      <c r="A2758" s="28" t="s">
        <v>2390</v>
      </c>
      <c r="B2758" s="107" t="s">
        <v>2507</v>
      </c>
      <c r="C2758" s="28">
        <v>960.0</v>
      </c>
      <c r="D2758" s="29">
        <v>45000.0</v>
      </c>
      <c r="E2758" s="26">
        <v>0.0</v>
      </c>
    </row>
    <row r="2759">
      <c r="A2759" s="28" t="s">
        <v>2390</v>
      </c>
      <c r="B2759" s="107" t="s">
        <v>2511</v>
      </c>
      <c r="C2759" s="28">
        <v>360.0</v>
      </c>
      <c r="D2759" s="29">
        <v>45000.0</v>
      </c>
      <c r="E2759" s="26">
        <v>0.0</v>
      </c>
    </row>
    <row r="2760">
      <c r="A2760" s="28" t="s">
        <v>2390</v>
      </c>
      <c r="B2760" s="107" t="s">
        <v>2519</v>
      </c>
      <c r="C2760" s="28">
        <v>5.0</v>
      </c>
      <c r="D2760" s="29">
        <v>1875000.0</v>
      </c>
      <c r="E2760" s="26">
        <v>0.0</v>
      </c>
    </row>
    <row r="2761">
      <c r="A2761" s="28" t="s">
        <v>2390</v>
      </c>
      <c r="B2761" s="107" t="s">
        <v>2516</v>
      </c>
      <c r="C2761" s="28">
        <v>10.0</v>
      </c>
      <c r="D2761" s="29">
        <v>1480000.0</v>
      </c>
      <c r="E2761" s="26">
        <v>0.0</v>
      </c>
    </row>
    <row r="2762">
      <c r="A2762" s="28" t="s">
        <v>2390</v>
      </c>
      <c r="B2762" s="107" t="s">
        <v>2520</v>
      </c>
      <c r="C2762" s="28">
        <v>15.0</v>
      </c>
      <c r="D2762" s="29">
        <v>1790000.0</v>
      </c>
      <c r="E2762" s="26">
        <v>0.0</v>
      </c>
    </row>
    <row r="2763">
      <c r="A2763" s="28" t="s">
        <v>2390</v>
      </c>
      <c r="B2763" s="107" t="s">
        <v>2515</v>
      </c>
      <c r="C2763" s="28">
        <v>10.0</v>
      </c>
      <c r="D2763" s="29">
        <v>1450000.0</v>
      </c>
      <c r="E2763" s="26">
        <v>0.0</v>
      </c>
    </row>
    <row r="2764">
      <c r="A2764" s="28" t="s">
        <v>2390</v>
      </c>
      <c r="B2764" s="107" t="s">
        <v>2517</v>
      </c>
      <c r="C2764" s="28">
        <v>15.0</v>
      </c>
      <c r="D2764" s="29">
        <v>2380000.0</v>
      </c>
      <c r="E2764" s="26">
        <v>0.0</v>
      </c>
    </row>
    <row r="2765">
      <c r="A2765" s="28" t="s">
        <v>2390</v>
      </c>
      <c r="B2765" s="107" t="s">
        <v>2437</v>
      </c>
      <c r="C2765" s="28">
        <v>144.0</v>
      </c>
      <c r="D2765" s="29">
        <v>0.0</v>
      </c>
      <c r="E2765" s="26">
        <v>0.0</v>
      </c>
      <c r="F2765" s="26" t="s">
        <v>2438</v>
      </c>
    </row>
    <row r="2766">
      <c r="A2766" s="28" t="s">
        <v>2391</v>
      </c>
      <c r="B2766" s="107" t="s">
        <v>2432</v>
      </c>
      <c r="C2766" s="28">
        <v>1.0</v>
      </c>
      <c r="D2766" s="106">
        <v>1480000.0</v>
      </c>
      <c r="E2766" s="111">
        <v>325600.0</v>
      </c>
    </row>
    <row r="2767">
      <c r="A2767" s="28" t="s">
        <v>2392</v>
      </c>
      <c r="B2767" s="107" t="s">
        <v>2512</v>
      </c>
      <c r="C2767" s="28">
        <v>4.0</v>
      </c>
      <c r="D2767" s="29">
        <v>0.0</v>
      </c>
      <c r="E2767" s="26">
        <v>0.0</v>
      </c>
      <c r="F2767" s="26" t="s">
        <v>1522</v>
      </c>
    </row>
    <row r="2768">
      <c r="A2768" s="28" t="s">
        <v>2392</v>
      </c>
      <c r="B2768" s="107" t="s">
        <v>2511</v>
      </c>
      <c r="C2768" s="28">
        <v>4.0</v>
      </c>
      <c r="D2768" s="29">
        <v>0.0</v>
      </c>
      <c r="E2768" s="26">
        <v>0.0</v>
      </c>
      <c r="F2768" s="26" t="s">
        <v>1522</v>
      </c>
    </row>
    <row r="2769">
      <c r="A2769" s="28" t="s">
        <v>2392</v>
      </c>
      <c r="B2769" s="107" t="s">
        <v>2510</v>
      </c>
      <c r="C2769" s="28">
        <v>4.0</v>
      </c>
      <c r="D2769" s="29">
        <v>0.0</v>
      </c>
      <c r="E2769" s="26">
        <v>0.0</v>
      </c>
      <c r="F2769" s="26" t="s">
        <v>1522</v>
      </c>
    </row>
    <row r="2770">
      <c r="A2770" s="28" t="s">
        <v>2392</v>
      </c>
      <c r="B2770" s="107" t="s">
        <v>2507</v>
      </c>
      <c r="C2770" s="28">
        <v>4.0</v>
      </c>
      <c r="D2770" s="29">
        <v>0.0</v>
      </c>
      <c r="E2770" s="26">
        <v>0.0</v>
      </c>
      <c r="F2770" s="26" t="s">
        <v>1522</v>
      </c>
    </row>
    <row r="2771">
      <c r="A2771" s="28" t="s">
        <v>2392</v>
      </c>
      <c r="B2771" s="107" t="s">
        <v>2503</v>
      </c>
      <c r="C2771" s="28">
        <v>4.0</v>
      </c>
      <c r="D2771" s="29">
        <v>0.0</v>
      </c>
      <c r="E2771" s="26">
        <v>0.0</v>
      </c>
      <c r="F2771" s="26" t="s">
        <v>1522</v>
      </c>
    </row>
    <row r="2772">
      <c r="A2772" s="28" t="s">
        <v>2392</v>
      </c>
      <c r="B2772" s="107" t="s">
        <v>2513</v>
      </c>
      <c r="C2772" s="28">
        <v>4.0</v>
      </c>
      <c r="D2772" s="29">
        <v>0.0</v>
      </c>
      <c r="E2772" s="26">
        <v>0.0</v>
      </c>
      <c r="F2772" s="26" t="s">
        <v>1522</v>
      </c>
    </row>
    <row r="2773">
      <c r="A2773" s="28" t="s">
        <v>2393</v>
      </c>
      <c r="B2773" s="107" t="s">
        <v>2433</v>
      </c>
      <c r="C2773" s="28">
        <v>1.0</v>
      </c>
      <c r="D2773" s="106">
        <v>1450000.0</v>
      </c>
      <c r="E2773" s="26">
        <v>0.0</v>
      </c>
    </row>
    <row r="2774">
      <c r="A2774" s="28" t="s">
        <v>2394</v>
      </c>
      <c r="B2774" s="107" t="s">
        <v>2433</v>
      </c>
      <c r="C2774" s="28">
        <v>1.0</v>
      </c>
      <c r="D2774" s="106">
        <v>1450000.0</v>
      </c>
      <c r="E2774" s="26">
        <v>0.0</v>
      </c>
    </row>
    <row r="2775">
      <c r="A2775" s="28" t="s">
        <v>2395</v>
      </c>
      <c r="B2775" s="107" t="s">
        <v>2430</v>
      </c>
      <c r="C2775" s="28">
        <v>24.0</v>
      </c>
      <c r="D2775" s="106">
        <v>45000.0</v>
      </c>
      <c r="E2775" s="26">
        <v>0.0</v>
      </c>
    </row>
    <row r="2776">
      <c r="A2776" s="28" t="s">
        <v>2395</v>
      </c>
      <c r="B2776" s="107" t="s">
        <v>2442</v>
      </c>
      <c r="C2776" s="28">
        <v>50.0</v>
      </c>
      <c r="D2776" s="29">
        <v>0.0</v>
      </c>
      <c r="E2776" s="26">
        <v>0.0</v>
      </c>
      <c r="F2776" s="26" t="s">
        <v>2438</v>
      </c>
    </row>
    <row r="2777">
      <c r="A2777" s="28" t="s">
        <v>2396</v>
      </c>
      <c r="B2777" s="107" t="s">
        <v>2425</v>
      </c>
      <c r="C2777" s="28">
        <v>1.0</v>
      </c>
      <c r="D2777" s="106">
        <v>1875000.0</v>
      </c>
      <c r="E2777" s="26">
        <v>0.0</v>
      </c>
    </row>
    <row r="2778">
      <c r="A2778" s="28" t="s">
        <v>2397</v>
      </c>
      <c r="B2778" s="107" t="s">
        <v>2433</v>
      </c>
      <c r="C2778" s="28">
        <v>1.0</v>
      </c>
      <c r="D2778" s="106">
        <v>1450000.0</v>
      </c>
      <c r="E2778" s="26">
        <v>0.0</v>
      </c>
    </row>
    <row r="2779">
      <c r="A2779" s="28" t="s">
        <v>2398</v>
      </c>
      <c r="B2779" s="107" t="s">
        <v>2426</v>
      </c>
      <c r="C2779" s="28">
        <v>24.0</v>
      </c>
      <c r="D2779" s="106">
        <v>55000.0</v>
      </c>
      <c r="E2779" s="26">
        <v>0.0</v>
      </c>
    </row>
    <row r="2780">
      <c r="A2780" s="28" t="s">
        <v>2399</v>
      </c>
      <c r="B2780" s="107" t="s">
        <v>2429</v>
      </c>
      <c r="C2780" s="28">
        <v>24.0</v>
      </c>
      <c r="D2780" s="106">
        <v>45000.0</v>
      </c>
      <c r="E2780" s="26">
        <v>0.0</v>
      </c>
    </row>
    <row r="2781">
      <c r="A2781" s="28" t="s">
        <v>2400</v>
      </c>
      <c r="B2781" s="107" t="s">
        <v>2426</v>
      </c>
      <c r="C2781" s="28">
        <v>24.0</v>
      </c>
      <c r="D2781" s="106">
        <v>55000.0</v>
      </c>
      <c r="E2781" s="26">
        <v>0.0</v>
      </c>
    </row>
    <row r="2782">
      <c r="A2782" s="28" t="s">
        <v>2400</v>
      </c>
      <c r="B2782" s="107" t="s">
        <v>2430</v>
      </c>
      <c r="C2782" s="28">
        <v>24.0</v>
      </c>
      <c r="D2782" s="106">
        <v>45000.0</v>
      </c>
      <c r="E2782" s="26">
        <v>0.0</v>
      </c>
    </row>
    <row r="2783">
      <c r="A2783" s="28" t="s">
        <v>2401</v>
      </c>
      <c r="B2783" s="107" t="s">
        <v>2425</v>
      </c>
      <c r="C2783" s="28">
        <v>1.0</v>
      </c>
      <c r="D2783" s="106">
        <v>1875000.0</v>
      </c>
      <c r="E2783" s="26">
        <v>0.0</v>
      </c>
    </row>
    <row r="2784">
      <c r="A2784" s="28" t="s">
        <v>2402</v>
      </c>
      <c r="B2784" s="107" t="s">
        <v>2429</v>
      </c>
      <c r="C2784" s="28">
        <v>48.0</v>
      </c>
      <c r="D2784" s="106">
        <v>45000.0</v>
      </c>
      <c r="E2784" s="26">
        <v>0.0</v>
      </c>
    </row>
    <row r="2785">
      <c r="A2785" s="28" t="s">
        <v>2402</v>
      </c>
      <c r="B2785" s="107" t="s">
        <v>2430</v>
      </c>
      <c r="C2785" s="28">
        <v>6.0</v>
      </c>
      <c r="D2785" s="106">
        <v>45000.0</v>
      </c>
      <c r="E2785" s="26">
        <v>0.0</v>
      </c>
    </row>
    <row r="2786">
      <c r="A2786" s="28" t="s">
        <v>2402</v>
      </c>
      <c r="B2786" s="107" t="s">
        <v>2426</v>
      </c>
      <c r="C2786" s="28">
        <v>6.0</v>
      </c>
      <c r="D2786" s="106">
        <v>55000.0</v>
      </c>
      <c r="E2786" s="26">
        <v>0.0</v>
      </c>
    </row>
    <row r="2787">
      <c r="A2787" s="28" t="s">
        <v>2403</v>
      </c>
      <c r="B2787" s="107" t="s">
        <v>2433</v>
      </c>
      <c r="C2787" s="28">
        <v>1.0</v>
      </c>
      <c r="D2787" s="106">
        <v>1450000.0</v>
      </c>
      <c r="E2787" s="26">
        <v>0.0</v>
      </c>
    </row>
    <row r="2788">
      <c r="A2788" s="28" t="s">
        <v>2404</v>
      </c>
      <c r="B2788" s="107" t="s">
        <v>2433</v>
      </c>
      <c r="C2788" s="28">
        <v>1.0</v>
      </c>
      <c r="D2788" s="106">
        <v>1450000.0</v>
      </c>
      <c r="E2788" s="26">
        <v>0.0</v>
      </c>
    </row>
    <row r="2789">
      <c r="A2789" s="28" t="s">
        <v>2405</v>
      </c>
      <c r="B2789" s="107" t="s">
        <v>2425</v>
      </c>
      <c r="C2789" s="28">
        <v>1.0</v>
      </c>
      <c r="D2789" s="106">
        <v>1875000.0</v>
      </c>
      <c r="E2789" s="26">
        <v>0.0</v>
      </c>
      <c r="H2789" s="112"/>
      <c r="I2789" s="112"/>
      <c r="J2789" s="112"/>
      <c r="K2789" s="112"/>
      <c r="L2789" s="112"/>
      <c r="M2789" s="112"/>
      <c r="N2789" s="112"/>
    </row>
    <row r="2790">
      <c r="A2790" s="28" t="s">
        <v>2405</v>
      </c>
      <c r="B2790" s="107" t="s">
        <v>2449</v>
      </c>
      <c r="C2790" s="28">
        <v>12.0</v>
      </c>
      <c r="D2790" s="29">
        <v>0.0</v>
      </c>
      <c r="E2790" s="26">
        <v>0.0</v>
      </c>
      <c r="F2790" s="26" t="s">
        <v>2438</v>
      </c>
      <c r="H2790" s="112"/>
      <c r="I2790" s="112"/>
      <c r="J2790" s="112"/>
      <c r="K2790" s="112"/>
      <c r="L2790" s="112"/>
      <c r="M2790" s="112"/>
      <c r="N2790" s="112"/>
    </row>
    <row r="2791">
      <c r="A2791" s="28" t="s">
        <v>2406</v>
      </c>
      <c r="B2791" s="107" t="s">
        <v>2429</v>
      </c>
      <c r="C2791" s="28">
        <v>72.0</v>
      </c>
      <c r="D2791" s="106">
        <v>45000.0</v>
      </c>
      <c r="E2791" s="26">
        <v>0.0</v>
      </c>
      <c r="H2791" s="112"/>
      <c r="I2791" s="112"/>
      <c r="J2791" s="112"/>
      <c r="K2791" s="112"/>
      <c r="L2791" s="112"/>
      <c r="M2791" s="112"/>
      <c r="N2791" s="112"/>
    </row>
    <row r="2792">
      <c r="A2792" s="28" t="s">
        <v>2406</v>
      </c>
      <c r="B2792" s="107" t="s">
        <v>2442</v>
      </c>
      <c r="C2792" s="28">
        <v>50.0</v>
      </c>
      <c r="D2792" s="29">
        <v>0.0</v>
      </c>
      <c r="E2792" s="26">
        <v>0.0</v>
      </c>
      <c r="F2792" s="26" t="s">
        <v>2438</v>
      </c>
      <c r="H2792" s="113"/>
      <c r="I2792" s="114"/>
      <c r="J2792" s="115"/>
      <c r="K2792" s="116"/>
      <c r="L2792" s="117"/>
      <c r="M2792" s="112"/>
      <c r="N2792" s="112"/>
    </row>
    <row r="2793">
      <c r="A2793" s="28" t="s">
        <v>2407</v>
      </c>
      <c r="B2793" s="107" t="s">
        <v>2494</v>
      </c>
      <c r="C2793" s="28">
        <v>1.0</v>
      </c>
      <c r="D2793" s="106">
        <v>2500000.0</v>
      </c>
      <c r="E2793" s="111">
        <v>220000.0</v>
      </c>
      <c r="H2793" s="113"/>
      <c r="I2793" s="114"/>
      <c r="J2793" s="115"/>
      <c r="K2793" s="116"/>
      <c r="L2793" s="118"/>
      <c r="M2793" s="112"/>
      <c r="N2793" s="112"/>
    </row>
    <row r="2794">
      <c r="A2794" s="28" t="s">
        <v>2408</v>
      </c>
      <c r="B2794" s="107" t="s">
        <v>2428</v>
      </c>
      <c r="C2794" s="28">
        <v>24.0</v>
      </c>
      <c r="D2794" s="106">
        <v>45000.0</v>
      </c>
      <c r="E2794" s="26">
        <v>0.0</v>
      </c>
      <c r="H2794" s="113"/>
      <c r="I2794" s="114"/>
      <c r="J2794" s="115"/>
      <c r="K2794" s="116"/>
      <c r="L2794" s="117"/>
      <c r="M2794" s="112"/>
      <c r="N2794" s="112"/>
    </row>
    <row r="2795">
      <c r="A2795" s="28" t="s">
        <v>2409</v>
      </c>
      <c r="B2795" s="107" t="s">
        <v>2429</v>
      </c>
      <c r="C2795" s="28">
        <v>24.0</v>
      </c>
      <c r="D2795" s="106">
        <v>45000.0</v>
      </c>
      <c r="E2795" s="26">
        <v>0.0</v>
      </c>
      <c r="H2795" s="113"/>
      <c r="I2795" s="114"/>
      <c r="J2795" s="115"/>
      <c r="K2795" s="116"/>
      <c r="L2795" s="117"/>
      <c r="M2795" s="112"/>
      <c r="N2795" s="112"/>
    </row>
    <row r="2796">
      <c r="A2796" s="28" t="s">
        <v>2410</v>
      </c>
      <c r="B2796" s="107" t="s">
        <v>2425</v>
      </c>
      <c r="C2796" s="28">
        <v>1.0</v>
      </c>
      <c r="D2796" s="106">
        <v>1875000.0</v>
      </c>
      <c r="E2796" s="111">
        <v>412500.0</v>
      </c>
      <c r="H2796" s="113"/>
      <c r="I2796" s="114"/>
      <c r="J2796" s="114"/>
      <c r="K2796" s="116"/>
      <c r="L2796" s="117"/>
      <c r="M2796" s="112"/>
      <c r="N2796" s="112"/>
    </row>
    <row r="2797">
      <c r="A2797" s="28" t="s">
        <v>2411</v>
      </c>
      <c r="B2797" s="107" t="s">
        <v>2425</v>
      </c>
      <c r="C2797" s="28">
        <v>1.0</v>
      </c>
      <c r="D2797" s="106">
        <v>1875000.0</v>
      </c>
      <c r="E2797" s="26">
        <v>0.0</v>
      </c>
      <c r="H2797" s="113"/>
      <c r="I2797" s="114"/>
      <c r="J2797" s="114"/>
      <c r="K2797" s="116"/>
      <c r="L2797" s="117"/>
      <c r="M2797" s="112"/>
      <c r="N2797" s="112"/>
    </row>
    <row r="2798">
      <c r="A2798" s="28" t="s">
        <v>2412</v>
      </c>
      <c r="B2798" s="107" t="s">
        <v>2433</v>
      </c>
      <c r="C2798" s="28">
        <v>1.0</v>
      </c>
      <c r="D2798" s="106">
        <v>1450000.0</v>
      </c>
      <c r="E2798" s="26">
        <v>0.0</v>
      </c>
      <c r="H2798" s="113"/>
      <c r="I2798" s="114"/>
      <c r="J2798" s="114"/>
      <c r="K2798" s="116"/>
      <c r="L2798" s="117"/>
      <c r="M2798" s="112"/>
      <c r="N2798" s="112"/>
    </row>
    <row r="2799">
      <c r="A2799" s="28" t="s">
        <v>2412</v>
      </c>
      <c r="B2799" s="107" t="s">
        <v>2425</v>
      </c>
      <c r="C2799" s="28">
        <v>1.0</v>
      </c>
      <c r="D2799" s="106">
        <v>1875000.0</v>
      </c>
      <c r="E2799" s="111">
        <v>281250.0</v>
      </c>
      <c r="H2799" s="113"/>
      <c r="I2799" s="114"/>
      <c r="J2799" s="119"/>
      <c r="K2799" s="116"/>
      <c r="L2799" s="117"/>
      <c r="M2799" s="120"/>
      <c r="N2799" s="112"/>
    </row>
    <row r="2800">
      <c r="A2800" s="28" t="s">
        <v>2413</v>
      </c>
      <c r="B2800" s="107" t="s">
        <v>2425</v>
      </c>
      <c r="C2800" s="28">
        <v>1.0</v>
      </c>
      <c r="D2800" s="106">
        <v>1875000.0</v>
      </c>
      <c r="E2800" s="26">
        <v>0.0</v>
      </c>
      <c r="H2800" s="113"/>
      <c r="I2800" s="114"/>
      <c r="J2800" s="119"/>
      <c r="K2800" s="116"/>
      <c r="L2800" s="117"/>
      <c r="M2800" s="120"/>
      <c r="N2800" s="112"/>
    </row>
    <row r="2801">
      <c r="A2801" s="28" t="s">
        <v>2414</v>
      </c>
      <c r="B2801" s="107" t="s">
        <v>2431</v>
      </c>
      <c r="C2801" s="28">
        <v>1.0</v>
      </c>
      <c r="D2801" s="106">
        <v>2380000.0</v>
      </c>
      <c r="E2801" s="26">
        <v>0.0</v>
      </c>
      <c r="H2801" s="113"/>
      <c r="I2801" s="114"/>
      <c r="J2801" s="119"/>
      <c r="K2801" s="116"/>
      <c r="L2801" s="117"/>
      <c r="M2801" s="120"/>
      <c r="N2801" s="112"/>
    </row>
    <row r="2802">
      <c r="A2802" s="28" t="s">
        <v>2415</v>
      </c>
      <c r="B2802" s="107" t="s">
        <v>2433</v>
      </c>
      <c r="C2802" s="28">
        <v>1.0</v>
      </c>
      <c r="D2802" s="106">
        <v>1450000.0</v>
      </c>
      <c r="E2802" s="111">
        <v>319000.0</v>
      </c>
      <c r="H2802" s="113"/>
      <c r="I2802" s="114"/>
      <c r="J2802" s="119"/>
      <c r="K2802" s="116"/>
      <c r="L2802" s="117"/>
      <c r="M2802" s="120"/>
      <c r="N2802" s="112"/>
    </row>
    <row r="2803">
      <c r="A2803" s="28" t="s">
        <v>2415</v>
      </c>
      <c r="B2803" s="107" t="s">
        <v>2432</v>
      </c>
      <c r="C2803" s="28">
        <v>1.0</v>
      </c>
      <c r="D2803" s="106">
        <v>1480000.0</v>
      </c>
      <c r="E2803" s="111">
        <v>325600.0</v>
      </c>
      <c r="H2803" s="113"/>
      <c r="I2803" s="114"/>
      <c r="J2803" s="119"/>
      <c r="K2803" s="116"/>
      <c r="L2803" s="117"/>
      <c r="M2803" s="120"/>
      <c r="N2803" s="112"/>
    </row>
    <row r="2804">
      <c r="A2804" s="28" t="s">
        <v>2416</v>
      </c>
      <c r="B2804" s="107" t="s">
        <v>2433</v>
      </c>
      <c r="C2804" s="28">
        <v>1.0</v>
      </c>
      <c r="D2804" s="106">
        <v>1450000.0</v>
      </c>
      <c r="E2804" s="26">
        <v>0.0</v>
      </c>
      <c r="H2804" s="113"/>
      <c r="I2804" s="114"/>
      <c r="J2804" s="119"/>
      <c r="K2804" s="116"/>
      <c r="L2804" s="117"/>
      <c r="M2804" s="120"/>
      <c r="N2804" s="112"/>
    </row>
    <row r="2805">
      <c r="A2805" s="28" t="s">
        <v>2417</v>
      </c>
      <c r="B2805" s="107" t="s">
        <v>2433</v>
      </c>
      <c r="C2805" s="28">
        <v>1.0</v>
      </c>
      <c r="D2805" s="106">
        <v>1450000.0</v>
      </c>
      <c r="E2805" s="26">
        <v>0.0</v>
      </c>
      <c r="H2805" s="113"/>
      <c r="I2805" s="114"/>
      <c r="J2805" s="119"/>
      <c r="K2805" s="116"/>
      <c r="L2805" s="118"/>
      <c r="M2805" s="112"/>
      <c r="N2805" s="112"/>
    </row>
    <row r="2806">
      <c r="A2806" s="28" t="s">
        <v>2418</v>
      </c>
      <c r="B2806" s="107" t="s">
        <v>2433</v>
      </c>
      <c r="C2806" s="28">
        <v>1.0</v>
      </c>
      <c r="D2806" s="106">
        <v>1450000.0</v>
      </c>
      <c r="E2806" s="26">
        <v>0.0</v>
      </c>
      <c r="H2806" s="113"/>
      <c r="I2806" s="114"/>
      <c r="J2806" s="119"/>
      <c r="K2806" s="116"/>
      <c r="L2806" s="117"/>
      <c r="M2806" s="112"/>
      <c r="N2806" s="112"/>
    </row>
    <row r="2807">
      <c r="A2807" s="28" t="s">
        <v>2419</v>
      </c>
      <c r="B2807" s="107" t="s">
        <v>2431</v>
      </c>
      <c r="C2807" s="28">
        <v>1.0</v>
      </c>
      <c r="D2807" s="106">
        <v>2380000.0</v>
      </c>
      <c r="E2807" s="26">
        <v>0.0</v>
      </c>
      <c r="H2807" s="113"/>
      <c r="I2807" s="114"/>
      <c r="J2807" s="114"/>
      <c r="K2807" s="116"/>
      <c r="L2807" s="117"/>
      <c r="M2807" s="112"/>
      <c r="N2807" s="112"/>
    </row>
    <row r="2808">
      <c r="A2808" s="28" t="s">
        <v>2420</v>
      </c>
      <c r="B2808" s="107" t="s">
        <v>2426</v>
      </c>
      <c r="C2808" s="28">
        <v>24.0</v>
      </c>
      <c r="D2808" s="106">
        <v>55000.0</v>
      </c>
      <c r="E2808" s="26">
        <v>0.0</v>
      </c>
      <c r="H2808" s="113"/>
      <c r="I2808" s="114"/>
      <c r="J2808" s="114"/>
      <c r="K2808" s="116"/>
      <c r="L2808" s="117"/>
      <c r="M2808" s="112"/>
      <c r="N2808" s="112"/>
    </row>
    <row r="2809">
      <c r="A2809" s="28" t="s">
        <v>2420</v>
      </c>
      <c r="B2809" s="107" t="s">
        <v>2429</v>
      </c>
      <c r="C2809" s="28">
        <v>24.0</v>
      </c>
      <c r="D2809" s="106">
        <v>45000.0</v>
      </c>
      <c r="E2809" s="26">
        <v>0.0</v>
      </c>
      <c r="H2809" s="113"/>
      <c r="I2809" s="114"/>
      <c r="J2809" s="114"/>
      <c r="K2809" s="116"/>
      <c r="L2809" s="117"/>
      <c r="M2809" s="112"/>
      <c r="N2809" s="112"/>
    </row>
    <row r="2810">
      <c r="A2810" s="28" t="s">
        <v>2421</v>
      </c>
      <c r="B2810" s="107" t="s">
        <v>2476</v>
      </c>
      <c r="C2810" s="28">
        <v>120.0</v>
      </c>
      <c r="D2810" s="106">
        <v>60000.0</v>
      </c>
      <c r="E2810" s="26">
        <v>0.0</v>
      </c>
      <c r="H2810" s="113"/>
      <c r="I2810" s="114"/>
      <c r="J2810" s="114"/>
      <c r="K2810" s="116"/>
      <c r="L2810" s="117"/>
      <c r="M2810" s="112"/>
      <c r="N2810" s="112"/>
    </row>
    <row r="2811">
      <c r="A2811" s="28" t="s">
        <v>2421</v>
      </c>
      <c r="B2811" s="107" t="s">
        <v>2442</v>
      </c>
      <c r="C2811" s="28">
        <v>50.0</v>
      </c>
      <c r="D2811" s="29">
        <v>0.0</v>
      </c>
      <c r="E2811" s="26">
        <v>0.0</v>
      </c>
      <c r="F2811" s="26" t="s">
        <v>2438</v>
      </c>
      <c r="H2811" s="113"/>
      <c r="I2811" s="114"/>
      <c r="J2811" s="114"/>
      <c r="K2811" s="116"/>
      <c r="L2811" s="117"/>
      <c r="M2811" s="112"/>
      <c r="N2811" s="112"/>
    </row>
    <row r="2812">
      <c r="A2812" s="28" t="s">
        <v>2421</v>
      </c>
      <c r="B2812" s="107" t="s">
        <v>2455</v>
      </c>
      <c r="C2812" s="28">
        <v>20.0</v>
      </c>
      <c r="D2812" s="29">
        <v>0.0</v>
      </c>
      <c r="E2812" s="26">
        <v>0.0</v>
      </c>
      <c r="F2812" s="26" t="s">
        <v>2438</v>
      </c>
      <c r="H2812" s="113"/>
      <c r="I2812" s="114"/>
      <c r="J2812" s="114"/>
      <c r="K2812" s="116"/>
      <c r="L2812" s="117"/>
      <c r="M2812" s="112"/>
      <c r="N2812" s="112"/>
    </row>
    <row r="2813">
      <c r="A2813" s="28" t="s">
        <v>2421</v>
      </c>
      <c r="B2813" s="107" t="s">
        <v>2525</v>
      </c>
      <c r="C2813" s="28">
        <v>10.0</v>
      </c>
      <c r="D2813" s="29">
        <v>0.0</v>
      </c>
      <c r="E2813" s="26">
        <v>0.0</v>
      </c>
      <c r="F2813" s="26" t="s">
        <v>2438</v>
      </c>
      <c r="H2813" s="113"/>
      <c r="I2813" s="114"/>
      <c r="J2813" s="114"/>
      <c r="K2813" s="116"/>
      <c r="L2813" s="118"/>
      <c r="M2813" s="112"/>
      <c r="N2813" s="112"/>
    </row>
  </sheetData>
  <mergeCells count="1">
    <mergeCell ref="A1:F1"/>
  </mergeCells>
  <dataValidations>
    <dataValidation type="list" allowBlank="1" showInputMessage="1" showErrorMessage="1" prompt="Please choose from list" sqref="J2796:J2813">
      <formula1>#REF!</formula1>
    </dataValidation>
    <dataValidation type="custom" allowBlank="1" showDropDown="1" showInputMessage="1" showErrorMessage="1" prompt="Please enter the format MM/DD/YY" sqref="H2792:H2813">
      <formula1>OR(NOT(ISERROR(DATEVALUE(H2792))), AND(ISNUMBER(H2792), LEFT(CELL("format", H2792))="D"))</formula1>
    </dataValidation>
    <dataValidation type="list" allowBlank="1" showErrorMessage="1" sqref="J2792:J2795">
      <formula1>#REF!</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7.88"/>
    <col customWidth="1" min="2" max="2" width="141.5"/>
    <col customWidth="1" min="3" max="3" width="37.0"/>
    <col customWidth="1" min="4" max="4" width="13.38"/>
    <col customWidth="1" min="5" max="5" width="10.88"/>
    <col customWidth="1" min="6" max="6" width="39.38"/>
    <col customWidth="1" min="7" max="7" width="11.88"/>
    <col customWidth="1" min="8" max="8" width="14.0"/>
  </cols>
  <sheetData>
    <row r="1">
      <c r="A1" s="21" t="s">
        <v>2532</v>
      </c>
    </row>
    <row r="2">
      <c r="A2" s="22" t="s">
        <v>2533</v>
      </c>
      <c r="B2" s="22" t="s">
        <v>285</v>
      </c>
      <c r="C2" s="22" t="s">
        <v>89</v>
      </c>
      <c r="D2" s="22" t="s">
        <v>2534</v>
      </c>
      <c r="E2" s="22" t="s">
        <v>43</v>
      </c>
      <c r="F2" s="22" t="s">
        <v>2535</v>
      </c>
      <c r="G2" s="22" t="s">
        <v>2536</v>
      </c>
      <c r="H2" s="22" t="s">
        <v>2537</v>
      </c>
    </row>
    <row r="3">
      <c r="A3" s="23" t="s">
        <v>49</v>
      </c>
      <c r="B3" s="23" t="s">
        <v>49</v>
      </c>
      <c r="C3" s="24"/>
      <c r="D3" s="23" t="s">
        <v>49</v>
      </c>
      <c r="E3" s="24"/>
      <c r="F3" s="24"/>
      <c r="G3" s="24"/>
      <c r="H3" s="24"/>
    </row>
    <row r="4">
      <c r="A4" s="25" t="s">
        <v>102</v>
      </c>
      <c r="B4" s="25" t="s">
        <v>2538</v>
      </c>
      <c r="C4" s="25" t="s">
        <v>2539</v>
      </c>
      <c r="D4" s="25" t="s">
        <v>51</v>
      </c>
      <c r="E4" s="25" t="s">
        <v>50</v>
      </c>
      <c r="F4" s="25" t="s">
        <v>2540</v>
      </c>
      <c r="G4" s="25" t="s">
        <v>50</v>
      </c>
      <c r="H4" s="25" t="s">
        <v>50</v>
      </c>
    </row>
    <row r="5">
      <c r="A5" s="25"/>
      <c r="B5" s="25"/>
      <c r="C5" s="25"/>
      <c r="D5" s="25"/>
      <c r="E5" s="25"/>
      <c r="F5" s="25"/>
      <c r="G5" s="25"/>
      <c r="H5" s="25"/>
    </row>
    <row r="6">
      <c r="A6" s="27">
        <v>46022.0</v>
      </c>
      <c r="B6" s="26" t="s">
        <v>2541</v>
      </c>
      <c r="C6" s="26" t="s">
        <v>255</v>
      </c>
      <c r="D6" s="26">
        <v>1320000.0</v>
      </c>
      <c r="F6" s="26" t="s">
        <v>2542</v>
      </c>
    </row>
    <row r="7">
      <c r="A7" s="27">
        <v>46022.0</v>
      </c>
      <c r="B7" s="26" t="s">
        <v>2543</v>
      </c>
      <c r="C7" s="26" t="s">
        <v>255</v>
      </c>
      <c r="D7" s="26">
        <v>2891.0</v>
      </c>
      <c r="F7" s="26" t="s">
        <v>2542</v>
      </c>
    </row>
    <row r="8">
      <c r="A8" s="27">
        <v>46022.0</v>
      </c>
      <c r="B8" s="26" t="s">
        <v>2544</v>
      </c>
      <c r="C8" s="26" t="s">
        <v>2545</v>
      </c>
      <c r="D8" s="26">
        <v>500000.0</v>
      </c>
      <c r="F8" s="26" t="s">
        <v>2542</v>
      </c>
      <c r="G8" s="26">
        <v>6271.0</v>
      </c>
    </row>
    <row r="9">
      <c r="A9" s="27">
        <v>46022.0</v>
      </c>
      <c r="B9" s="26" t="s">
        <v>2546</v>
      </c>
      <c r="C9" s="26" t="s">
        <v>2545</v>
      </c>
      <c r="D9" s="26">
        <v>500000.0</v>
      </c>
      <c r="F9" s="26" t="s">
        <v>2542</v>
      </c>
      <c r="G9" s="26">
        <v>6271.0</v>
      </c>
    </row>
    <row r="10">
      <c r="A10" s="27">
        <v>46022.0</v>
      </c>
      <c r="B10" s="26" t="s">
        <v>2547</v>
      </c>
      <c r="C10" s="26" t="s">
        <v>2545</v>
      </c>
      <c r="D10" s="26">
        <v>500000.0</v>
      </c>
      <c r="F10" s="26" t="s">
        <v>2542</v>
      </c>
      <c r="G10" s="26">
        <v>6271.0</v>
      </c>
    </row>
    <row r="11">
      <c r="A11" s="27">
        <v>46022.0</v>
      </c>
      <c r="B11" s="26" t="s">
        <v>2548</v>
      </c>
      <c r="C11" s="26" t="s">
        <v>2545</v>
      </c>
      <c r="D11" s="26">
        <v>500000.0</v>
      </c>
      <c r="F11" s="26" t="s">
        <v>2542</v>
      </c>
      <c r="G11" s="26">
        <v>6271.0</v>
      </c>
    </row>
    <row r="12">
      <c r="A12" s="27">
        <v>46022.0</v>
      </c>
      <c r="B12" s="26" t="s">
        <v>2549</v>
      </c>
      <c r="C12" s="26" t="s">
        <v>2545</v>
      </c>
      <c r="D12" s="26">
        <v>500000.0</v>
      </c>
      <c r="F12" s="26" t="s">
        <v>2542</v>
      </c>
      <c r="G12" s="26">
        <v>6271.0</v>
      </c>
    </row>
    <row r="13">
      <c r="A13" s="27">
        <v>46022.0</v>
      </c>
      <c r="B13" s="26" t="s">
        <v>2550</v>
      </c>
      <c r="C13" s="26" t="s">
        <v>2545</v>
      </c>
      <c r="D13" s="26">
        <v>500000.0</v>
      </c>
      <c r="F13" s="26" t="s">
        <v>2542</v>
      </c>
      <c r="G13" s="26">
        <v>6271.0</v>
      </c>
    </row>
    <row r="14">
      <c r="A14" s="27">
        <v>46022.0</v>
      </c>
      <c r="B14" s="26" t="s">
        <v>2551</v>
      </c>
      <c r="C14" s="26" t="s">
        <v>2545</v>
      </c>
      <c r="D14" s="26">
        <v>1000000.0</v>
      </c>
      <c r="F14" s="26" t="s">
        <v>2542</v>
      </c>
      <c r="G14" s="26">
        <v>6271.0</v>
      </c>
    </row>
    <row r="15">
      <c r="A15" s="27">
        <v>46022.0</v>
      </c>
      <c r="B15" s="26" t="s">
        <v>2552</v>
      </c>
      <c r="C15" s="26" t="s">
        <v>2545</v>
      </c>
      <c r="D15" s="26">
        <v>1000000.0</v>
      </c>
      <c r="F15" s="26" t="s">
        <v>2542</v>
      </c>
      <c r="G15" s="26">
        <v>6271.0</v>
      </c>
    </row>
    <row r="16">
      <c r="A16" s="27">
        <v>46021.0</v>
      </c>
      <c r="B16" s="26" t="s">
        <v>2553</v>
      </c>
      <c r="C16" s="26" t="s">
        <v>255</v>
      </c>
      <c r="D16" s="26">
        <v>1188000.0</v>
      </c>
      <c r="F16" s="26" t="s">
        <v>2542</v>
      </c>
    </row>
    <row r="17">
      <c r="A17" s="27">
        <v>46021.0</v>
      </c>
      <c r="B17" s="26" t="s">
        <v>2554</v>
      </c>
      <c r="C17" s="26" t="s">
        <v>255</v>
      </c>
      <c r="D17" s="26">
        <v>1440000.0</v>
      </c>
      <c r="F17" s="26" t="s">
        <v>2542</v>
      </c>
    </row>
    <row r="18">
      <c r="A18" s="27">
        <v>46021.0</v>
      </c>
      <c r="B18" s="26" t="s">
        <v>2555</v>
      </c>
      <c r="C18" s="26" t="s">
        <v>255</v>
      </c>
      <c r="D18" s="26">
        <v>2376000.0</v>
      </c>
      <c r="F18" s="26" t="s">
        <v>2542</v>
      </c>
    </row>
    <row r="19">
      <c r="A19" s="27">
        <v>46021.0</v>
      </c>
      <c r="B19" s="26" t="s">
        <v>2556</v>
      </c>
      <c r="C19" s="26" t="s">
        <v>255</v>
      </c>
      <c r="D19" s="26">
        <v>3325000.0</v>
      </c>
      <c r="F19" s="26" t="s">
        <v>2542</v>
      </c>
    </row>
    <row r="20">
      <c r="A20" s="27">
        <v>46021.0</v>
      </c>
      <c r="B20" s="26" t="s">
        <v>2557</v>
      </c>
      <c r="C20" s="26" t="s">
        <v>255</v>
      </c>
      <c r="D20" s="26">
        <v>2491500.0</v>
      </c>
      <c r="F20" s="26" t="s">
        <v>2542</v>
      </c>
    </row>
    <row r="21">
      <c r="A21" s="27">
        <v>46021.0</v>
      </c>
      <c r="B21" s="26" t="s">
        <v>2558</v>
      </c>
      <c r="C21" s="26" t="s">
        <v>255</v>
      </c>
      <c r="D21" s="26">
        <v>2706000.0</v>
      </c>
      <c r="F21" s="26" t="s">
        <v>2542</v>
      </c>
    </row>
    <row r="22">
      <c r="A22" s="27">
        <v>46021.0</v>
      </c>
      <c r="B22" s="26" t="s">
        <v>2559</v>
      </c>
      <c r="C22" s="26" t="s">
        <v>255</v>
      </c>
      <c r="D22" s="26">
        <v>2.57896E7</v>
      </c>
      <c r="F22" s="26" t="s">
        <v>2542</v>
      </c>
    </row>
    <row r="23">
      <c r="A23" s="27">
        <v>46021.0</v>
      </c>
      <c r="B23" s="26" t="s">
        <v>2560</v>
      </c>
      <c r="C23" s="26" t="s">
        <v>2561</v>
      </c>
      <c r="D23" s="26">
        <v>966600.0</v>
      </c>
      <c r="F23" s="26" t="s">
        <v>2542</v>
      </c>
      <c r="G23" s="26">
        <v>331.0</v>
      </c>
    </row>
    <row r="24">
      <c r="A24" s="27">
        <v>46021.0</v>
      </c>
      <c r="B24" s="26" t="s">
        <v>2562</v>
      </c>
      <c r="C24" s="26" t="s">
        <v>2563</v>
      </c>
      <c r="D24" s="26">
        <v>41717.0</v>
      </c>
      <c r="F24" s="26" t="s">
        <v>2542</v>
      </c>
      <c r="G24" s="26">
        <v>635.0</v>
      </c>
    </row>
    <row r="25">
      <c r="A25" s="27">
        <v>46021.0</v>
      </c>
      <c r="B25" s="26" t="s">
        <v>2562</v>
      </c>
      <c r="C25" s="26" t="s">
        <v>2563</v>
      </c>
      <c r="D25" s="26">
        <v>70952.0</v>
      </c>
      <c r="F25" s="26" t="s">
        <v>2542</v>
      </c>
      <c r="G25" s="26">
        <v>635.0</v>
      </c>
    </row>
    <row r="26">
      <c r="A26" s="27">
        <v>46021.0</v>
      </c>
      <c r="B26" s="26" t="s">
        <v>2562</v>
      </c>
      <c r="C26" s="26" t="s">
        <v>2564</v>
      </c>
      <c r="D26" s="26" t="s">
        <v>2565</v>
      </c>
      <c r="F26" s="26" t="s">
        <v>2542</v>
      </c>
      <c r="G26" s="26">
        <v>3332.0</v>
      </c>
    </row>
    <row r="27">
      <c r="A27" s="27">
        <v>46021.0</v>
      </c>
      <c r="B27" s="26" t="s">
        <v>2562</v>
      </c>
      <c r="C27" s="26" t="s">
        <v>2564</v>
      </c>
      <c r="D27" s="26" t="s">
        <v>2566</v>
      </c>
      <c r="F27" s="26" t="s">
        <v>2542</v>
      </c>
      <c r="G27" s="26">
        <v>3332.0</v>
      </c>
    </row>
    <row r="28">
      <c r="A28" s="27">
        <v>46021.0</v>
      </c>
      <c r="B28" s="26" t="s">
        <v>2567</v>
      </c>
      <c r="C28" s="26" t="s">
        <v>2545</v>
      </c>
      <c r="D28" s="26">
        <v>1.5E7</v>
      </c>
      <c r="F28" s="26" t="s">
        <v>2542</v>
      </c>
      <c r="G28" s="26">
        <v>3348.0</v>
      </c>
    </row>
    <row r="29">
      <c r="A29" s="27">
        <v>46020.0</v>
      </c>
      <c r="B29" s="26" t="s">
        <v>2568</v>
      </c>
      <c r="C29" s="26" t="s">
        <v>255</v>
      </c>
      <c r="D29" s="26">
        <v>500000.0</v>
      </c>
      <c r="F29" s="26" t="s">
        <v>2542</v>
      </c>
    </row>
    <row r="30">
      <c r="A30" s="27">
        <v>46020.0</v>
      </c>
      <c r="B30" s="26" t="s">
        <v>2569</v>
      </c>
      <c r="C30" s="26" t="s">
        <v>255</v>
      </c>
      <c r="D30" s="26">
        <v>2376000.0</v>
      </c>
      <c r="F30" s="26" t="s">
        <v>2542</v>
      </c>
    </row>
    <row r="31">
      <c r="A31" s="27">
        <v>46020.0</v>
      </c>
      <c r="B31" s="26" t="s">
        <v>2570</v>
      </c>
      <c r="C31" s="26" t="s">
        <v>2571</v>
      </c>
      <c r="D31" s="26">
        <v>96000.0</v>
      </c>
      <c r="F31" s="26" t="s">
        <v>2542</v>
      </c>
      <c r="G31" s="26">
        <v>641.22</v>
      </c>
    </row>
    <row r="32">
      <c r="A32" s="27">
        <v>46018.0</v>
      </c>
      <c r="B32" s="26" t="s">
        <v>2572</v>
      </c>
      <c r="C32" s="26" t="s">
        <v>255</v>
      </c>
      <c r="D32" s="26">
        <v>2304000.0</v>
      </c>
      <c r="F32" s="26" t="s">
        <v>2542</v>
      </c>
    </row>
    <row r="33">
      <c r="A33" s="27">
        <v>46018.0</v>
      </c>
      <c r="B33" s="26" t="s">
        <v>2573</v>
      </c>
      <c r="C33" s="26" t="s">
        <v>2574</v>
      </c>
      <c r="D33" s="26">
        <v>4700000.0</v>
      </c>
      <c r="F33" s="26" t="s">
        <v>2542</v>
      </c>
      <c r="G33" s="26">
        <v>331.0</v>
      </c>
    </row>
    <row r="34">
      <c r="A34" s="27">
        <v>46017.0</v>
      </c>
      <c r="B34" s="26" t="s">
        <v>2575</v>
      </c>
      <c r="C34" s="26" t="s">
        <v>255</v>
      </c>
      <c r="D34" s="26">
        <v>8184000.0</v>
      </c>
      <c r="F34" s="26" t="s">
        <v>2542</v>
      </c>
    </row>
    <row r="35">
      <c r="A35" s="27">
        <v>46017.0</v>
      </c>
      <c r="B35" s="26" t="s">
        <v>2576</v>
      </c>
      <c r="C35" s="26" t="s">
        <v>255</v>
      </c>
      <c r="D35" s="26">
        <v>1.87033E7</v>
      </c>
      <c r="F35" s="26" t="s">
        <v>2542</v>
      </c>
    </row>
    <row r="36">
      <c r="A36" s="27">
        <v>46017.0</v>
      </c>
      <c r="B36" s="26" t="s">
        <v>2577</v>
      </c>
      <c r="C36" s="26" t="s">
        <v>255</v>
      </c>
      <c r="D36" s="26">
        <v>6270000.0</v>
      </c>
      <c r="F36" s="26" t="s">
        <v>2542</v>
      </c>
    </row>
    <row r="37">
      <c r="A37" s="27">
        <v>46017.0</v>
      </c>
      <c r="B37" s="26" t="s">
        <v>2578</v>
      </c>
      <c r="C37" s="26" t="s">
        <v>255</v>
      </c>
      <c r="D37" s="26">
        <v>5572908.0</v>
      </c>
      <c r="F37" s="26" t="s">
        <v>2542</v>
      </c>
    </row>
    <row r="38">
      <c r="A38" s="27">
        <v>46017.0</v>
      </c>
      <c r="B38" s="26" t="s">
        <v>2579</v>
      </c>
      <c r="C38" s="26" t="s">
        <v>255</v>
      </c>
      <c r="D38" s="26">
        <v>1595000.0</v>
      </c>
      <c r="F38" s="26" t="s">
        <v>2542</v>
      </c>
    </row>
    <row r="39">
      <c r="A39" s="27">
        <v>46017.0</v>
      </c>
      <c r="B39" s="26" t="s">
        <v>2580</v>
      </c>
      <c r="C39" s="26" t="s">
        <v>2581</v>
      </c>
      <c r="D39" s="26">
        <v>1250000.0</v>
      </c>
      <c r="F39" s="26" t="s">
        <v>2542</v>
      </c>
      <c r="G39" s="26">
        <v>6422.0</v>
      </c>
    </row>
    <row r="40">
      <c r="A40" s="27">
        <v>46017.0</v>
      </c>
      <c r="B40" s="26" t="s">
        <v>2582</v>
      </c>
      <c r="C40" s="26" t="s">
        <v>2583</v>
      </c>
      <c r="D40" s="26">
        <v>5596351.0</v>
      </c>
      <c r="F40" s="26" t="s">
        <v>2542</v>
      </c>
      <c r="G40" s="26">
        <v>641.37</v>
      </c>
    </row>
    <row r="41">
      <c r="A41" s="27">
        <v>46016.0</v>
      </c>
      <c r="B41" s="26" t="s">
        <v>2584</v>
      </c>
      <c r="C41" s="26" t="s">
        <v>2581</v>
      </c>
      <c r="D41" s="26">
        <v>700000.0</v>
      </c>
      <c r="F41" s="26" t="s">
        <v>2542</v>
      </c>
      <c r="G41" s="26">
        <v>6422.0</v>
      </c>
    </row>
    <row r="42">
      <c r="A42" s="27">
        <v>46016.0</v>
      </c>
      <c r="B42" s="26" t="s">
        <v>2585</v>
      </c>
      <c r="C42" s="26" t="s">
        <v>2583</v>
      </c>
      <c r="D42" s="26">
        <v>110000.0</v>
      </c>
      <c r="F42" s="26" t="s">
        <v>2542</v>
      </c>
      <c r="G42" s="26">
        <v>641.24</v>
      </c>
    </row>
    <row r="43">
      <c r="A43" s="27">
        <v>46015.0</v>
      </c>
      <c r="B43" s="26" t="s">
        <v>2586</v>
      </c>
      <c r="C43" s="26" t="s">
        <v>255</v>
      </c>
      <c r="D43" s="26">
        <v>19820.0</v>
      </c>
      <c r="F43" s="26" t="s">
        <v>2542</v>
      </c>
    </row>
    <row r="44">
      <c r="A44" s="27">
        <v>46015.0</v>
      </c>
      <c r="B44" s="26" t="s">
        <v>2587</v>
      </c>
      <c r="C44" s="26" t="s">
        <v>2583</v>
      </c>
      <c r="D44" s="26">
        <v>280000.0</v>
      </c>
      <c r="F44" s="26" t="s">
        <v>2542</v>
      </c>
      <c r="G44" s="26">
        <v>641.24</v>
      </c>
    </row>
    <row r="45">
      <c r="A45" s="27">
        <v>46014.0</v>
      </c>
      <c r="B45" s="26" t="s">
        <v>2588</v>
      </c>
      <c r="C45" s="26" t="s">
        <v>255</v>
      </c>
      <c r="D45" s="26">
        <v>640000.0</v>
      </c>
      <c r="F45" s="26" t="s">
        <v>2542</v>
      </c>
    </row>
    <row r="46">
      <c r="A46" s="27">
        <v>46014.0</v>
      </c>
      <c r="B46" s="26" t="s">
        <v>2589</v>
      </c>
      <c r="C46" s="26" t="s">
        <v>255</v>
      </c>
      <c r="D46" s="26">
        <v>3190000.0</v>
      </c>
      <c r="F46" s="26" t="s">
        <v>2542</v>
      </c>
    </row>
    <row r="47">
      <c r="A47" s="27">
        <v>46013.0</v>
      </c>
      <c r="B47" s="26" t="s">
        <v>2590</v>
      </c>
      <c r="C47" s="26" t="s">
        <v>255</v>
      </c>
      <c r="D47" s="26">
        <v>6187500.0</v>
      </c>
      <c r="F47" s="26" t="s">
        <v>2542</v>
      </c>
    </row>
    <row r="48">
      <c r="A48" s="27">
        <v>46013.0</v>
      </c>
      <c r="B48" s="26" t="s">
        <v>2591</v>
      </c>
      <c r="C48" s="26" t="s">
        <v>255</v>
      </c>
      <c r="D48" s="26">
        <v>2534400.0</v>
      </c>
      <c r="F48" s="26" t="s">
        <v>2542</v>
      </c>
    </row>
    <row r="49">
      <c r="A49" s="27">
        <v>46013.0</v>
      </c>
      <c r="B49" s="26" t="s">
        <v>2592</v>
      </c>
      <c r="C49" s="26" t="s">
        <v>2593</v>
      </c>
      <c r="D49" s="26">
        <v>310000.0</v>
      </c>
      <c r="F49" s="26" t="s">
        <v>2542</v>
      </c>
      <c r="G49" s="26">
        <v>6423.0</v>
      </c>
    </row>
    <row r="50">
      <c r="A50" s="27">
        <v>46013.0</v>
      </c>
      <c r="B50" s="26" t="s">
        <v>2594</v>
      </c>
      <c r="C50" s="26" t="s">
        <v>2561</v>
      </c>
      <c r="D50" s="26">
        <v>400000.0</v>
      </c>
      <c r="F50" s="26" t="s">
        <v>2542</v>
      </c>
      <c r="G50" s="26">
        <v>331.0</v>
      </c>
    </row>
    <row r="51">
      <c r="A51" s="27">
        <v>46013.0</v>
      </c>
      <c r="B51" s="26" t="s">
        <v>2595</v>
      </c>
      <c r="C51" s="26" t="s">
        <v>2561</v>
      </c>
      <c r="D51" s="26">
        <v>5631120.0</v>
      </c>
      <c r="F51" s="26" t="s">
        <v>2542</v>
      </c>
      <c r="G51" s="26">
        <v>331.0</v>
      </c>
    </row>
    <row r="52">
      <c r="A52" s="27">
        <v>46010.0</v>
      </c>
      <c r="B52" s="26" t="s">
        <v>2596</v>
      </c>
      <c r="C52" s="26" t="s">
        <v>255</v>
      </c>
      <c r="D52" s="26">
        <v>2.23952E7</v>
      </c>
      <c r="F52" s="26" t="s">
        <v>2542</v>
      </c>
    </row>
    <row r="53">
      <c r="A53" s="27">
        <v>46010.0</v>
      </c>
      <c r="B53" s="26" t="s">
        <v>2597</v>
      </c>
      <c r="C53" s="26" t="s">
        <v>255</v>
      </c>
      <c r="D53" s="26">
        <v>1.109152E7</v>
      </c>
      <c r="F53" s="26" t="s">
        <v>2542</v>
      </c>
    </row>
    <row r="54">
      <c r="A54" s="27">
        <v>46010.0</v>
      </c>
      <c r="B54" s="26" t="s">
        <v>2598</v>
      </c>
      <c r="C54" s="26" t="s">
        <v>2593</v>
      </c>
      <c r="D54" s="26">
        <v>85000.0</v>
      </c>
      <c r="F54" s="26" t="s">
        <v>2542</v>
      </c>
      <c r="G54" s="26">
        <v>6423.0</v>
      </c>
    </row>
    <row r="55">
      <c r="A55" s="27">
        <v>46008.0</v>
      </c>
      <c r="B55" s="26" t="s">
        <v>2599</v>
      </c>
      <c r="C55" s="26" t="s">
        <v>255</v>
      </c>
      <c r="D55" s="26">
        <v>580000.0</v>
      </c>
      <c r="F55" s="26" t="s">
        <v>2542</v>
      </c>
    </row>
    <row r="56">
      <c r="A56" s="27">
        <v>46008.0</v>
      </c>
      <c r="B56" s="26" t="s">
        <v>2600</v>
      </c>
      <c r="C56" s="26" t="s">
        <v>255</v>
      </c>
      <c r="D56" s="26">
        <v>1188000.0</v>
      </c>
      <c r="F56" s="26" t="s">
        <v>2542</v>
      </c>
    </row>
    <row r="57">
      <c r="A57" s="27">
        <v>46008.0</v>
      </c>
      <c r="B57" s="26" t="s">
        <v>2601</v>
      </c>
      <c r="C57" s="26" t="s">
        <v>2583</v>
      </c>
      <c r="D57" s="26">
        <v>185000.0</v>
      </c>
      <c r="F57" s="26" t="s">
        <v>2542</v>
      </c>
      <c r="G57" s="26">
        <v>641.24</v>
      </c>
    </row>
    <row r="58">
      <c r="A58" s="27">
        <v>46007.0</v>
      </c>
      <c r="B58" s="26" t="s">
        <v>2602</v>
      </c>
      <c r="C58" s="26" t="s">
        <v>255</v>
      </c>
      <c r="D58" s="26">
        <v>5071000.0</v>
      </c>
      <c r="F58" s="26" t="s">
        <v>2542</v>
      </c>
    </row>
    <row r="59">
      <c r="A59" s="27">
        <v>46007.0</v>
      </c>
      <c r="B59" s="26" t="s">
        <v>2603</v>
      </c>
      <c r="C59" s="26" t="s">
        <v>255</v>
      </c>
      <c r="D59" s="26">
        <v>1188000.0</v>
      </c>
      <c r="F59" s="26" t="s">
        <v>2542</v>
      </c>
    </row>
    <row r="60">
      <c r="A60" s="27">
        <v>46007.0</v>
      </c>
      <c r="B60" s="26" t="s">
        <v>2602</v>
      </c>
      <c r="C60" s="28"/>
      <c r="D60" s="26">
        <v>5071000.0</v>
      </c>
      <c r="F60" s="26" t="s">
        <v>2542</v>
      </c>
    </row>
    <row r="61">
      <c r="A61" s="27">
        <v>46006.0</v>
      </c>
      <c r="B61" s="26" t="s">
        <v>2604</v>
      </c>
      <c r="C61" s="26" t="s">
        <v>255</v>
      </c>
      <c r="D61" s="26">
        <v>1.2153625E7</v>
      </c>
      <c r="F61" s="26" t="s">
        <v>2542</v>
      </c>
    </row>
    <row r="62">
      <c r="A62" s="27">
        <v>46006.0</v>
      </c>
      <c r="B62" s="26" t="s">
        <v>2605</v>
      </c>
      <c r="C62" s="26" t="s">
        <v>255</v>
      </c>
      <c r="D62" s="26">
        <v>2.13832E7</v>
      </c>
      <c r="F62" s="26" t="s">
        <v>2542</v>
      </c>
    </row>
    <row r="63">
      <c r="A63" s="27">
        <v>46006.0</v>
      </c>
      <c r="B63" s="26" t="s">
        <v>2606</v>
      </c>
      <c r="C63" s="26" t="s">
        <v>255</v>
      </c>
      <c r="D63" s="26">
        <v>1595000.0</v>
      </c>
      <c r="F63" s="26" t="s">
        <v>2542</v>
      </c>
    </row>
    <row r="64">
      <c r="A64" s="27">
        <v>46006.0</v>
      </c>
      <c r="B64" s="26" t="s">
        <v>2607</v>
      </c>
      <c r="C64" s="26" t="s">
        <v>255</v>
      </c>
      <c r="D64" s="26">
        <v>3036000.0</v>
      </c>
      <c r="F64" s="26" t="s">
        <v>2542</v>
      </c>
    </row>
    <row r="65">
      <c r="A65" s="27">
        <v>46006.0</v>
      </c>
      <c r="B65" s="26" t="s">
        <v>2608</v>
      </c>
      <c r="C65" s="26" t="s">
        <v>2545</v>
      </c>
      <c r="D65" s="26">
        <v>7160000.0</v>
      </c>
      <c r="F65" s="26" t="s">
        <v>2542</v>
      </c>
      <c r="G65" s="26">
        <v>3341.0</v>
      </c>
    </row>
    <row r="66">
      <c r="A66" s="27">
        <v>46006.0</v>
      </c>
      <c r="B66" s="26" t="s">
        <v>2609</v>
      </c>
      <c r="C66" s="26" t="s">
        <v>2545</v>
      </c>
      <c r="D66" s="26">
        <v>7160000.0</v>
      </c>
      <c r="F66" s="26" t="s">
        <v>2542</v>
      </c>
      <c r="G66" s="26">
        <v>3341.0</v>
      </c>
    </row>
    <row r="67">
      <c r="A67" s="27">
        <v>46006.0</v>
      </c>
      <c r="B67" s="26" t="s">
        <v>2610</v>
      </c>
      <c r="C67" s="26" t="s">
        <v>2545</v>
      </c>
      <c r="D67" s="26">
        <v>7160000.0</v>
      </c>
      <c r="F67" s="26" t="s">
        <v>2542</v>
      </c>
      <c r="G67" s="26">
        <v>3341.0</v>
      </c>
    </row>
    <row r="68">
      <c r="A68" s="27">
        <v>46004.0</v>
      </c>
      <c r="B68" s="26" t="s">
        <v>2611</v>
      </c>
      <c r="C68" s="26" t="s">
        <v>255</v>
      </c>
      <c r="D68" s="26">
        <v>1188000.0</v>
      </c>
      <c r="F68" s="26" t="s">
        <v>2542</v>
      </c>
    </row>
    <row r="69">
      <c r="A69" s="27">
        <v>46004.0</v>
      </c>
      <c r="B69" s="26" t="s">
        <v>2612</v>
      </c>
      <c r="C69" s="26" t="s">
        <v>2574</v>
      </c>
      <c r="D69" s="26">
        <v>2900000.0</v>
      </c>
      <c r="F69" s="26" t="s">
        <v>2542</v>
      </c>
      <c r="G69" s="26">
        <v>331.0</v>
      </c>
    </row>
    <row r="70">
      <c r="A70" s="27">
        <v>46003.0</v>
      </c>
      <c r="B70" s="26" t="s">
        <v>2613</v>
      </c>
      <c r="C70" s="26" t="s">
        <v>255</v>
      </c>
      <c r="D70" s="26">
        <v>5841000.0</v>
      </c>
      <c r="F70" s="26" t="s">
        <v>2542</v>
      </c>
    </row>
    <row r="71">
      <c r="A71" s="27">
        <v>46003.0</v>
      </c>
      <c r="B71" s="26" t="s">
        <v>2614</v>
      </c>
      <c r="C71" s="26" t="s">
        <v>255</v>
      </c>
      <c r="D71" s="26">
        <v>3325000.0</v>
      </c>
      <c r="F71" s="26" t="s">
        <v>2542</v>
      </c>
    </row>
    <row r="72">
      <c r="A72" s="27">
        <v>46003.0</v>
      </c>
      <c r="B72" s="26" t="s">
        <v>2615</v>
      </c>
      <c r="C72" s="26" t="s">
        <v>255</v>
      </c>
      <c r="D72" s="26">
        <v>1160000.0</v>
      </c>
      <c r="F72" s="26" t="s">
        <v>2542</v>
      </c>
    </row>
    <row r="73">
      <c r="A73" s="27">
        <v>46003.0</v>
      </c>
      <c r="B73" s="26" t="s">
        <v>2616</v>
      </c>
      <c r="C73" s="26" t="s">
        <v>255</v>
      </c>
      <c r="D73" s="26">
        <v>2.7364E7</v>
      </c>
      <c r="F73" s="26" t="s">
        <v>2542</v>
      </c>
    </row>
    <row r="74">
      <c r="A74" s="27">
        <v>46003.0</v>
      </c>
      <c r="B74" s="26" t="s">
        <v>2617</v>
      </c>
      <c r="C74" s="26" t="s">
        <v>255</v>
      </c>
      <c r="D74" s="26">
        <v>5760000.0</v>
      </c>
      <c r="F74" s="26" t="s">
        <v>2542</v>
      </c>
    </row>
    <row r="75">
      <c r="A75" s="27">
        <v>46003.0</v>
      </c>
      <c r="B75" s="26" t="s">
        <v>2618</v>
      </c>
      <c r="C75" s="26" t="s">
        <v>255</v>
      </c>
      <c r="D75" s="26">
        <v>2388000.0</v>
      </c>
      <c r="F75" s="26" t="s">
        <v>2542</v>
      </c>
    </row>
    <row r="76">
      <c r="A76" s="27">
        <v>46003.0</v>
      </c>
      <c r="B76" s="26" t="s">
        <v>2619</v>
      </c>
      <c r="C76" s="26" t="s">
        <v>255</v>
      </c>
      <c r="D76" s="26">
        <v>1550000.0</v>
      </c>
      <c r="F76" s="26" t="s">
        <v>2542</v>
      </c>
    </row>
    <row r="77">
      <c r="A77" s="27">
        <v>46003.0</v>
      </c>
      <c r="B77" s="26" t="s">
        <v>2620</v>
      </c>
      <c r="C77" s="26" t="s">
        <v>255</v>
      </c>
      <c r="D77" s="26">
        <v>1600000.0</v>
      </c>
      <c r="F77" s="26" t="s">
        <v>2542</v>
      </c>
    </row>
    <row r="78">
      <c r="A78" s="27">
        <v>46003.0</v>
      </c>
      <c r="B78" s="26" t="s">
        <v>2621</v>
      </c>
      <c r="C78" s="26" t="s">
        <v>255</v>
      </c>
      <c r="D78" s="26">
        <v>7224000.0</v>
      </c>
      <c r="F78" s="26" t="s">
        <v>2542</v>
      </c>
    </row>
    <row r="79">
      <c r="A79" s="27">
        <v>46003.0</v>
      </c>
      <c r="B79" s="26" t="s">
        <v>2622</v>
      </c>
      <c r="C79" s="26" t="s">
        <v>255</v>
      </c>
      <c r="D79" s="26">
        <v>1152000.0</v>
      </c>
      <c r="F79" s="26" t="s">
        <v>2542</v>
      </c>
    </row>
    <row r="80">
      <c r="A80" s="27">
        <v>46003.0</v>
      </c>
      <c r="B80" s="26" t="s">
        <v>2623</v>
      </c>
      <c r="C80" s="26" t="s">
        <v>255</v>
      </c>
      <c r="D80" s="26">
        <v>1152000.0</v>
      </c>
      <c r="F80" s="26" t="s">
        <v>2542</v>
      </c>
    </row>
    <row r="81">
      <c r="A81" s="27">
        <v>46003.0</v>
      </c>
      <c r="B81" s="26" t="s">
        <v>2624</v>
      </c>
      <c r="C81" s="26" t="s">
        <v>255</v>
      </c>
      <c r="D81" s="26">
        <v>2400000.0</v>
      </c>
      <c r="F81" s="26" t="s">
        <v>2542</v>
      </c>
    </row>
    <row r="82">
      <c r="A82" s="27">
        <v>46003.0</v>
      </c>
      <c r="B82" s="26" t="s">
        <v>2625</v>
      </c>
      <c r="C82" s="26" t="s">
        <v>255</v>
      </c>
      <c r="D82" s="26">
        <v>2520000.0</v>
      </c>
      <c r="F82" s="26" t="s">
        <v>2542</v>
      </c>
    </row>
    <row r="83">
      <c r="A83" s="27">
        <v>46003.0</v>
      </c>
      <c r="B83" s="26" t="s">
        <v>2626</v>
      </c>
      <c r="C83" s="26" t="s">
        <v>255</v>
      </c>
      <c r="D83" s="26">
        <v>2640000.0</v>
      </c>
      <c r="F83" s="26" t="s">
        <v>2542</v>
      </c>
    </row>
    <row r="84">
      <c r="A84" s="27">
        <v>46003.0</v>
      </c>
      <c r="B84" s="26" t="s">
        <v>2627</v>
      </c>
      <c r="C84" s="26" t="s">
        <v>255</v>
      </c>
      <c r="D84" s="26">
        <v>2062500.0</v>
      </c>
      <c r="F84" s="26" t="s">
        <v>2542</v>
      </c>
    </row>
    <row r="85">
      <c r="A85" s="27">
        <v>46003.0</v>
      </c>
      <c r="B85" s="26" t="s">
        <v>2628</v>
      </c>
      <c r="C85" s="26" t="s">
        <v>255</v>
      </c>
      <c r="D85" s="26">
        <v>9350000.0</v>
      </c>
      <c r="F85" s="26" t="s">
        <v>2542</v>
      </c>
    </row>
    <row r="86">
      <c r="A86" s="27">
        <v>46003.0</v>
      </c>
      <c r="B86" s="26" t="s">
        <v>2629</v>
      </c>
      <c r="C86" s="26" t="s">
        <v>255</v>
      </c>
      <c r="D86" s="26">
        <v>7057908.0</v>
      </c>
      <c r="F86" s="26" t="s">
        <v>2542</v>
      </c>
    </row>
    <row r="87">
      <c r="A87" s="27">
        <v>46003.0</v>
      </c>
      <c r="B87" s="26" t="s">
        <v>2630</v>
      </c>
      <c r="C87" s="26" t="s">
        <v>255</v>
      </c>
      <c r="D87" s="26">
        <v>3190000.0</v>
      </c>
      <c r="F87" s="26" t="s">
        <v>2542</v>
      </c>
    </row>
    <row r="88">
      <c r="A88" s="27">
        <v>46003.0</v>
      </c>
      <c r="B88" s="26" t="s">
        <v>2631</v>
      </c>
      <c r="C88" s="26" t="s">
        <v>255</v>
      </c>
      <c r="D88" s="26">
        <v>1485000.0</v>
      </c>
      <c r="F88" s="26" t="s">
        <v>2542</v>
      </c>
    </row>
    <row r="89">
      <c r="A89" s="27">
        <v>46003.0</v>
      </c>
      <c r="B89" s="26" t="s">
        <v>2632</v>
      </c>
      <c r="C89" s="26" t="s">
        <v>2561</v>
      </c>
      <c r="D89" s="26">
        <v>5625180.0</v>
      </c>
      <c r="F89" s="26" t="s">
        <v>2542</v>
      </c>
      <c r="G89" s="26">
        <v>331.0</v>
      </c>
    </row>
    <row r="90">
      <c r="A90" s="27">
        <v>46003.0</v>
      </c>
      <c r="B90" s="26" t="s">
        <v>2633</v>
      </c>
      <c r="C90" s="26" t="s">
        <v>2571</v>
      </c>
      <c r="D90" s="26">
        <v>560000.0</v>
      </c>
      <c r="F90" s="26" t="s">
        <v>2542</v>
      </c>
      <c r="G90" s="26">
        <v>641.12</v>
      </c>
    </row>
    <row r="91">
      <c r="A91" s="27">
        <v>46003.0</v>
      </c>
      <c r="B91" s="26" t="s">
        <v>2634</v>
      </c>
      <c r="C91" s="26" t="s">
        <v>2545</v>
      </c>
      <c r="D91" s="26">
        <v>1.2E7</v>
      </c>
      <c r="F91" s="26" t="s">
        <v>2542</v>
      </c>
      <c r="G91" s="26">
        <v>3341.0</v>
      </c>
    </row>
    <row r="92">
      <c r="A92" s="27">
        <v>46003.0</v>
      </c>
      <c r="B92" s="26" t="s">
        <v>2635</v>
      </c>
      <c r="C92" s="26" t="s">
        <v>2545</v>
      </c>
      <c r="D92" s="26">
        <v>1.2E7</v>
      </c>
      <c r="F92" s="26" t="s">
        <v>2542</v>
      </c>
      <c r="G92" s="26">
        <v>3341.0</v>
      </c>
    </row>
    <row r="93">
      <c r="A93" s="27">
        <v>46003.0</v>
      </c>
      <c r="B93" s="26" t="s">
        <v>2636</v>
      </c>
      <c r="C93" s="26" t="s">
        <v>2593</v>
      </c>
      <c r="D93" s="26">
        <v>1253000.0</v>
      </c>
      <c r="F93" s="26" t="s">
        <v>2542</v>
      </c>
      <c r="G93" s="26">
        <v>6423.0</v>
      </c>
    </row>
    <row r="94">
      <c r="A94" s="27">
        <v>46002.0</v>
      </c>
      <c r="B94" s="26" t="s">
        <v>2637</v>
      </c>
      <c r="C94" s="26" t="s">
        <v>255</v>
      </c>
      <c r="D94" s="26">
        <v>1700050.0</v>
      </c>
      <c r="F94" s="26" t="s">
        <v>2542</v>
      </c>
    </row>
    <row r="95">
      <c r="A95" s="27">
        <v>46002.0</v>
      </c>
      <c r="B95" s="26" t="s">
        <v>2638</v>
      </c>
      <c r="C95" s="26" t="s">
        <v>255</v>
      </c>
      <c r="D95" s="26">
        <v>3.888005E7</v>
      </c>
      <c r="F95" s="26" t="s">
        <v>2542</v>
      </c>
    </row>
    <row r="96">
      <c r="A96" s="27">
        <v>46002.0</v>
      </c>
      <c r="B96" s="26" t="s">
        <v>2639</v>
      </c>
      <c r="C96" s="26" t="s">
        <v>255</v>
      </c>
      <c r="D96" s="26">
        <v>1080000.0</v>
      </c>
      <c r="F96" s="26" t="s">
        <v>2542</v>
      </c>
    </row>
    <row r="97">
      <c r="A97" s="27">
        <v>46002.0</v>
      </c>
      <c r="B97" s="26" t="s">
        <v>2640</v>
      </c>
      <c r="C97" s="26" t="s">
        <v>255</v>
      </c>
      <c r="D97" s="26">
        <v>1188000.0</v>
      </c>
      <c r="F97" s="26" t="s">
        <v>2542</v>
      </c>
    </row>
    <row r="98">
      <c r="A98" s="27">
        <v>46002.0</v>
      </c>
      <c r="B98" s="26" t="s">
        <v>2600</v>
      </c>
      <c r="C98" s="26" t="s">
        <v>255</v>
      </c>
      <c r="D98" s="26">
        <v>1188000.0</v>
      </c>
      <c r="F98" s="26" t="s">
        <v>2542</v>
      </c>
    </row>
    <row r="99">
      <c r="A99" s="27">
        <v>46002.0</v>
      </c>
      <c r="B99" s="26" t="s">
        <v>2641</v>
      </c>
      <c r="C99" s="26" t="s">
        <v>2561</v>
      </c>
      <c r="D99" s="26">
        <v>2.070144E7</v>
      </c>
      <c r="F99" s="26" t="s">
        <v>2542</v>
      </c>
      <c r="G99" s="26">
        <v>331.0</v>
      </c>
    </row>
    <row r="100">
      <c r="A100" s="27">
        <v>46002.0</v>
      </c>
      <c r="B100" s="26" t="s">
        <v>2642</v>
      </c>
      <c r="C100" s="26" t="s">
        <v>2561</v>
      </c>
      <c r="D100" s="26">
        <v>1.9727242E7</v>
      </c>
      <c r="F100" s="26" t="s">
        <v>2542</v>
      </c>
      <c r="G100" s="26">
        <v>331.0</v>
      </c>
    </row>
    <row r="101">
      <c r="A101" s="27">
        <v>46002.0</v>
      </c>
      <c r="B101" s="26" t="s">
        <v>2643</v>
      </c>
      <c r="C101" s="26" t="s">
        <v>2545</v>
      </c>
      <c r="D101" s="26">
        <v>5370000.0</v>
      </c>
      <c r="F101" s="26" t="s">
        <v>2542</v>
      </c>
      <c r="G101" s="26">
        <v>3341.0</v>
      </c>
    </row>
    <row r="102">
      <c r="A102" s="27">
        <v>46002.0</v>
      </c>
      <c r="B102" s="26" t="s">
        <v>2644</v>
      </c>
      <c r="C102" s="26" t="s">
        <v>2545</v>
      </c>
      <c r="D102" s="26">
        <v>5370000.0</v>
      </c>
      <c r="F102" s="26" t="s">
        <v>2542</v>
      </c>
      <c r="G102" s="26">
        <v>3341.0</v>
      </c>
    </row>
    <row r="103">
      <c r="A103" s="27">
        <v>46002.0</v>
      </c>
      <c r="B103" s="26" t="s">
        <v>2645</v>
      </c>
      <c r="C103" s="26" t="s">
        <v>2583</v>
      </c>
      <c r="D103" s="26">
        <v>355000.0</v>
      </c>
      <c r="F103" s="26" t="s">
        <v>2542</v>
      </c>
      <c r="G103" s="26">
        <v>641.24</v>
      </c>
    </row>
    <row r="104">
      <c r="A104" s="27">
        <v>46002.0</v>
      </c>
      <c r="B104" s="26" t="s">
        <v>2646</v>
      </c>
      <c r="C104" s="26" t="s">
        <v>2583</v>
      </c>
      <c r="D104" s="26">
        <v>2900000.0</v>
      </c>
      <c r="F104" s="26" t="s">
        <v>2542</v>
      </c>
      <c r="G104" s="26">
        <v>641.24</v>
      </c>
    </row>
    <row r="105">
      <c r="A105" s="27">
        <v>46001.0</v>
      </c>
      <c r="B105" s="26" t="s">
        <v>2647</v>
      </c>
      <c r="C105" s="26" t="s">
        <v>2583</v>
      </c>
      <c r="D105" s="26">
        <v>330000.0</v>
      </c>
      <c r="F105" s="26" t="s">
        <v>2542</v>
      </c>
      <c r="G105" s="26">
        <v>641.24</v>
      </c>
    </row>
    <row r="106">
      <c r="A106" s="27">
        <v>46001.0</v>
      </c>
      <c r="B106" s="26" t="s">
        <v>2648</v>
      </c>
      <c r="C106" s="26" t="s">
        <v>2561</v>
      </c>
      <c r="D106" s="26">
        <v>3916000.0</v>
      </c>
      <c r="F106" s="26" t="s">
        <v>2542</v>
      </c>
      <c r="G106" s="26">
        <v>331.0</v>
      </c>
    </row>
    <row r="107">
      <c r="A107" s="27">
        <v>46001.0</v>
      </c>
      <c r="B107" s="26" t="s">
        <v>2649</v>
      </c>
      <c r="C107" s="26" t="s">
        <v>2545</v>
      </c>
      <c r="D107" s="26">
        <v>1.22E7</v>
      </c>
      <c r="F107" s="26" t="s">
        <v>2542</v>
      </c>
      <c r="G107" s="26">
        <v>3341.0</v>
      </c>
    </row>
    <row r="108">
      <c r="A108" s="27">
        <v>46001.0</v>
      </c>
      <c r="B108" s="26" t="s">
        <v>2650</v>
      </c>
      <c r="C108" s="26" t="s">
        <v>2545</v>
      </c>
      <c r="D108" s="26">
        <v>5200000.0</v>
      </c>
      <c r="F108" s="26" t="s">
        <v>2542</v>
      </c>
      <c r="G108" s="26">
        <v>3341.0</v>
      </c>
    </row>
    <row r="109">
      <c r="A109" s="27">
        <v>46001.0</v>
      </c>
      <c r="B109" s="26" t="s">
        <v>2651</v>
      </c>
      <c r="C109" s="26" t="s">
        <v>2545</v>
      </c>
      <c r="D109" s="26">
        <v>4000000.0</v>
      </c>
      <c r="F109" s="26" t="s">
        <v>2542</v>
      </c>
      <c r="G109" s="26">
        <v>3341.0</v>
      </c>
    </row>
    <row r="110">
      <c r="A110" s="27">
        <v>46001.0</v>
      </c>
      <c r="B110" s="26" t="s">
        <v>2652</v>
      </c>
      <c r="C110" s="26" t="s">
        <v>2545</v>
      </c>
      <c r="D110" s="26">
        <v>3000000.0</v>
      </c>
      <c r="F110" s="26" t="s">
        <v>2542</v>
      </c>
      <c r="G110" s="26">
        <v>3341.0</v>
      </c>
    </row>
    <row r="111">
      <c r="A111" s="27">
        <v>46001.0</v>
      </c>
      <c r="B111" s="26" t="s">
        <v>2653</v>
      </c>
      <c r="C111" s="26" t="s">
        <v>2545</v>
      </c>
      <c r="D111" s="26">
        <v>5200000.0</v>
      </c>
      <c r="F111" s="26" t="s">
        <v>2542</v>
      </c>
      <c r="G111" s="26">
        <v>3341.0</v>
      </c>
    </row>
    <row r="112">
      <c r="A112" s="27">
        <v>46001.0</v>
      </c>
      <c r="B112" s="26" t="s">
        <v>2654</v>
      </c>
      <c r="C112" s="26" t="s">
        <v>2655</v>
      </c>
      <c r="D112" s="26">
        <v>6400000.0</v>
      </c>
      <c r="F112" s="26" t="s">
        <v>2542</v>
      </c>
      <c r="G112" s="26">
        <v>3383.0</v>
      </c>
    </row>
    <row r="113">
      <c r="A113" s="27">
        <v>46000.0</v>
      </c>
      <c r="B113" s="26" t="s">
        <v>2656</v>
      </c>
      <c r="C113" s="26" t="s">
        <v>255</v>
      </c>
      <c r="D113" s="26">
        <v>4202000.0</v>
      </c>
      <c r="F113" s="26" t="s">
        <v>2542</v>
      </c>
    </row>
    <row r="114">
      <c r="A114" s="27">
        <v>46000.0</v>
      </c>
      <c r="B114" s="26" t="s">
        <v>2657</v>
      </c>
      <c r="C114" s="26" t="s">
        <v>255</v>
      </c>
      <c r="D114" s="26">
        <v>2729060.0</v>
      </c>
      <c r="F114" s="26" t="s">
        <v>2542</v>
      </c>
    </row>
    <row r="115">
      <c r="A115" s="27">
        <v>46000.0</v>
      </c>
      <c r="B115" s="26" t="s">
        <v>2658</v>
      </c>
      <c r="C115" s="26" t="s">
        <v>255</v>
      </c>
      <c r="D115" s="26">
        <v>2.983835E7</v>
      </c>
      <c r="F115" s="26" t="s">
        <v>2542</v>
      </c>
    </row>
    <row r="116">
      <c r="A116" s="27">
        <v>46000.0</v>
      </c>
      <c r="B116" s="26" t="s">
        <v>2659</v>
      </c>
      <c r="C116" s="26" t="s">
        <v>255</v>
      </c>
      <c r="D116" s="26">
        <v>2900000.0</v>
      </c>
      <c r="F116" s="26" t="s">
        <v>2542</v>
      </c>
    </row>
    <row r="117">
      <c r="A117" s="27">
        <v>46000.0</v>
      </c>
      <c r="B117" s="26" t="s">
        <v>2660</v>
      </c>
      <c r="C117" s="26" t="s">
        <v>255</v>
      </c>
      <c r="D117" s="26">
        <v>6266000.0</v>
      </c>
      <c r="F117" s="26" t="s">
        <v>2542</v>
      </c>
    </row>
    <row r="118">
      <c r="A118" s="27">
        <v>46000.0</v>
      </c>
      <c r="B118" s="26" t="s">
        <v>2661</v>
      </c>
      <c r="C118" s="26" t="s">
        <v>2561</v>
      </c>
      <c r="D118" s="26">
        <v>1.37295E7</v>
      </c>
      <c r="F118" s="26" t="s">
        <v>2542</v>
      </c>
      <c r="G118" s="26">
        <v>331.0</v>
      </c>
    </row>
    <row r="119">
      <c r="A119" s="27">
        <v>46000.0</v>
      </c>
      <c r="B119" s="26" t="s">
        <v>2662</v>
      </c>
      <c r="C119" s="26" t="s">
        <v>2593</v>
      </c>
      <c r="D119" s="26">
        <v>180000.0</v>
      </c>
      <c r="F119" s="26" t="s">
        <v>2542</v>
      </c>
      <c r="G119" s="26">
        <v>6423.0</v>
      </c>
    </row>
    <row r="120">
      <c r="A120" s="27">
        <v>45999.0</v>
      </c>
      <c r="B120" s="26" t="s">
        <v>2663</v>
      </c>
      <c r="C120" s="26" t="s">
        <v>255</v>
      </c>
      <c r="D120" s="26">
        <v>3520000.0</v>
      </c>
      <c r="F120" s="26" t="s">
        <v>2542</v>
      </c>
    </row>
    <row r="121">
      <c r="A121" s="27">
        <v>45999.0</v>
      </c>
      <c r="B121" s="26" t="s">
        <v>2664</v>
      </c>
      <c r="C121" s="26" t="s">
        <v>255</v>
      </c>
      <c r="D121" s="26">
        <v>5808000.0</v>
      </c>
      <c r="F121" s="26" t="s">
        <v>2542</v>
      </c>
    </row>
    <row r="122">
      <c r="A122" s="27">
        <v>45999.0</v>
      </c>
      <c r="B122" s="26" t="s">
        <v>2665</v>
      </c>
      <c r="C122" s="26" t="s">
        <v>255</v>
      </c>
      <c r="D122" s="26">
        <v>2380000.0</v>
      </c>
      <c r="F122" s="26" t="s">
        <v>2542</v>
      </c>
    </row>
    <row r="123">
      <c r="A123" s="27">
        <v>45999.0</v>
      </c>
      <c r="B123" s="26" t="s">
        <v>2666</v>
      </c>
      <c r="C123" s="26" t="s">
        <v>2545</v>
      </c>
      <c r="D123" s="26">
        <v>3.0E7</v>
      </c>
      <c r="F123" s="26" t="s">
        <v>2542</v>
      </c>
      <c r="G123" s="26">
        <v>3341.0</v>
      </c>
    </row>
    <row r="124">
      <c r="A124" s="27">
        <v>45998.0</v>
      </c>
      <c r="B124" s="26" t="s">
        <v>2667</v>
      </c>
      <c r="C124" s="26" t="s">
        <v>255</v>
      </c>
      <c r="D124" s="26">
        <v>1.84875E7</v>
      </c>
      <c r="F124" s="26" t="s">
        <v>2542</v>
      </c>
    </row>
    <row r="125">
      <c r="A125" s="27">
        <v>45997.0</v>
      </c>
      <c r="B125" s="26" t="s">
        <v>2668</v>
      </c>
      <c r="C125" s="26" t="s">
        <v>255</v>
      </c>
      <c r="D125" s="26">
        <v>1188000.0</v>
      </c>
      <c r="F125" s="26" t="s">
        <v>2542</v>
      </c>
    </row>
    <row r="126">
      <c r="A126" s="27">
        <v>45997.0</v>
      </c>
      <c r="B126" s="26" t="s">
        <v>2669</v>
      </c>
      <c r="C126" s="26" t="s">
        <v>2593</v>
      </c>
      <c r="D126" s="26">
        <v>435000.0</v>
      </c>
      <c r="F126" s="26" t="s">
        <v>2542</v>
      </c>
      <c r="G126" s="26">
        <v>6423.0</v>
      </c>
    </row>
    <row r="127">
      <c r="A127" s="27">
        <v>45997.0</v>
      </c>
      <c r="B127" s="26" t="s">
        <v>2670</v>
      </c>
      <c r="C127" s="26" t="s">
        <v>2583</v>
      </c>
      <c r="D127" s="26">
        <v>1000000.0</v>
      </c>
      <c r="F127" s="26" t="s">
        <v>2542</v>
      </c>
      <c r="G127" s="26">
        <v>641.23</v>
      </c>
    </row>
    <row r="128">
      <c r="A128" s="27">
        <v>45996.0</v>
      </c>
      <c r="B128" s="26" t="s">
        <v>2671</v>
      </c>
      <c r="C128" s="26" t="s">
        <v>2561</v>
      </c>
      <c r="D128" s="26">
        <v>1.2011667E7</v>
      </c>
      <c r="F128" s="26" t="s">
        <v>2542</v>
      </c>
      <c r="G128" s="26">
        <v>331.0</v>
      </c>
    </row>
    <row r="129">
      <c r="A129" s="27">
        <v>45996.0</v>
      </c>
      <c r="B129" s="26" t="s">
        <v>2672</v>
      </c>
      <c r="C129" s="26" t="s">
        <v>2545</v>
      </c>
      <c r="D129" s="26">
        <v>1.99E7</v>
      </c>
      <c r="F129" s="26" t="s">
        <v>2542</v>
      </c>
      <c r="G129" s="26">
        <v>3341.0</v>
      </c>
    </row>
    <row r="130">
      <c r="A130" s="27">
        <v>45996.0</v>
      </c>
      <c r="B130" s="26" t="s">
        <v>2673</v>
      </c>
      <c r="C130" s="26" t="s">
        <v>2545</v>
      </c>
      <c r="D130" s="26">
        <v>1.56E7</v>
      </c>
      <c r="F130" s="26" t="s">
        <v>2542</v>
      </c>
      <c r="G130" s="26">
        <v>3341.0</v>
      </c>
    </row>
    <row r="131">
      <c r="A131" s="27">
        <v>45996.0</v>
      </c>
      <c r="B131" s="26" t="s">
        <v>2674</v>
      </c>
      <c r="C131" s="26" t="s">
        <v>2655</v>
      </c>
      <c r="D131" s="26">
        <v>3.6309089E7</v>
      </c>
      <c r="F131" s="26" t="s">
        <v>2542</v>
      </c>
      <c r="G131" s="26">
        <v>3383.0</v>
      </c>
    </row>
    <row r="132">
      <c r="A132" s="27">
        <v>45995.0</v>
      </c>
      <c r="B132" s="26" t="s">
        <v>2675</v>
      </c>
      <c r="C132" s="26" t="s">
        <v>255</v>
      </c>
      <c r="D132" s="26">
        <v>3600000.0</v>
      </c>
      <c r="F132" s="26" t="s">
        <v>2542</v>
      </c>
    </row>
    <row r="133">
      <c r="A133" s="27">
        <v>45995.0</v>
      </c>
      <c r="B133" s="26" t="s">
        <v>2676</v>
      </c>
      <c r="C133" s="26" t="s">
        <v>255</v>
      </c>
      <c r="D133" s="26">
        <v>1600000.0</v>
      </c>
      <c r="F133" s="26" t="s">
        <v>2542</v>
      </c>
    </row>
    <row r="134">
      <c r="A134" s="27">
        <v>45995.0</v>
      </c>
      <c r="B134" s="26" t="s">
        <v>2677</v>
      </c>
      <c r="C134" s="26" t="s">
        <v>2583</v>
      </c>
      <c r="D134" s="26">
        <v>505000.0</v>
      </c>
      <c r="F134" s="26" t="s">
        <v>2542</v>
      </c>
      <c r="G134" s="26">
        <v>641.24</v>
      </c>
    </row>
    <row r="135">
      <c r="A135" s="27">
        <v>45994.0</v>
      </c>
      <c r="B135" s="26" t="s">
        <v>2678</v>
      </c>
      <c r="C135" s="26" t="s">
        <v>255</v>
      </c>
      <c r="D135" s="26">
        <v>1080000.0</v>
      </c>
      <c r="F135" s="26" t="s">
        <v>2542</v>
      </c>
    </row>
    <row r="136">
      <c r="A136" s="27">
        <v>45993.0</v>
      </c>
      <c r="B136" s="26" t="s">
        <v>2679</v>
      </c>
      <c r="C136" s="26" t="s">
        <v>255</v>
      </c>
      <c r="D136" s="26">
        <v>8066700.0</v>
      </c>
      <c r="F136" s="26" t="s">
        <v>2542</v>
      </c>
    </row>
    <row r="137">
      <c r="A137" s="27">
        <v>45993.0</v>
      </c>
      <c r="B137" s="26" t="s">
        <v>2680</v>
      </c>
      <c r="C137" s="26" t="s">
        <v>255</v>
      </c>
      <c r="D137" s="26">
        <v>9900500.0</v>
      </c>
      <c r="F137" s="26" t="s">
        <v>2542</v>
      </c>
    </row>
    <row r="138">
      <c r="A138" s="27">
        <v>45993.0</v>
      </c>
      <c r="B138" s="26" t="s">
        <v>2681</v>
      </c>
      <c r="C138" s="26" t="s">
        <v>255</v>
      </c>
      <c r="D138" s="26">
        <v>5808000.0</v>
      </c>
      <c r="F138" s="26" t="s">
        <v>2542</v>
      </c>
    </row>
    <row r="139">
      <c r="A139" s="27">
        <v>45993.0</v>
      </c>
      <c r="B139" s="26" t="s">
        <v>2682</v>
      </c>
      <c r="C139" s="26" t="s">
        <v>2561</v>
      </c>
      <c r="D139" s="26">
        <v>3340000.0</v>
      </c>
      <c r="F139" s="26" t="s">
        <v>2542</v>
      </c>
      <c r="G139" s="26">
        <v>331.0</v>
      </c>
    </row>
    <row r="140">
      <c r="A140" s="27">
        <v>45993.0</v>
      </c>
      <c r="B140" s="26" t="s">
        <v>2683</v>
      </c>
      <c r="C140" s="26" t="s">
        <v>2583</v>
      </c>
      <c r="D140" s="26">
        <v>4000000.0</v>
      </c>
      <c r="F140" s="26" t="s">
        <v>2542</v>
      </c>
      <c r="G140" s="26">
        <v>641.23</v>
      </c>
    </row>
    <row r="141">
      <c r="A141" s="27">
        <v>45993.0</v>
      </c>
      <c r="B141" s="26" t="s">
        <v>2684</v>
      </c>
      <c r="C141" s="26" t="s">
        <v>2593</v>
      </c>
      <c r="D141" s="26">
        <v>11000.0</v>
      </c>
      <c r="F141" s="26" t="s">
        <v>2542</v>
      </c>
      <c r="G141" s="26">
        <v>6423.0</v>
      </c>
    </row>
    <row r="142">
      <c r="A142" s="27">
        <v>45992.0</v>
      </c>
      <c r="B142" s="26" t="s">
        <v>2685</v>
      </c>
      <c r="C142" s="26" t="s">
        <v>255</v>
      </c>
      <c r="D142" s="26">
        <v>1600000.0</v>
      </c>
      <c r="F142" s="26" t="s">
        <v>2542</v>
      </c>
    </row>
    <row r="143">
      <c r="A143" s="27">
        <v>45992.0</v>
      </c>
      <c r="B143" s="26" t="s">
        <v>2686</v>
      </c>
      <c r="C143" s="26" t="s">
        <v>255</v>
      </c>
      <c r="D143" s="26">
        <v>4608000.0</v>
      </c>
      <c r="F143" s="26" t="s">
        <v>2542</v>
      </c>
    </row>
    <row r="144">
      <c r="A144" s="27">
        <v>45992.0</v>
      </c>
      <c r="B144" s="26" t="s">
        <v>2687</v>
      </c>
      <c r="C144" s="26" t="s">
        <v>255</v>
      </c>
      <c r="D144" s="26">
        <v>1152000.0</v>
      </c>
      <c r="F144" s="26" t="s">
        <v>2542</v>
      </c>
    </row>
    <row r="145">
      <c r="A145" s="27">
        <v>45992.0</v>
      </c>
      <c r="B145" s="26" t="s">
        <v>2688</v>
      </c>
      <c r="C145" s="26" t="s">
        <v>255</v>
      </c>
      <c r="D145" s="26">
        <v>1152000.0</v>
      </c>
      <c r="F145" s="26" t="s">
        <v>2542</v>
      </c>
    </row>
    <row r="146">
      <c r="A146" s="27">
        <v>45992.0</v>
      </c>
      <c r="B146" s="26" t="s">
        <v>2689</v>
      </c>
      <c r="C146" s="26" t="s">
        <v>255</v>
      </c>
      <c r="D146" s="26">
        <v>1206000.0</v>
      </c>
      <c r="F146" s="26" t="s">
        <v>2542</v>
      </c>
    </row>
    <row r="147">
      <c r="A147" s="27">
        <v>45992.0</v>
      </c>
      <c r="B147" s="26" t="s">
        <v>2690</v>
      </c>
      <c r="C147" s="26" t="s">
        <v>255</v>
      </c>
      <c r="D147" s="26">
        <v>4608000.0</v>
      </c>
      <c r="F147" s="26" t="s">
        <v>2542</v>
      </c>
    </row>
    <row r="148">
      <c r="A148" s="27">
        <v>45992.0</v>
      </c>
      <c r="B148" s="26" t="s">
        <v>2691</v>
      </c>
      <c r="C148" s="26" t="s">
        <v>255</v>
      </c>
      <c r="D148" s="26">
        <v>1152000.0</v>
      </c>
      <c r="F148" s="26" t="s">
        <v>2542</v>
      </c>
    </row>
    <row r="149">
      <c r="A149" s="27">
        <v>45992.0</v>
      </c>
      <c r="B149" s="26" t="s">
        <v>2692</v>
      </c>
      <c r="C149" s="26" t="s">
        <v>255</v>
      </c>
      <c r="D149" s="26">
        <v>1440000.0</v>
      </c>
      <c r="F149" s="26" t="s">
        <v>2542</v>
      </c>
    </row>
    <row r="150">
      <c r="A150" s="27">
        <v>45992.0</v>
      </c>
      <c r="B150" s="26" t="s">
        <v>2693</v>
      </c>
      <c r="C150" s="26" t="s">
        <v>255</v>
      </c>
      <c r="D150" s="26">
        <v>1320000.0</v>
      </c>
      <c r="F150" s="26" t="s">
        <v>2542</v>
      </c>
    </row>
    <row r="151">
      <c r="A151" s="27">
        <v>45992.0</v>
      </c>
      <c r="B151" s="26" t="s">
        <v>2694</v>
      </c>
      <c r="C151" s="26" t="s">
        <v>255</v>
      </c>
      <c r="D151" s="26">
        <v>2400000.0</v>
      </c>
      <c r="F151" s="26" t="s">
        <v>2542</v>
      </c>
    </row>
    <row r="152">
      <c r="A152" s="27">
        <v>45992.0</v>
      </c>
      <c r="B152" s="26" t="s">
        <v>2695</v>
      </c>
      <c r="C152" s="26" t="s">
        <v>255</v>
      </c>
      <c r="D152" s="26">
        <v>3600000.0</v>
      </c>
      <c r="F152" s="26" t="s">
        <v>2542</v>
      </c>
    </row>
    <row r="153">
      <c r="A153" s="27">
        <v>45992.0</v>
      </c>
      <c r="B153" s="26" t="s">
        <v>2696</v>
      </c>
      <c r="C153" s="26" t="s">
        <v>255</v>
      </c>
      <c r="D153" s="26">
        <v>1188000.0</v>
      </c>
      <c r="F153" s="26" t="s">
        <v>2542</v>
      </c>
    </row>
    <row r="154">
      <c r="A154" s="27">
        <v>45992.0</v>
      </c>
      <c r="B154" s="26" t="s">
        <v>2697</v>
      </c>
      <c r="C154" s="26" t="s">
        <v>2571</v>
      </c>
      <c r="D154" s="26">
        <v>200000.0</v>
      </c>
      <c r="F154" s="26" t="s">
        <v>2542</v>
      </c>
      <c r="G154" s="26">
        <v>641.12</v>
      </c>
    </row>
    <row r="155">
      <c r="A155" s="27">
        <v>45990.0</v>
      </c>
      <c r="B155" s="26" t="s">
        <v>2698</v>
      </c>
      <c r="C155" s="26" t="s">
        <v>255</v>
      </c>
      <c r="D155" s="26">
        <v>2560.0</v>
      </c>
      <c r="F155" s="26" t="s">
        <v>2542</v>
      </c>
    </row>
    <row r="156">
      <c r="A156" s="27">
        <v>45989.0</v>
      </c>
      <c r="B156" s="26" t="s">
        <v>2699</v>
      </c>
      <c r="C156" s="26" t="s">
        <v>255</v>
      </c>
      <c r="D156" s="26">
        <v>8800000.0</v>
      </c>
      <c r="F156" s="26" t="s">
        <v>2542</v>
      </c>
    </row>
    <row r="157">
      <c r="A157" s="27">
        <v>45989.0</v>
      </c>
      <c r="B157" s="26" t="s">
        <v>2700</v>
      </c>
      <c r="C157" s="26" t="s">
        <v>255</v>
      </c>
      <c r="D157" s="26">
        <v>4031500.0</v>
      </c>
      <c r="F157" s="26" t="s">
        <v>2542</v>
      </c>
    </row>
    <row r="158">
      <c r="A158" s="27">
        <v>45989.0</v>
      </c>
      <c r="B158" s="26" t="s">
        <v>2701</v>
      </c>
      <c r="C158" s="26" t="s">
        <v>2583</v>
      </c>
      <c r="D158" s="26">
        <v>2200000.0</v>
      </c>
      <c r="F158" s="26" t="s">
        <v>2542</v>
      </c>
      <c r="G158" s="26">
        <v>641.23</v>
      </c>
    </row>
    <row r="159">
      <c r="A159" s="27">
        <v>45988.0</v>
      </c>
      <c r="B159" s="26" t="s">
        <v>2702</v>
      </c>
      <c r="C159" s="26" t="s">
        <v>255</v>
      </c>
      <c r="D159" s="26">
        <v>1080000.0</v>
      </c>
      <c r="F159" s="26" t="s">
        <v>2542</v>
      </c>
    </row>
    <row r="160">
      <c r="A160" s="27">
        <v>45988.0</v>
      </c>
      <c r="B160" s="26" t="s">
        <v>2703</v>
      </c>
      <c r="C160" s="26" t="s">
        <v>255</v>
      </c>
      <c r="D160" s="26">
        <v>1298000.0</v>
      </c>
      <c r="F160" s="26" t="s">
        <v>2542</v>
      </c>
    </row>
    <row r="161">
      <c r="A161" s="27">
        <v>45988.0</v>
      </c>
      <c r="B161" s="26" t="s">
        <v>2704</v>
      </c>
      <c r="C161" s="26" t="s">
        <v>2583</v>
      </c>
      <c r="D161" s="26">
        <v>205000.0</v>
      </c>
      <c r="F161" s="26" t="s">
        <v>2542</v>
      </c>
      <c r="G161" s="26">
        <v>641.23</v>
      </c>
    </row>
    <row r="162">
      <c r="A162" s="27">
        <v>45987.0</v>
      </c>
      <c r="B162" s="26" t="s">
        <v>2705</v>
      </c>
      <c r="C162" s="26" t="s">
        <v>255</v>
      </c>
      <c r="D162" s="26">
        <v>6270000.0</v>
      </c>
      <c r="F162" s="26" t="s">
        <v>2542</v>
      </c>
    </row>
    <row r="163">
      <c r="A163" s="27">
        <v>45987.0</v>
      </c>
      <c r="B163" s="26" t="s">
        <v>2706</v>
      </c>
      <c r="C163" s="26" t="s">
        <v>255</v>
      </c>
      <c r="D163" s="26">
        <v>5570400.0</v>
      </c>
      <c r="F163" s="26" t="s">
        <v>2542</v>
      </c>
    </row>
    <row r="164">
      <c r="A164" s="27">
        <v>45987.0</v>
      </c>
      <c r="B164" s="26" t="s">
        <v>2707</v>
      </c>
      <c r="C164" s="26" t="s">
        <v>255</v>
      </c>
      <c r="D164" s="26">
        <v>1.06898E7</v>
      </c>
      <c r="F164" s="26" t="s">
        <v>2542</v>
      </c>
    </row>
    <row r="165">
      <c r="A165" s="27">
        <v>45987.0</v>
      </c>
      <c r="B165" s="26" t="s">
        <v>2708</v>
      </c>
      <c r="C165" s="26" t="s">
        <v>255</v>
      </c>
      <c r="D165" s="26">
        <v>2376000.0</v>
      </c>
      <c r="F165" s="26" t="s">
        <v>2542</v>
      </c>
    </row>
    <row r="166">
      <c r="A166" s="27">
        <v>45987.0</v>
      </c>
      <c r="B166" s="26" t="s">
        <v>2709</v>
      </c>
      <c r="C166" s="26" t="s">
        <v>255</v>
      </c>
      <c r="D166" s="26">
        <v>2442000.0</v>
      </c>
      <c r="F166" s="26" t="s">
        <v>2542</v>
      </c>
    </row>
    <row r="167">
      <c r="A167" s="27">
        <v>45987.0</v>
      </c>
      <c r="B167" s="26" t="s">
        <v>2710</v>
      </c>
      <c r="C167" s="26" t="s">
        <v>2561</v>
      </c>
      <c r="D167" s="26">
        <v>3000000.0</v>
      </c>
      <c r="F167" s="26" t="s">
        <v>2542</v>
      </c>
      <c r="G167" s="26">
        <v>331.0</v>
      </c>
    </row>
    <row r="168">
      <c r="A168" s="27">
        <v>45987.0</v>
      </c>
      <c r="B168" s="26" t="s">
        <v>2711</v>
      </c>
      <c r="C168" s="26" t="s">
        <v>2561</v>
      </c>
      <c r="D168" s="26">
        <v>5112000.0</v>
      </c>
      <c r="F168" s="26" t="s">
        <v>2542</v>
      </c>
      <c r="G168" s="26">
        <v>331.0</v>
      </c>
    </row>
    <row r="169">
      <c r="A169" s="27">
        <v>45987.0</v>
      </c>
      <c r="B169" s="26" t="s">
        <v>2712</v>
      </c>
      <c r="C169" s="26" t="s">
        <v>2564</v>
      </c>
      <c r="D169" s="26">
        <v>189.663</v>
      </c>
      <c r="F169" s="26" t="s">
        <v>2542</v>
      </c>
      <c r="G169" s="26">
        <v>3332.0</v>
      </c>
    </row>
    <row r="170">
      <c r="A170" s="27">
        <v>45987.0</v>
      </c>
      <c r="B170" s="26" t="s">
        <v>2713</v>
      </c>
      <c r="C170" s="26" t="s">
        <v>2564</v>
      </c>
      <c r="D170" s="26" t="s">
        <v>2714</v>
      </c>
      <c r="F170" s="26" t="s">
        <v>2542</v>
      </c>
      <c r="G170" s="26">
        <v>3335.0</v>
      </c>
    </row>
    <row r="171">
      <c r="A171" s="27">
        <v>45987.0</v>
      </c>
      <c r="B171" s="26" t="s">
        <v>2712</v>
      </c>
      <c r="C171" s="26" t="s">
        <v>2564</v>
      </c>
      <c r="D171" s="26" t="s">
        <v>2715</v>
      </c>
      <c r="F171" s="26" t="s">
        <v>2542</v>
      </c>
      <c r="G171" s="26">
        <v>3332.0</v>
      </c>
    </row>
    <row r="172">
      <c r="A172" s="27">
        <v>45987.0</v>
      </c>
      <c r="B172" s="26" t="s">
        <v>2712</v>
      </c>
      <c r="C172" s="26" t="s">
        <v>2564</v>
      </c>
      <c r="D172" s="26" t="s">
        <v>2716</v>
      </c>
      <c r="F172" s="26" t="s">
        <v>2542</v>
      </c>
      <c r="G172" s="26">
        <v>3332.0</v>
      </c>
    </row>
    <row r="173">
      <c r="A173" s="27">
        <v>45986.0</v>
      </c>
      <c r="B173" s="26" t="s">
        <v>2717</v>
      </c>
      <c r="C173" s="26" t="s">
        <v>255</v>
      </c>
      <c r="D173" s="26">
        <v>2534400.0</v>
      </c>
      <c r="F173" s="26" t="s">
        <v>2542</v>
      </c>
    </row>
    <row r="174">
      <c r="A174" s="27">
        <v>45986.0</v>
      </c>
      <c r="B174" s="26" t="s">
        <v>2718</v>
      </c>
      <c r="C174" s="26" t="s">
        <v>255</v>
      </c>
      <c r="D174" s="26">
        <v>3200000.0</v>
      </c>
      <c r="F174" s="26" t="s">
        <v>2542</v>
      </c>
    </row>
    <row r="175">
      <c r="A175" s="27">
        <v>45986.0</v>
      </c>
      <c r="B175" s="26" t="s">
        <v>2719</v>
      </c>
      <c r="C175" s="26" t="s">
        <v>255</v>
      </c>
      <c r="D175" s="26">
        <v>1600000.0</v>
      </c>
      <c r="F175" s="26" t="s">
        <v>2542</v>
      </c>
    </row>
    <row r="176">
      <c r="A176" s="27">
        <v>45986.0</v>
      </c>
      <c r="B176" s="26" t="s">
        <v>2720</v>
      </c>
      <c r="C176" s="26" t="s">
        <v>255</v>
      </c>
      <c r="D176" s="26">
        <v>3456000.0</v>
      </c>
      <c r="F176" s="26" t="s">
        <v>2542</v>
      </c>
    </row>
    <row r="177">
      <c r="A177" s="27">
        <v>45986.0</v>
      </c>
      <c r="B177" s="26" t="s">
        <v>2721</v>
      </c>
      <c r="C177" s="26" t="s">
        <v>255</v>
      </c>
      <c r="D177" s="26">
        <v>1152000.0</v>
      </c>
      <c r="F177" s="26" t="s">
        <v>2542</v>
      </c>
    </row>
    <row r="178">
      <c r="A178" s="27">
        <v>45986.0</v>
      </c>
      <c r="B178" s="26" t="s">
        <v>2722</v>
      </c>
      <c r="C178" s="26" t="s">
        <v>255</v>
      </c>
      <c r="D178" s="26">
        <v>1152000.0</v>
      </c>
      <c r="F178" s="26" t="s">
        <v>2542</v>
      </c>
    </row>
    <row r="179">
      <c r="A179" s="27">
        <v>45986.0</v>
      </c>
      <c r="B179" s="26" t="s">
        <v>2723</v>
      </c>
      <c r="C179" s="26" t="s">
        <v>255</v>
      </c>
      <c r="D179" s="26">
        <v>1600000.0</v>
      </c>
      <c r="F179" s="26" t="s">
        <v>2542</v>
      </c>
    </row>
    <row r="180">
      <c r="A180" s="27">
        <v>45986.0</v>
      </c>
      <c r="B180" s="26" t="s">
        <v>2724</v>
      </c>
      <c r="C180" s="26" t="s">
        <v>2583</v>
      </c>
      <c r="D180" s="26">
        <v>600000.0</v>
      </c>
      <c r="F180" s="26" t="s">
        <v>2542</v>
      </c>
      <c r="G180" s="26">
        <v>641.14</v>
      </c>
    </row>
    <row r="181">
      <c r="A181" s="27">
        <v>45986.0</v>
      </c>
      <c r="B181" s="26" t="s">
        <v>2724</v>
      </c>
      <c r="C181" s="26" t="s">
        <v>2571</v>
      </c>
      <c r="D181" s="26">
        <v>595000.0</v>
      </c>
      <c r="F181" s="26" t="s">
        <v>2542</v>
      </c>
      <c r="G181" s="26">
        <v>641.12</v>
      </c>
    </row>
    <row r="182">
      <c r="A182" s="27">
        <v>45986.0</v>
      </c>
      <c r="B182" s="26" t="s">
        <v>2724</v>
      </c>
      <c r="C182" s="26" t="s">
        <v>2571</v>
      </c>
      <c r="D182" s="26">
        <v>1260000.0</v>
      </c>
      <c r="F182" s="26" t="s">
        <v>2542</v>
      </c>
      <c r="G182" s="26">
        <v>641.16</v>
      </c>
    </row>
    <row r="183">
      <c r="A183" s="27">
        <v>45985.0</v>
      </c>
      <c r="B183" s="26" t="s">
        <v>2725</v>
      </c>
      <c r="C183" s="26" t="s">
        <v>255</v>
      </c>
      <c r="D183" s="26">
        <v>1188000.0</v>
      </c>
      <c r="F183" s="26" t="s">
        <v>2542</v>
      </c>
    </row>
    <row r="184">
      <c r="A184" s="27">
        <v>45985.0</v>
      </c>
      <c r="B184" s="26" t="s">
        <v>2586</v>
      </c>
      <c r="C184" s="26" t="s">
        <v>255</v>
      </c>
      <c r="D184" s="26">
        <v>14870.0</v>
      </c>
      <c r="F184" s="26" t="s">
        <v>2542</v>
      </c>
    </row>
    <row r="185">
      <c r="A185" s="27">
        <v>45985.0</v>
      </c>
      <c r="B185" s="26" t="s">
        <v>2726</v>
      </c>
      <c r="C185" s="26" t="s">
        <v>255</v>
      </c>
      <c r="D185" s="26">
        <v>2400000.0</v>
      </c>
      <c r="F185" s="26" t="s">
        <v>2542</v>
      </c>
    </row>
    <row r="186">
      <c r="A186" s="27">
        <v>45985.0</v>
      </c>
      <c r="B186" s="26" t="s">
        <v>2727</v>
      </c>
      <c r="C186" s="26" t="s">
        <v>255</v>
      </c>
      <c r="D186" s="26">
        <v>1440000.0</v>
      </c>
      <c r="F186" s="26" t="s">
        <v>2542</v>
      </c>
    </row>
    <row r="187">
      <c r="A187" s="27">
        <v>45985.0</v>
      </c>
      <c r="B187" s="26" t="s">
        <v>2728</v>
      </c>
      <c r="C187" s="26" t="s">
        <v>255</v>
      </c>
      <c r="D187" s="26">
        <v>3190000.0</v>
      </c>
      <c r="F187" s="26" t="s">
        <v>2542</v>
      </c>
    </row>
    <row r="188">
      <c r="A188" s="27">
        <v>45985.0</v>
      </c>
      <c r="B188" s="26" t="s">
        <v>2729</v>
      </c>
      <c r="C188" s="28"/>
      <c r="D188" s="26">
        <v>3000000.0</v>
      </c>
      <c r="F188" s="26" t="s">
        <v>2542</v>
      </c>
    </row>
    <row r="189">
      <c r="A189" s="27">
        <v>45985.0</v>
      </c>
      <c r="B189" s="26" t="s">
        <v>2730</v>
      </c>
      <c r="C189" s="26" t="s">
        <v>2561</v>
      </c>
      <c r="D189" s="26">
        <v>1998500.0</v>
      </c>
      <c r="F189" s="26" t="s">
        <v>2542</v>
      </c>
      <c r="G189" s="26">
        <v>331.0</v>
      </c>
    </row>
    <row r="190">
      <c r="A190" s="27">
        <v>45985.0</v>
      </c>
      <c r="B190" s="26" t="s">
        <v>2731</v>
      </c>
      <c r="C190" s="26" t="s">
        <v>2561</v>
      </c>
      <c r="D190" s="26">
        <v>2880000.0</v>
      </c>
      <c r="F190" s="26" t="s">
        <v>2542</v>
      </c>
      <c r="G190" s="26">
        <v>331.0</v>
      </c>
    </row>
    <row r="191">
      <c r="A191" s="27">
        <v>45983.0</v>
      </c>
      <c r="B191" s="26" t="s">
        <v>2732</v>
      </c>
      <c r="C191" s="26" t="s">
        <v>255</v>
      </c>
      <c r="D191" s="26">
        <v>840000.0</v>
      </c>
      <c r="F191" s="26" t="s">
        <v>2542</v>
      </c>
    </row>
    <row r="192">
      <c r="A192" s="27">
        <v>45983.0</v>
      </c>
      <c r="B192" s="26" t="s">
        <v>2733</v>
      </c>
      <c r="C192" s="26" t="s">
        <v>255</v>
      </c>
      <c r="D192" s="26">
        <v>4125000.0</v>
      </c>
      <c r="F192" s="26" t="s">
        <v>2542</v>
      </c>
    </row>
    <row r="193">
      <c r="A193" s="27">
        <v>45982.0</v>
      </c>
      <c r="B193" s="26" t="s">
        <v>2734</v>
      </c>
      <c r="C193" s="26" t="s">
        <v>2574</v>
      </c>
      <c r="D193" s="26">
        <v>6201360.0</v>
      </c>
      <c r="F193" s="26" t="s">
        <v>2542</v>
      </c>
      <c r="G193" s="26">
        <v>331.0</v>
      </c>
    </row>
    <row r="194">
      <c r="A194" s="27">
        <v>45981.0</v>
      </c>
      <c r="B194" s="26" t="s">
        <v>2735</v>
      </c>
      <c r="C194" s="26" t="s">
        <v>255</v>
      </c>
      <c r="D194" s="26">
        <v>3.16964E7</v>
      </c>
      <c r="F194" s="26" t="s">
        <v>2542</v>
      </c>
    </row>
    <row r="195">
      <c r="A195" s="27">
        <v>45981.0</v>
      </c>
      <c r="B195" s="26" t="s">
        <v>2736</v>
      </c>
      <c r="C195" s="26" t="s">
        <v>255</v>
      </c>
      <c r="D195" s="26">
        <v>2160000.0</v>
      </c>
      <c r="F195" s="26" t="s">
        <v>2542</v>
      </c>
    </row>
    <row r="196">
      <c r="A196" s="27">
        <v>45981.0</v>
      </c>
      <c r="B196" s="26" t="s">
        <v>2737</v>
      </c>
      <c r="C196" s="26" t="s">
        <v>2583</v>
      </c>
      <c r="D196" s="26">
        <v>338000.0</v>
      </c>
      <c r="F196" s="26" t="s">
        <v>2542</v>
      </c>
      <c r="G196" s="26">
        <v>641.24</v>
      </c>
    </row>
    <row r="197">
      <c r="A197" s="27">
        <v>45981.0</v>
      </c>
      <c r="B197" s="26" t="s">
        <v>2738</v>
      </c>
      <c r="C197" s="26" t="s">
        <v>2571</v>
      </c>
      <c r="D197" s="26">
        <v>245000.0</v>
      </c>
      <c r="F197" s="26" t="s">
        <v>2542</v>
      </c>
      <c r="G197" s="26">
        <v>641.22</v>
      </c>
    </row>
    <row r="198">
      <c r="A198" s="27">
        <v>45981.0</v>
      </c>
      <c r="B198" s="26" t="s">
        <v>2739</v>
      </c>
      <c r="C198" s="26" t="s">
        <v>2583</v>
      </c>
      <c r="D198" s="26">
        <v>1230000.0</v>
      </c>
      <c r="F198" s="26" t="s">
        <v>2542</v>
      </c>
      <c r="G198" s="26">
        <v>641.24</v>
      </c>
    </row>
    <row r="199">
      <c r="A199" s="27">
        <v>45981.0</v>
      </c>
      <c r="B199" s="26" t="s">
        <v>2740</v>
      </c>
      <c r="C199" s="26" t="s">
        <v>2593</v>
      </c>
      <c r="D199" s="26">
        <v>320000.0</v>
      </c>
      <c r="F199" s="26" t="s">
        <v>2542</v>
      </c>
      <c r="G199" s="26">
        <v>6423.0</v>
      </c>
    </row>
    <row r="200">
      <c r="A200" s="27">
        <v>45980.0</v>
      </c>
      <c r="B200" s="26" t="s">
        <v>2741</v>
      </c>
      <c r="C200" s="26" t="s">
        <v>255</v>
      </c>
      <c r="D200" s="26">
        <v>1320000.0</v>
      </c>
      <c r="F200" s="26" t="s">
        <v>2542</v>
      </c>
    </row>
    <row r="201">
      <c r="A201" s="27">
        <v>45978.0</v>
      </c>
      <c r="B201" s="26" t="s">
        <v>2742</v>
      </c>
      <c r="C201" s="26" t="s">
        <v>255</v>
      </c>
      <c r="D201" s="26">
        <v>1440000.0</v>
      </c>
      <c r="F201" s="26" t="s">
        <v>2542</v>
      </c>
    </row>
    <row r="202">
      <c r="A202" s="27">
        <v>45978.0</v>
      </c>
      <c r="B202" s="26" t="s">
        <v>2743</v>
      </c>
      <c r="C202" s="26" t="s">
        <v>255</v>
      </c>
      <c r="D202" s="26">
        <v>3080000.0</v>
      </c>
      <c r="F202" s="26" t="s">
        <v>2542</v>
      </c>
    </row>
    <row r="203">
      <c r="A203" s="27">
        <v>45978.0</v>
      </c>
      <c r="B203" s="26" t="s">
        <v>2744</v>
      </c>
      <c r="C203" s="26" t="s">
        <v>255</v>
      </c>
      <c r="D203" s="26">
        <v>108000.0</v>
      </c>
      <c r="F203" s="26" t="s">
        <v>2542</v>
      </c>
    </row>
    <row r="204">
      <c r="A204" s="27">
        <v>45977.0</v>
      </c>
      <c r="B204" s="26" t="s">
        <v>2745</v>
      </c>
      <c r="C204" s="26" t="s">
        <v>255</v>
      </c>
      <c r="D204" s="26">
        <v>7900000.0</v>
      </c>
      <c r="F204" s="26" t="s">
        <v>2542</v>
      </c>
    </row>
    <row r="205">
      <c r="A205" s="27">
        <v>45977.0</v>
      </c>
      <c r="B205" s="26" t="s">
        <v>2746</v>
      </c>
      <c r="C205" s="26" t="s">
        <v>2561</v>
      </c>
      <c r="D205" s="26" t="s">
        <v>2747</v>
      </c>
      <c r="F205" s="26" t="s">
        <v>2542</v>
      </c>
      <c r="G205" s="26">
        <v>632.1</v>
      </c>
    </row>
    <row r="206">
      <c r="A206" s="27">
        <v>45975.0</v>
      </c>
      <c r="B206" s="26" t="s">
        <v>2748</v>
      </c>
      <c r="C206" s="26" t="s">
        <v>255</v>
      </c>
      <c r="D206" s="26">
        <v>1062856.0</v>
      </c>
      <c r="F206" s="26" t="s">
        <v>2542</v>
      </c>
    </row>
    <row r="207">
      <c r="A207" s="27">
        <v>45975.0</v>
      </c>
      <c r="B207" s="26" t="s">
        <v>2748</v>
      </c>
      <c r="C207" s="28"/>
      <c r="D207" s="26">
        <v>1062856.0</v>
      </c>
      <c r="F207" s="26" t="s">
        <v>2542</v>
      </c>
    </row>
    <row r="208">
      <c r="A208" s="27">
        <v>45975.0</v>
      </c>
      <c r="B208" s="26" t="s">
        <v>2749</v>
      </c>
      <c r="C208" s="26" t="s">
        <v>2571</v>
      </c>
      <c r="D208" s="26">
        <v>110000.0</v>
      </c>
      <c r="F208" s="26" t="s">
        <v>2542</v>
      </c>
      <c r="G208" s="26">
        <v>641.22</v>
      </c>
    </row>
    <row r="209">
      <c r="A209" s="27">
        <v>45974.0</v>
      </c>
      <c r="B209" s="26" t="s">
        <v>2750</v>
      </c>
      <c r="C209" s="26" t="s">
        <v>255</v>
      </c>
      <c r="D209" s="26">
        <v>1188000.0</v>
      </c>
      <c r="F209" s="26" t="s">
        <v>2542</v>
      </c>
    </row>
    <row r="210">
      <c r="A210" s="27">
        <v>45974.0</v>
      </c>
      <c r="B210" s="26" t="s">
        <v>2751</v>
      </c>
      <c r="C210" s="26" t="s">
        <v>255</v>
      </c>
      <c r="D210" s="26">
        <v>3801600.0</v>
      </c>
      <c r="F210" s="26" t="s">
        <v>2542</v>
      </c>
    </row>
    <row r="211">
      <c r="A211" s="27">
        <v>45974.0</v>
      </c>
      <c r="B211" s="26" t="s">
        <v>2752</v>
      </c>
      <c r="C211" s="26" t="s">
        <v>2593</v>
      </c>
      <c r="D211" s="26">
        <v>150000.0</v>
      </c>
      <c r="F211" s="26" t="s">
        <v>2542</v>
      </c>
      <c r="G211" s="26">
        <v>6423.0</v>
      </c>
    </row>
    <row r="212">
      <c r="A212" s="27">
        <v>45973.0</v>
      </c>
      <c r="B212" s="26" t="s">
        <v>2753</v>
      </c>
      <c r="C212" s="26" t="s">
        <v>255</v>
      </c>
      <c r="D212" s="26">
        <v>1440000.0</v>
      </c>
      <c r="F212" s="26" t="s">
        <v>2542</v>
      </c>
    </row>
    <row r="213">
      <c r="A213" s="27">
        <v>45973.0</v>
      </c>
      <c r="B213" s="26" t="s">
        <v>2754</v>
      </c>
      <c r="C213" s="26" t="s">
        <v>255</v>
      </c>
      <c r="D213" s="26">
        <v>6820000.0</v>
      </c>
      <c r="F213" s="26" t="s">
        <v>2542</v>
      </c>
    </row>
    <row r="214">
      <c r="A214" s="27">
        <v>45973.0</v>
      </c>
      <c r="B214" s="26" t="s">
        <v>2755</v>
      </c>
      <c r="C214" s="26" t="s">
        <v>255</v>
      </c>
      <c r="D214" s="26">
        <v>3200000.0</v>
      </c>
      <c r="F214" s="26" t="s">
        <v>2542</v>
      </c>
    </row>
    <row r="215">
      <c r="A215" s="27">
        <v>45973.0</v>
      </c>
      <c r="B215" s="26" t="s">
        <v>2756</v>
      </c>
      <c r="C215" s="26" t="s">
        <v>255</v>
      </c>
      <c r="D215" s="26">
        <v>1251000.0</v>
      </c>
      <c r="F215" s="26" t="s">
        <v>2542</v>
      </c>
    </row>
    <row r="216">
      <c r="A216" s="27">
        <v>45973.0</v>
      </c>
      <c r="B216" s="26" t="s">
        <v>2757</v>
      </c>
      <c r="C216" s="26" t="s">
        <v>255</v>
      </c>
      <c r="D216" s="26">
        <v>5760000.0</v>
      </c>
      <c r="F216" s="26" t="s">
        <v>2542</v>
      </c>
    </row>
    <row r="217">
      <c r="A217" s="27">
        <v>45973.0</v>
      </c>
      <c r="B217" s="26" t="s">
        <v>2758</v>
      </c>
      <c r="C217" s="26" t="s">
        <v>255</v>
      </c>
      <c r="D217" s="26">
        <v>1600000.0</v>
      </c>
      <c r="F217" s="26" t="s">
        <v>2542</v>
      </c>
    </row>
    <row r="218">
      <c r="A218" s="27">
        <v>45973.0</v>
      </c>
      <c r="B218" s="26" t="s">
        <v>2759</v>
      </c>
      <c r="C218" s="26" t="s">
        <v>255</v>
      </c>
      <c r="D218" s="26">
        <v>5136000.0</v>
      </c>
      <c r="F218" s="26" t="s">
        <v>2542</v>
      </c>
    </row>
    <row r="219">
      <c r="A219" s="27">
        <v>45973.0</v>
      </c>
      <c r="B219" s="26" t="s">
        <v>2760</v>
      </c>
      <c r="C219" s="26" t="s">
        <v>255</v>
      </c>
      <c r="D219" s="26">
        <v>2304000.0</v>
      </c>
      <c r="F219" s="26" t="s">
        <v>2542</v>
      </c>
    </row>
    <row r="220">
      <c r="A220" s="27">
        <v>45973.0</v>
      </c>
      <c r="B220" s="26" t="s">
        <v>2761</v>
      </c>
      <c r="C220" s="26" t="s">
        <v>255</v>
      </c>
      <c r="D220" s="26">
        <v>1.0091125E7</v>
      </c>
      <c r="F220" s="26" t="s">
        <v>2542</v>
      </c>
    </row>
    <row r="221">
      <c r="A221" s="27">
        <v>45973.0</v>
      </c>
      <c r="B221" s="26" t="s">
        <v>2762</v>
      </c>
      <c r="C221" s="26" t="s">
        <v>255</v>
      </c>
      <c r="D221" s="26">
        <v>1188000.0</v>
      </c>
      <c r="F221" s="26" t="s">
        <v>2542</v>
      </c>
    </row>
    <row r="222">
      <c r="A222" s="27">
        <v>45973.0</v>
      </c>
      <c r="B222" s="26" t="s">
        <v>2763</v>
      </c>
      <c r="C222" s="28"/>
      <c r="D222" s="26">
        <v>76480.0</v>
      </c>
      <c r="F222" s="26" t="s">
        <v>2542</v>
      </c>
    </row>
    <row r="223">
      <c r="A223" s="27">
        <v>45973.0</v>
      </c>
      <c r="B223" s="26" t="s">
        <v>2763</v>
      </c>
      <c r="C223" s="26" t="s">
        <v>2764</v>
      </c>
      <c r="D223" s="26">
        <v>956000.0</v>
      </c>
      <c r="F223" s="26" t="s">
        <v>2542</v>
      </c>
      <c r="G223" s="26">
        <v>6273.0</v>
      </c>
    </row>
    <row r="224">
      <c r="A224" s="27">
        <v>45973.0</v>
      </c>
      <c r="B224" s="26" t="s">
        <v>2765</v>
      </c>
      <c r="C224" s="26" t="s">
        <v>2571</v>
      </c>
      <c r="D224" s="26">
        <v>595000.0</v>
      </c>
      <c r="F224" s="26" t="s">
        <v>2542</v>
      </c>
      <c r="G224" s="26">
        <v>641.12</v>
      </c>
    </row>
    <row r="225">
      <c r="A225" s="27">
        <v>45972.0</v>
      </c>
      <c r="B225" s="26" t="s">
        <v>2766</v>
      </c>
      <c r="C225" s="26" t="s">
        <v>2583</v>
      </c>
      <c r="D225" s="26">
        <v>177000.0</v>
      </c>
      <c r="F225" s="26" t="s">
        <v>2542</v>
      </c>
      <c r="G225" s="26">
        <v>641.24</v>
      </c>
    </row>
    <row r="226">
      <c r="A226" s="27">
        <v>45972.0</v>
      </c>
      <c r="B226" s="26" t="s">
        <v>2767</v>
      </c>
      <c r="C226" s="26" t="s">
        <v>2574</v>
      </c>
      <c r="D226" s="26">
        <v>2900000.0</v>
      </c>
      <c r="F226" s="26" t="s">
        <v>2542</v>
      </c>
      <c r="G226" s="26">
        <v>331.0</v>
      </c>
    </row>
    <row r="227">
      <c r="A227" s="27">
        <v>45971.0</v>
      </c>
      <c r="B227" s="26" t="s">
        <v>2768</v>
      </c>
      <c r="C227" s="26" t="s">
        <v>255</v>
      </c>
      <c r="D227" s="26">
        <v>140000.0</v>
      </c>
      <c r="F227" s="26" t="s">
        <v>2542</v>
      </c>
    </row>
    <row r="228">
      <c r="A228" s="27">
        <v>45971.0</v>
      </c>
      <c r="B228" s="26" t="s">
        <v>2769</v>
      </c>
      <c r="C228" s="26" t="s">
        <v>255</v>
      </c>
      <c r="D228" s="26">
        <v>1188000.0</v>
      </c>
      <c r="F228" s="26" t="s">
        <v>2542</v>
      </c>
    </row>
    <row r="229">
      <c r="A229" s="27">
        <v>45971.0</v>
      </c>
      <c r="B229" s="26" t="s">
        <v>2770</v>
      </c>
      <c r="C229" s="26" t="s">
        <v>255</v>
      </c>
      <c r="D229" s="26">
        <v>4775000.0</v>
      </c>
      <c r="F229" s="26" t="s">
        <v>2542</v>
      </c>
    </row>
    <row r="230">
      <c r="A230" s="27">
        <v>45971.0</v>
      </c>
      <c r="B230" s="26" t="s">
        <v>2771</v>
      </c>
      <c r="C230" s="26" t="s">
        <v>255</v>
      </c>
      <c r="D230" s="26">
        <v>1450000.0</v>
      </c>
      <c r="F230" s="26" t="s">
        <v>2542</v>
      </c>
    </row>
    <row r="231">
      <c r="A231" s="27">
        <v>45971.0</v>
      </c>
      <c r="B231" s="26" t="s">
        <v>2772</v>
      </c>
      <c r="C231" s="26" t="s">
        <v>255</v>
      </c>
      <c r="D231" s="26">
        <v>1595000.0</v>
      </c>
      <c r="F231" s="26" t="s">
        <v>2542</v>
      </c>
    </row>
    <row r="232">
      <c r="A232" s="27">
        <v>45971.0</v>
      </c>
      <c r="B232" s="26" t="s">
        <v>2773</v>
      </c>
      <c r="C232" s="26" t="s">
        <v>255</v>
      </c>
      <c r="D232" s="26">
        <v>2904000.0</v>
      </c>
      <c r="F232" s="26" t="s">
        <v>2542</v>
      </c>
    </row>
    <row r="233">
      <c r="A233" s="27">
        <v>45970.0</v>
      </c>
      <c r="B233" s="26" t="s">
        <v>2774</v>
      </c>
      <c r="C233" s="26" t="s">
        <v>255</v>
      </c>
      <c r="D233" s="26">
        <v>1.9921E7</v>
      </c>
      <c r="F233" s="26" t="s">
        <v>2542</v>
      </c>
    </row>
    <row r="234">
      <c r="A234" s="27">
        <v>45969.0</v>
      </c>
      <c r="B234" s="26" t="s">
        <v>2775</v>
      </c>
      <c r="C234" s="26" t="s">
        <v>255</v>
      </c>
      <c r="D234" s="26">
        <v>7231200.0</v>
      </c>
      <c r="F234" s="26" t="s">
        <v>2542</v>
      </c>
    </row>
    <row r="235">
      <c r="A235" s="27">
        <v>45969.0</v>
      </c>
      <c r="B235" s="26" t="s">
        <v>2776</v>
      </c>
      <c r="C235" s="26" t="s">
        <v>255</v>
      </c>
      <c r="D235" s="26">
        <v>2618000.0</v>
      </c>
      <c r="F235" s="26" t="s">
        <v>2542</v>
      </c>
    </row>
    <row r="236">
      <c r="A236" s="27">
        <v>45969.0</v>
      </c>
      <c r="B236" s="26" t="s">
        <v>2777</v>
      </c>
      <c r="C236" s="26" t="s">
        <v>255</v>
      </c>
      <c r="D236" s="26">
        <v>2618000.0</v>
      </c>
      <c r="F236" s="26" t="s">
        <v>2542</v>
      </c>
    </row>
    <row r="237">
      <c r="A237" s="27">
        <v>45969.0</v>
      </c>
      <c r="B237" s="26" t="s">
        <v>2778</v>
      </c>
      <c r="C237" s="26" t="s">
        <v>2545</v>
      </c>
      <c r="D237" s="26">
        <v>5200000.0</v>
      </c>
      <c r="F237" s="26" t="s">
        <v>2542</v>
      </c>
      <c r="G237" s="26">
        <v>3341.0</v>
      </c>
    </row>
    <row r="238">
      <c r="A238" s="27">
        <v>45969.0</v>
      </c>
      <c r="B238" s="26" t="s">
        <v>2779</v>
      </c>
      <c r="C238" s="26" t="s">
        <v>2545</v>
      </c>
      <c r="D238" s="26">
        <v>4000000.0</v>
      </c>
      <c r="F238" s="26" t="s">
        <v>2542</v>
      </c>
      <c r="G238" s="26">
        <v>3341.0</v>
      </c>
    </row>
    <row r="239">
      <c r="A239" s="27">
        <v>45969.0</v>
      </c>
      <c r="B239" s="26" t="s">
        <v>2780</v>
      </c>
      <c r="C239" s="26" t="s">
        <v>2545</v>
      </c>
      <c r="D239" s="26">
        <v>3000000.0</v>
      </c>
      <c r="F239" s="26" t="s">
        <v>2542</v>
      </c>
      <c r="G239" s="26">
        <v>3341.0</v>
      </c>
    </row>
    <row r="240">
      <c r="A240" s="27">
        <v>45969.0</v>
      </c>
      <c r="B240" s="26" t="s">
        <v>2781</v>
      </c>
      <c r="C240" s="26" t="s">
        <v>2545</v>
      </c>
      <c r="D240" s="26">
        <v>5200000.0</v>
      </c>
      <c r="F240" s="26" t="s">
        <v>2542</v>
      </c>
      <c r="G240" s="26">
        <v>3341.0</v>
      </c>
    </row>
    <row r="241">
      <c r="A241" s="27">
        <v>45969.0</v>
      </c>
      <c r="B241" s="26" t="s">
        <v>2782</v>
      </c>
      <c r="C241" s="26" t="s">
        <v>2545</v>
      </c>
      <c r="D241" s="26">
        <v>1.22E7</v>
      </c>
      <c r="F241" s="26" t="s">
        <v>2542</v>
      </c>
      <c r="G241" s="26">
        <v>3341.0</v>
      </c>
    </row>
    <row r="242">
      <c r="A242" s="27">
        <v>45969.0</v>
      </c>
      <c r="B242" s="26" t="s">
        <v>2783</v>
      </c>
      <c r="C242" s="26" t="s">
        <v>2545</v>
      </c>
      <c r="D242" s="26">
        <v>1.2E7</v>
      </c>
      <c r="F242" s="26" t="s">
        <v>2542</v>
      </c>
      <c r="G242" s="26">
        <v>3341.0</v>
      </c>
    </row>
    <row r="243">
      <c r="A243" s="27">
        <v>45969.0</v>
      </c>
      <c r="B243" s="26" t="s">
        <v>2784</v>
      </c>
      <c r="C243" s="26" t="s">
        <v>2545</v>
      </c>
      <c r="D243" s="26">
        <v>1.2E7</v>
      </c>
      <c r="F243" s="26" t="s">
        <v>2542</v>
      </c>
      <c r="G243" s="26">
        <v>3341.0</v>
      </c>
    </row>
    <row r="244">
      <c r="A244" s="27">
        <v>45968.0</v>
      </c>
      <c r="B244" s="26" t="s">
        <v>2785</v>
      </c>
      <c r="C244" s="26" t="s">
        <v>255</v>
      </c>
      <c r="D244" s="26">
        <v>140000.0</v>
      </c>
      <c r="F244" s="26" t="s">
        <v>2542</v>
      </c>
    </row>
    <row r="245">
      <c r="A245" s="27">
        <v>45968.0</v>
      </c>
      <c r="B245" s="26" t="s">
        <v>2786</v>
      </c>
      <c r="C245" s="26" t="s">
        <v>255</v>
      </c>
      <c r="D245" s="26">
        <v>1267200.0</v>
      </c>
      <c r="F245" s="26" t="s">
        <v>2542</v>
      </c>
    </row>
    <row r="246">
      <c r="A246" s="27">
        <v>45968.0</v>
      </c>
      <c r="B246" s="26" t="s">
        <v>2787</v>
      </c>
      <c r="C246" s="26" t="s">
        <v>2571</v>
      </c>
      <c r="D246" s="26">
        <v>235000.0</v>
      </c>
      <c r="F246" s="26" t="s">
        <v>2542</v>
      </c>
      <c r="G246" s="26">
        <v>1531.0</v>
      </c>
    </row>
    <row r="247">
      <c r="A247" s="27">
        <v>45968.0</v>
      </c>
      <c r="B247" s="26" t="s">
        <v>2788</v>
      </c>
      <c r="C247" s="26" t="s">
        <v>2574</v>
      </c>
      <c r="D247" s="26">
        <v>3445200.0</v>
      </c>
      <c r="F247" s="26" t="s">
        <v>2542</v>
      </c>
      <c r="G247" s="26">
        <v>331.0</v>
      </c>
    </row>
    <row r="248">
      <c r="A248" s="27">
        <v>45967.0</v>
      </c>
      <c r="B248" s="26" t="s">
        <v>2789</v>
      </c>
      <c r="C248" s="26" t="s">
        <v>255</v>
      </c>
      <c r="D248" s="26">
        <v>1.92512E7</v>
      </c>
      <c r="F248" s="26" t="s">
        <v>2542</v>
      </c>
    </row>
    <row r="249">
      <c r="A249" s="27">
        <v>45967.0</v>
      </c>
      <c r="B249" s="26" t="s">
        <v>2790</v>
      </c>
      <c r="C249" s="26" t="s">
        <v>255</v>
      </c>
      <c r="D249" s="26">
        <v>8054156.0</v>
      </c>
      <c r="F249" s="26" t="s">
        <v>2542</v>
      </c>
    </row>
    <row r="250">
      <c r="A250" s="27">
        <v>45967.0</v>
      </c>
      <c r="B250" s="26" t="s">
        <v>2745</v>
      </c>
      <c r="C250" s="26" t="s">
        <v>255</v>
      </c>
      <c r="D250" s="26">
        <v>4000000.0</v>
      </c>
      <c r="F250" s="26" t="s">
        <v>2542</v>
      </c>
    </row>
    <row r="251">
      <c r="A251" s="27">
        <v>45967.0</v>
      </c>
      <c r="B251" s="26" t="s">
        <v>2791</v>
      </c>
      <c r="C251" s="26" t="s">
        <v>255</v>
      </c>
      <c r="D251" s="26">
        <v>1595000.0</v>
      </c>
      <c r="F251" s="26" t="s">
        <v>2542</v>
      </c>
    </row>
    <row r="252">
      <c r="A252" s="27">
        <v>45967.0</v>
      </c>
      <c r="B252" s="26" t="s">
        <v>2792</v>
      </c>
      <c r="C252" s="26" t="s">
        <v>255</v>
      </c>
      <c r="D252" s="26">
        <v>4.655365E7</v>
      </c>
      <c r="F252" s="26" t="s">
        <v>2542</v>
      </c>
    </row>
    <row r="253">
      <c r="A253" s="27">
        <v>45967.0</v>
      </c>
      <c r="B253" s="26" t="s">
        <v>2793</v>
      </c>
      <c r="C253" s="26" t="s">
        <v>2593</v>
      </c>
      <c r="D253" s="26">
        <v>526000.0</v>
      </c>
      <c r="F253" s="26" t="s">
        <v>2542</v>
      </c>
      <c r="G253" s="26">
        <v>6423.0</v>
      </c>
    </row>
    <row r="254">
      <c r="A254" s="27">
        <v>45967.0</v>
      </c>
      <c r="B254" s="26" t="s">
        <v>2794</v>
      </c>
      <c r="C254" s="26" t="s">
        <v>2764</v>
      </c>
      <c r="D254" s="26">
        <v>120000.0</v>
      </c>
      <c r="F254" s="26" t="s">
        <v>2542</v>
      </c>
      <c r="G254" s="26">
        <v>6273.0</v>
      </c>
    </row>
    <row r="255">
      <c r="A255" s="27">
        <v>45967.0</v>
      </c>
      <c r="B255" s="26" t="s">
        <v>2795</v>
      </c>
      <c r="C255" s="26" t="s">
        <v>2545</v>
      </c>
      <c r="D255" s="26">
        <v>1.56E7</v>
      </c>
      <c r="F255" s="26" t="s">
        <v>2542</v>
      </c>
      <c r="G255" s="26">
        <v>3341.0</v>
      </c>
    </row>
    <row r="256">
      <c r="A256" s="27">
        <v>45967.0</v>
      </c>
      <c r="B256" s="26" t="s">
        <v>2796</v>
      </c>
      <c r="C256" s="26" t="s">
        <v>2764</v>
      </c>
      <c r="D256" s="26">
        <v>1000000.0</v>
      </c>
      <c r="F256" s="26" t="s">
        <v>2542</v>
      </c>
      <c r="G256" s="26">
        <v>6273.0</v>
      </c>
    </row>
    <row r="257">
      <c r="A257" s="27">
        <v>45967.0</v>
      </c>
      <c r="B257" s="26" t="s">
        <v>2797</v>
      </c>
      <c r="C257" s="26" t="s">
        <v>2545</v>
      </c>
      <c r="D257" s="26">
        <v>1.9895E7</v>
      </c>
      <c r="F257" s="26" t="s">
        <v>2542</v>
      </c>
      <c r="G257" s="26">
        <v>3341.0</v>
      </c>
    </row>
    <row r="258">
      <c r="A258" s="27">
        <v>45967.0</v>
      </c>
      <c r="B258" s="26" t="s">
        <v>2798</v>
      </c>
      <c r="C258" s="26" t="s">
        <v>2561</v>
      </c>
      <c r="D258" s="26">
        <v>2.9211019E7</v>
      </c>
      <c r="F258" s="26" t="s">
        <v>2542</v>
      </c>
      <c r="G258" s="26">
        <v>331.0</v>
      </c>
    </row>
    <row r="259">
      <c r="A259" s="27">
        <v>45966.0</v>
      </c>
      <c r="B259" s="26" t="s">
        <v>2799</v>
      </c>
      <c r="C259" s="26" t="s">
        <v>2545</v>
      </c>
      <c r="D259" s="26">
        <v>5370000.0</v>
      </c>
      <c r="F259" s="26" t="s">
        <v>2542</v>
      </c>
      <c r="G259" s="26">
        <v>3341.0</v>
      </c>
    </row>
    <row r="260">
      <c r="A260" s="27">
        <v>45966.0</v>
      </c>
      <c r="B260" s="26" t="s">
        <v>2800</v>
      </c>
      <c r="C260" s="26" t="s">
        <v>2545</v>
      </c>
      <c r="D260" s="26">
        <v>5370000.0</v>
      </c>
      <c r="F260" s="26" t="s">
        <v>2542</v>
      </c>
      <c r="G260" s="26">
        <v>3341.0</v>
      </c>
    </row>
    <row r="261">
      <c r="A261" s="27">
        <v>45966.0</v>
      </c>
      <c r="B261" s="26" t="s">
        <v>2801</v>
      </c>
      <c r="C261" s="26" t="s">
        <v>2545</v>
      </c>
      <c r="D261" s="26">
        <v>7160000.0</v>
      </c>
      <c r="F261" s="26" t="s">
        <v>2542</v>
      </c>
      <c r="G261" s="26">
        <v>3341.0</v>
      </c>
    </row>
    <row r="262">
      <c r="A262" s="27">
        <v>45966.0</v>
      </c>
      <c r="B262" s="26" t="s">
        <v>2802</v>
      </c>
      <c r="C262" s="26" t="s">
        <v>2545</v>
      </c>
      <c r="D262" s="26">
        <v>7160000.0</v>
      </c>
      <c r="F262" s="26" t="s">
        <v>2542</v>
      </c>
      <c r="G262" s="26">
        <v>3341.0</v>
      </c>
    </row>
    <row r="263">
      <c r="A263" s="27">
        <v>45966.0</v>
      </c>
      <c r="B263" s="26" t="s">
        <v>2803</v>
      </c>
      <c r="C263" s="26" t="s">
        <v>2545</v>
      </c>
      <c r="D263" s="26">
        <v>7160000.0</v>
      </c>
      <c r="F263" s="26" t="s">
        <v>2542</v>
      </c>
      <c r="G263" s="26">
        <v>3341.0</v>
      </c>
    </row>
    <row r="264">
      <c r="A264" s="27">
        <v>45966.0</v>
      </c>
      <c r="B264" s="26" t="s">
        <v>2804</v>
      </c>
      <c r="C264" s="26" t="s">
        <v>2545</v>
      </c>
      <c r="D264" s="26">
        <v>3.0E7</v>
      </c>
      <c r="F264" s="26" t="s">
        <v>2542</v>
      </c>
      <c r="G264" s="26">
        <v>3341.0</v>
      </c>
    </row>
    <row r="265">
      <c r="A265" s="27">
        <v>45965.0</v>
      </c>
      <c r="B265" s="26" t="s">
        <v>2805</v>
      </c>
      <c r="C265" s="26" t="s">
        <v>255</v>
      </c>
      <c r="D265" s="26">
        <v>5808000.0</v>
      </c>
      <c r="F265" s="26" t="s">
        <v>2542</v>
      </c>
    </row>
    <row r="266">
      <c r="A266" s="27">
        <v>45965.0</v>
      </c>
      <c r="B266" s="26" t="s">
        <v>2806</v>
      </c>
      <c r="C266" s="26" t="s">
        <v>255</v>
      </c>
      <c r="D266" s="26">
        <v>2904000.0</v>
      </c>
      <c r="F266" s="26" t="s">
        <v>2542</v>
      </c>
    </row>
    <row r="267">
      <c r="A267" s="27">
        <v>45965.0</v>
      </c>
      <c r="B267" s="26" t="s">
        <v>2807</v>
      </c>
      <c r="C267" s="26" t="s">
        <v>255</v>
      </c>
      <c r="D267" s="26">
        <v>1.6021E7</v>
      </c>
      <c r="F267" s="26" t="s">
        <v>2542</v>
      </c>
    </row>
    <row r="268">
      <c r="A268" s="27">
        <v>45965.0</v>
      </c>
      <c r="B268" s="26" t="s">
        <v>2808</v>
      </c>
      <c r="C268" s="26" t="s">
        <v>2561</v>
      </c>
      <c r="D268" s="26">
        <v>9859177.0</v>
      </c>
      <c r="F268" s="26" t="s">
        <v>2542</v>
      </c>
      <c r="G268" s="26">
        <v>331.0</v>
      </c>
    </row>
    <row r="269">
      <c r="A269" s="27">
        <v>45965.0</v>
      </c>
      <c r="B269" s="26" t="s">
        <v>2809</v>
      </c>
      <c r="C269" s="26" t="s">
        <v>2564</v>
      </c>
      <c r="D269" s="26">
        <v>131.762</v>
      </c>
      <c r="F269" s="26" t="s">
        <v>2542</v>
      </c>
      <c r="G269" s="26">
        <v>3332.0</v>
      </c>
    </row>
    <row r="270">
      <c r="A270" s="27">
        <v>45965.0</v>
      </c>
      <c r="B270" s="26" t="s">
        <v>2809</v>
      </c>
      <c r="C270" s="26" t="s">
        <v>2564</v>
      </c>
      <c r="D270" s="26" t="s">
        <v>2810</v>
      </c>
      <c r="F270" s="26" t="s">
        <v>2542</v>
      </c>
      <c r="G270" s="26">
        <v>3332.0</v>
      </c>
    </row>
    <row r="271">
      <c r="A271" s="27">
        <v>45965.0</v>
      </c>
      <c r="B271" s="26" t="s">
        <v>2712</v>
      </c>
      <c r="C271" s="26" t="s">
        <v>2564</v>
      </c>
      <c r="D271" s="26" t="s">
        <v>2811</v>
      </c>
      <c r="F271" s="26" t="s">
        <v>2542</v>
      </c>
      <c r="G271" s="26">
        <v>3332.0</v>
      </c>
    </row>
    <row r="272">
      <c r="A272" s="27">
        <v>45964.0</v>
      </c>
      <c r="B272" s="26" t="s">
        <v>2812</v>
      </c>
      <c r="C272" s="26" t="s">
        <v>255</v>
      </c>
      <c r="D272" s="26">
        <v>4000000.0</v>
      </c>
      <c r="F272" s="26" t="s">
        <v>2542</v>
      </c>
    </row>
    <row r="273">
      <c r="A273" s="27">
        <v>45964.0</v>
      </c>
      <c r="B273" s="26" t="s">
        <v>2813</v>
      </c>
      <c r="C273" s="26" t="s">
        <v>255</v>
      </c>
      <c r="D273" s="26">
        <v>2062500.0</v>
      </c>
      <c r="F273" s="26" t="s">
        <v>2542</v>
      </c>
    </row>
    <row r="274">
      <c r="A274" s="27">
        <v>45964.0</v>
      </c>
      <c r="B274" s="26" t="s">
        <v>2814</v>
      </c>
      <c r="C274" s="26" t="s">
        <v>255</v>
      </c>
      <c r="D274" s="26">
        <v>1.6525E7</v>
      </c>
      <c r="F274" s="26" t="s">
        <v>2542</v>
      </c>
    </row>
    <row r="275">
      <c r="A275" s="27">
        <v>45963.0</v>
      </c>
      <c r="B275" s="26" t="s">
        <v>2815</v>
      </c>
      <c r="C275" s="26" t="s">
        <v>255</v>
      </c>
      <c r="D275" s="26">
        <v>6000000.0</v>
      </c>
      <c r="F275" s="26" t="s">
        <v>2542</v>
      </c>
    </row>
    <row r="276">
      <c r="A276" s="27">
        <v>45963.0</v>
      </c>
      <c r="B276" s="26" t="s">
        <v>2816</v>
      </c>
      <c r="C276" s="26" t="s">
        <v>255</v>
      </c>
      <c r="D276" s="26">
        <v>5808000.0</v>
      </c>
      <c r="F276" s="26" t="s">
        <v>2542</v>
      </c>
    </row>
    <row r="277">
      <c r="A277" s="27">
        <v>45962.0</v>
      </c>
      <c r="B277" s="26" t="s">
        <v>2817</v>
      </c>
      <c r="C277" s="26" t="s">
        <v>255</v>
      </c>
      <c r="D277" s="26">
        <v>1188000.0</v>
      </c>
      <c r="F277" s="26" t="s">
        <v>2542</v>
      </c>
    </row>
    <row r="278">
      <c r="A278" s="27">
        <v>45961.0</v>
      </c>
      <c r="B278" s="26" t="s">
        <v>2818</v>
      </c>
      <c r="C278" s="26" t="s">
        <v>255</v>
      </c>
      <c r="D278" s="26">
        <v>7300000.0</v>
      </c>
      <c r="F278" s="26" t="s">
        <v>2542</v>
      </c>
    </row>
    <row r="279">
      <c r="A279" s="27">
        <v>45961.0</v>
      </c>
      <c r="B279" s="26" t="s">
        <v>2819</v>
      </c>
      <c r="C279" s="26" t="s">
        <v>255</v>
      </c>
      <c r="D279" s="26">
        <v>2486000.0</v>
      </c>
      <c r="F279" s="26" t="s">
        <v>2542</v>
      </c>
    </row>
    <row r="280">
      <c r="A280" s="27">
        <v>45961.0</v>
      </c>
      <c r="B280" s="26" t="s">
        <v>2820</v>
      </c>
      <c r="C280" s="26" t="s">
        <v>255</v>
      </c>
      <c r="D280" s="26">
        <v>1080000.0</v>
      </c>
      <c r="F280" s="26" t="s">
        <v>2542</v>
      </c>
    </row>
    <row r="281">
      <c r="A281" s="27">
        <v>45961.0</v>
      </c>
      <c r="B281" s="26" t="s">
        <v>2543</v>
      </c>
      <c r="C281" s="26" t="s">
        <v>255</v>
      </c>
      <c r="D281" s="26">
        <v>6397.0</v>
      </c>
      <c r="F281" s="26" t="s">
        <v>2542</v>
      </c>
    </row>
    <row r="282">
      <c r="A282" s="27">
        <v>45961.0</v>
      </c>
      <c r="B282" s="26" t="s">
        <v>2818</v>
      </c>
      <c r="C282" s="28"/>
      <c r="D282" s="26">
        <v>7300000.0</v>
      </c>
      <c r="F282" s="26" t="s">
        <v>2542</v>
      </c>
    </row>
    <row r="283">
      <c r="A283" s="27">
        <v>45961.0</v>
      </c>
      <c r="B283" s="26" t="s">
        <v>2821</v>
      </c>
      <c r="C283" s="26" t="s">
        <v>2564</v>
      </c>
      <c r="D283" s="26" t="s">
        <v>2822</v>
      </c>
      <c r="F283" s="26" t="s">
        <v>2542</v>
      </c>
      <c r="G283" s="26">
        <v>6425.0</v>
      </c>
    </row>
    <row r="284">
      <c r="A284" s="27">
        <v>45960.0</v>
      </c>
      <c r="B284" s="26" t="s">
        <v>2823</v>
      </c>
      <c r="C284" s="26" t="s">
        <v>2571</v>
      </c>
      <c r="D284" s="26">
        <v>145000.0</v>
      </c>
      <c r="F284" s="26" t="s">
        <v>2542</v>
      </c>
      <c r="G284" s="26">
        <v>641.22</v>
      </c>
    </row>
    <row r="285">
      <c r="A285" s="27">
        <v>45960.0</v>
      </c>
      <c r="B285" s="26" t="s">
        <v>2824</v>
      </c>
      <c r="C285" s="26" t="s">
        <v>2593</v>
      </c>
      <c r="D285" s="26">
        <v>240000.0</v>
      </c>
      <c r="F285" s="26" t="s">
        <v>2542</v>
      </c>
      <c r="G285" s="26">
        <v>6423.0</v>
      </c>
    </row>
    <row r="286">
      <c r="A286" s="27">
        <v>45959.0</v>
      </c>
      <c r="B286" s="26" t="s">
        <v>2668</v>
      </c>
      <c r="C286" s="26" t="s">
        <v>255</v>
      </c>
      <c r="D286" s="26">
        <v>1190000.0</v>
      </c>
      <c r="F286" s="26" t="s">
        <v>2542</v>
      </c>
    </row>
    <row r="287">
      <c r="A287" s="27">
        <v>45958.0</v>
      </c>
      <c r="B287" s="26" t="s">
        <v>2825</v>
      </c>
      <c r="C287" s="26" t="s">
        <v>255</v>
      </c>
      <c r="D287" s="26">
        <v>6666000.0</v>
      </c>
      <c r="F287" s="26" t="s">
        <v>2542</v>
      </c>
    </row>
    <row r="288">
      <c r="A288" s="27">
        <v>45958.0</v>
      </c>
      <c r="B288" s="26" t="s">
        <v>2826</v>
      </c>
      <c r="C288" s="26" t="s">
        <v>255</v>
      </c>
      <c r="D288" s="26">
        <v>2407680.0</v>
      </c>
      <c r="F288" s="26" t="s">
        <v>2542</v>
      </c>
    </row>
    <row r="289">
      <c r="A289" s="27">
        <v>45958.0</v>
      </c>
      <c r="B289" s="26" t="s">
        <v>2827</v>
      </c>
      <c r="C289" s="26" t="s">
        <v>255</v>
      </c>
      <c r="D289" s="26">
        <v>3360000.0</v>
      </c>
      <c r="F289" s="26" t="s">
        <v>2542</v>
      </c>
    </row>
    <row r="290">
      <c r="A290" s="27">
        <v>45958.0</v>
      </c>
      <c r="B290" s="26" t="s">
        <v>2828</v>
      </c>
      <c r="C290" s="26" t="s">
        <v>255</v>
      </c>
      <c r="D290" s="26">
        <v>720000.0</v>
      </c>
      <c r="F290" s="26" t="s">
        <v>2542</v>
      </c>
    </row>
    <row r="291">
      <c r="A291" s="27">
        <v>45958.0</v>
      </c>
      <c r="B291" s="26" t="s">
        <v>2829</v>
      </c>
      <c r="C291" s="26" t="s">
        <v>255</v>
      </c>
      <c r="D291" s="26">
        <v>2400000.0</v>
      </c>
      <c r="F291" s="26" t="s">
        <v>2542</v>
      </c>
    </row>
    <row r="292">
      <c r="A292" s="27">
        <v>45957.0</v>
      </c>
      <c r="B292" s="26" t="s">
        <v>2830</v>
      </c>
      <c r="C292" s="26" t="s">
        <v>255</v>
      </c>
      <c r="D292" s="26">
        <v>1152000.0</v>
      </c>
      <c r="F292" s="26" t="s">
        <v>2542</v>
      </c>
    </row>
    <row r="293">
      <c r="A293" s="27">
        <v>45957.0</v>
      </c>
      <c r="B293" s="26" t="s">
        <v>2831</v>
      </c>
      <c r="C293" s="26" t="s">
        <v>255</v>
      </c>
      <c r="D293" s="26">
        <v>1.01508E7</v>
      </c>
      <c r="F293" s="26" t="s">
        <v>2542</v>
      </c>
    </row>
    <row r="294">
      <c r="A294" s="27">
        <v>45957.0</v>
      </c>
      <c r="B294" s="26" t="s">
        <v>2832</v>
      </c>
      <c r="C294" s="26" t="s">
        <v>255</v>
      </c>
      <c r="D294" s="26">
        <v>8470000.0</v>
      </c>
      <c r="F294" s="26" t="s">
        <v>2542</v>
      </c>
    </row>
    <row r="295">
      <c r="A295" s="27">
        <v>45957.0</v>
      </c>
      <c r="B295" s="26" t="s">
        <v>2833</v>
      </c>
      <c r="C295" s="26" t="s">
        <v>2561</v>
      </c>
      <c r="D295" s="26">
        <v>6420000.0</v>
      </c>
      <c r="F295" s="26" t="s">
        <v>2542</v>
      </c>
      <c r="G295" s="26">
        <v>331.0</v>
      </c>
    </row>
    <row r="296">
      <c r="A296" s="27">
        <v>45957.0</v>
      </c>
      <c r="B296" s="26" t="s">
        <v>2834</v>
      </c>
      <c r="C296" s="26" t="s">
        <v>2561</v>
      </c>
      <c r="D296" s="26">
        <v>5.4E7</v>
      </c>
      <c r="F296" s="26" t="s">
        <v>2542</v>
      </c>
      <c r="G296" s="26">
        <v>331.0</v>
      </c>
    </row>
    <row r="297">
      <c r="A297" s="27">
        <v>45957.0</v>
      </c>
      <c r="B297" s="26" t="s">
        <v>2835</v>
      </c>
      <c r="C297" s="26" t="s">
        <v>2593</v>
      </c>
      <c r="D297" s="26">
        <v>1.08E7</v>
      </c>
      <c r="F297" s="26" t="s">
        <v>2542</v>
      </c>
      <c r="G297" s="26">
        <v>6423.0</v>
      </c>
    </row>
    <row r="298">
      <c r="A298" s="27">
        <v>45955.0</v>
      </c>
      <c r="B298" s="26" t="s">
        <v>2836</v>
      </c>
      <c r="C298" s="26" t="s">
        <v>255</v>
      </c>
      <c r="D298" s="26">
        <v>2900000.0</v>
      </c>
      <c r="F298" s="26" t="s">
        <v>2542</v>
      </c>
    </row>
    <row r="299">
      <c r="A299" s="27">
        <v>45955.0</v>
      </c>
      <c r="B299" s="26" t="s">
        <v>2837</v>
      </c>
      <c r="C299" s="26" t="s">
        <v>255</v>
      </c>
      <c r="D299" s="26">
        <v>2376000.0</v>
      </c>
      <c r="F299" s="26" t="s">
        <v>2542</v>
      </c>
    </row>
    <row r="300">
      <c r="A300" s="27">
        <v>45954.0</v>
      </c>
      <c r="B300" s="26" t="s">
        <v>2586</v>
      </c>
      <c r="C300" s="26" t="s">
        <v>255</v>
      </c>
      <c r="D300" s="26">
        <v>14582.0</v>
      </c>
      <c r="F300" s="26" t="s">
        <v>2542</v>
      </c>
    </row>
    <row r="301">
      <c r="A301" s="27">
        <v>45954.0</v>
      </c>
      <c r="B301" s="26" t="s">
        <v>2838</v>
      </c>
      <c r="C301" s="26" t="s">
        <v>255</v>
      </c>
      <c r="D301" s="26">
        <v>1595000.0</v>
      </c>
      <c r="F301" s="26" t="s">
        <v>2542</v>
      </c>
    </row>
    <row r="302">
      <c r="A302" s="27">
        <v>45954.0</v>
      </c>
      <c r="B302" s="26" t="s">
        <v>2839</v>
      </c>
      <c r="C302" s="26" t="s">
        <v>2571</v>
      </c>
      <c r="D302" s="26">
        <v>360000.0</v>
      </c>
      <c r="F302" s="26" t="s">
        <v>2542</v>
      </c>
      <c r="G302" s="26">
        <v>641.36</v>
      </c>
    </row>
    <row r="303">
      <c r="A303" s="27">
        <v>45953.0</v>
      </c>
      <c r="B303" s="26" t="s">
        <v>2840</v>
      </c>
      <c r="C303" s="26" t="s">
        <v>255</v>
      </c>
      <c r="D303" s="26">
        <v>1595000.0</v>
      </c>
      <c r="F303" s="26" t="s">
        <v>2542</v>
      </c>
    </row>
    <row r="304">
      <c r="A304" s="27">
        <v>45953.0</v>
      </c>
      <c r="B304" s="26" t="s">
        <v>2841</v>
      </c>
      <c r="C304" s="26" t="s">
        <v>2593</v>
      </c>
      <c r="D304" s="26">
        <v>235000.0</v>
      </c>
      <c r="F304" s="26" t="s">
        <v>2542</v>
      </c>
      <c r="G304" s="26">
        <v>6423.0</v>
      </c>
    </row>
    <row r="305">
      <c r="A305" s="27">
        <v>45953.0</v>
      </c>
      <c r="B305" s="26" t="s">
        <v>2842</v>
      </c>
      <c r="C305" s="28"/>
      <c r="D305" s="26">
        <v>4000000.0</v>
      </c>
      <c r="F305" s="26" t="s">
        <v>2542</v>
      </c>
      <c r="G305" s="26">
        <v>141.0</v>
      </c>
    </row>
    <row r="306">
      <c r="A306" s="27">
        <v>45952.0</v>
      </c>
      <c r="B306" s="26" t="s">
        <v>2611</v>
      </c>
      <c r="C306" s="26" t="s">
        <v>255</v>
      </c>
      <c r="D306" s="26">
        <v>1188000.0</v>
      </c>
      <c r="F306" s="26" t="s">
        <v>2542</v>
      </c>
    </row>
    <row r="307">
      <c r="A307" s="27">
        <v>45952.0</v>
      </c>
      <c r="B307" s="26" t="s">
        <v>2843</v>
      </c>
      <c r="C307" s="26" t="s">
        <v>255</v>
      </c>
      <c r="D307" s="26">
        <v>9350000.0</v>
      </c>
      <c r="F307" s="26" t="s">
        <v>2542</v>
      </c>
    </row>
    <row r="308">
      <c r="A308" s="27">
        <v>45952.0</v>
      </c>
      <c r="B308" s="26" t="s">
        <v>2844</v>
      </c>
      <c r="C308" s="26" t="s">
        <v>255</v>
      </c>
      <c r="D308" s="26">
        <v>8250000.0</v>
      </c>
      <c r="F308" s="26" t="s">
        <v>2542</v>
      </c>
    </row>
    <row r="309">
      <c r="A309" s="27">
        <v>45952.0</v>
      </c>
      <c r="B309" s="26" t="s">
        <v>2845</v>
      </c>
      <c r="C309" s="26" t="s">
        <v>255</v>
      </c>
      <c r="D309" s="26">
        <v>1485000.0</v>
      </c>
      <c r="F309" s="26" t="s">
        <v>2542</v>
      </c>
    </row>
    <row r="310">
      <c r="A310" s="27">
        <v>45952.0</v>
      </c>
      <c r="B310" s="26" t="s">
        <v>2846</v>
      </c>
      <c r="C310" s="26" t="s">
        <v>2561</v>
      </c>
      <c r="D310" s="26">
        <v>6961000.0</v>
      </c>
      <c r="F310" s="26" t="s">
        <v>2542</v>
      </c>
      <c r="G310" s="26">
        <v>331.0</v>
      </c>
    </row>
    <row r="311">
      <c r="A311" s="27">
        <v>45951.0</v>
      </c>
      <c r="B311" s="26" t="s">
        <v>2847</v>
      </c>
      <c r="C311" s="26" t="s">
        <v>255</v>
      </c>
      <c r="D311" s="26">
        <v>8063000.0</v>
      </c>
      <c r="F311" s="26" t="s">
        <v>2542</v>
      </c>
    </row>
    <row r="312">
      <c r="A312" s="27">
        <v>45951.0</v>
      </c>
      <c r="B312" s="26" t="s">
        <v>2848</v>
      </c>
      <c r="C312" s="26" t="s">
        <v>255</v>
      </c>
      <c r="D312" s="26">
        <v>3657500.0</v>
      </c>
      <c r="F312" s="26" t="s">
        <v>2542</v>
      </c>
    </row>
    <row r="313">
      <c r="A313" s="27">
        <v>45950.0</v>
      </c>
      <c r="B313" s="26" t="s">
        <v>2849</v>
      </c>
      <c r="C313" s="26" t="s">
        <v>255</v>
      </c>
      <c r="D313" s="26">
        <v>1320000.0</v>
      </c>
      <c r="F313" s="26" t="s">
        <v>2542</v>
      </c>
    </row>
    <row r="314">
      <c r="A314" s="27">
        <v>45950.0</v>
      </c>
      <c r="B314" s="26" t="s">
        <v>2850</v>
      </c>
      <c r="C314" s="26" t="s">
        <v>255</v>
      </c>
      <c r="D314" s="26">
        <v>2520000.0</v>
      </c>
      <c r="F314" s="26" t="s">
        <v>2542</v>
      </c>
    </row>
    <row r="315">
      <c r="A315" s="27">
        <v>45948.0</v>
      </c>
      <c r="B315" s="26" t="s">
        <v>2851</v>
      </c>
      <c r="C315" s="26" t="s">
        <v>255</v>
      </c>
      <c r="D315" s="26">
        <v>1270000.0</v>
      </c>
      <c r="F315" s="26" t="s">
        <v>2542</v>
      </c>
    </row>
    <row r="316">
      <c r="A316" s="27">
        <v>45947.0</v>
      </c>
      <c r="B316" s="26" t="s">
        <v>2852</v>
      </c>
      <c r="C316" s="26" t="s">
        <v>2574</v>
      </c>
      <c r="D316" s="26">
        <v>3300000.0</v>
      </c>
      <c r="F316" s="26" t="s">
        <v>2542</v>
      </c>
      <c r="G316" s="26">
        <v>331.0</v>
      </c>
    </row>
    <row r="317">
      <c r="A317" s="27">
        <v>45947.0</v>
      </c>
      <c r="B317" s="26" t="s">
        <v>2853</v>
      </c>
      <c r="C317" s="26" t="s">
        <v>2593</v>
      </c>
      <c r="D317" s="26">
        <v>200000.0</v>
      </c>
      <c r="F317" s="26" t="s">
        <v>2542</v>
      </c>
      <c r="G317" s="26">
        <v>6423.0</v>
      </c>
    </row>
    <row r="318">
      <c r="A318" s="27">
        <v>45946.0</v>
      </c>
      <c r="B318" s="26" t="s">
        <v>2854</v>
      </c>
      <c r="C318" s="26" t="s">
        <v>255</v>
      </c>
      <c r="D318" s="26">
        <v>1200000.0</v>
      </c>
      <c r="F318" s="26" t="s">
        <v>2542</v>
      </c>
    </row>
    <row r="319">
      <c r="A319" s="27">
        <v>45946.0</v>
      </c>
      <c r="B319" s="26" t="s">
        <v>2855</v>
      </c>
      <c r="C319" s="26" t="s">
        <v>255</v>
      </c>
      <c r="D319" s="26">
        <v>1628000.0</v>
      </c>
      <c r="F319" s="26" t="s">
        <v>2542</v>
      </c>
    </row>
    <row r="320">
      <c r="A320" s="27">
        <v>45946.0</v>
      </c>
      <c r="B320" s="26" t="s">
        <v>2855</v>
      </c>
      <c r="C320" s="26" t="s">
        <v>255</v>
      </c>
      <c r="D320" s="26">
        <v>1628000.0</v>
      </c>
      <c r="F320" s="26" t="s">
        <v>2542</v>
      </c>
    </row>
    <row r="321">
      <c r="A321" s="27">
        <v>45946.0</v>
      </c>
      <c r="B321" s="26" t="s">
        <v>2856</v>
      </c>
      <c r="C321" s="26" t="s">
        <v>255</v>
      </c>
      <c r="D321" s="26">
        <v>2500000.0</v>
      </c>
      <c r="F321" s="26" t="s">
        <v>2542</v>
      </c>
    </row>
    <row r="322">
      <c r="A322" s="27">
        <v>45946.0</v>
      </c>
      <c r="B322" s="26" t="s">
        <v>2857</v>
      </c>
      <c r="C322" s="26" t="s">
        <v>2593</v>
      </c>
      <c r="D322" s="26">
        <v>38664.0</v>
      </c>
      <c r="F322" s="26" t="s">
        <v>2542</v>
      </c>
      <c r="G322" s="26">
        <v>6423.0</v>
      </c>
    </row>
    <row r="323">
      <c r="A323" s="27">
        <v>45946.0</v>
      </c>
      <c r="B323" s="26" t="s">
        <v>2858</v>
      </c>
      <c r="C323" s="26" t="s">
        <v>2593</v>
      </c>
      <c r="D323" s="26">
        <v>150000.0</v>
      </c>
      <c r="F323" s="26" t="s">
        <v>2542</v>
      </c>
      <c r="G323" s="26">
        <v>6423.0</v>
      </c>
    </row>
    <row r="324">
      <c r="A324" s="27">
        <v>45946.0</v>
      </c>
      <c r="B324" s="26" t="s">
        <v>2859</v>
      </c>
      <c r="C324" s="26" t="s">
        <v>2764</v>
      </c>
      <c r="D324" s="26">
        <v>228000.0</v>
      </c>
      <c r="F324" s="26" t="s">
        <v>2542</v>
      </c>
      <c r="G324" s="26">
        <v>6273.0</v>
      </c>
    </row>
    <row r="325">
      <c r="A325" s="27">
        <v>45946.0</v>
      </c>
      <c r="B325" s="26" t="s">
        <v>2860</v>
      </c>
      <c r="C325" s="26" t="s">
        <v>2571</v>
      </c>
      <c r="D325" s="26">
        <v>50000.0</v>
      </c>
      <c r="F325" s="26" t="s">
        <v>2542</v>
      </c>
      <c r="G325" s="26">
        <v>641.12</v>
      </c>
    </row>
    <row r="326">
      <c r="A326" s="27">
        <v>45945.0</v>
      </c>
      <c r="B326" s="26" t="s">
        <v>2861</v>
      </c>
      <c r="C326" s="28"/>
      <c r="D326" s="26">
        <v>760000.0</v>
      </c>
      <c r="F326" s="26" t="s">
        <v>2542</v>
      </c>
    </row>
    <row r="327">
      <c r="A327" s="27">
        <v>45945.0</v>
      </c>
      <c r="B327" s="26" t="s">
        <v>2861</v>
      </c>
      <c r="C327" s="26" t="s">
        <v>2764</v>
      </c>
      <c r="D327" s="26">
        <v>7600000.0</v>
      </c>
      <c r="F327" s="26" t="s">
        <v>2542</v>
      </c>
      <c r="G327" s="26">
        <v>6273.0</v>
      </c>
    </row>
    <row r="328">
      <c r="A328" s="27">
        <v>45943.0</v>
      </c>
      <c r="B328" s="26" t="s">
        <v>2862</v>
      </c>
      <c r="C328" s="26" t="s">
        <v>255</v>
      </c>
      <c r="D328" s="26">
        <v>3036000.0</v>
      </c>
      <c r="F328" s="26" t="s">
        <v>2542</v>
      </c>
    </row>
    <row r="329">
      <c r="A329" s="27">
        <v>45943.0</v>
      </c>
      <c r="B329" s="26" t="s">
        <v>2863</v>
      </c>
      <c r="C329" s="26" t="s">
        <v>2545</v>
      </c>
      <c r="D329" s="26">
        <v>1.6409E7</v>
      </c>
      <c r="F329" s="26" t="s">
        <v>2542</v>
      </c>
      <c r="G329" s="26">
        <v>3348.0</v>
      </c>
    </row>
    <row r="330">
      <c r="A330" s="27">
        <v>45943.0</v>
      </c>
      <c r="B330" s="26" t="s">
        <v>2864</v>
      </c>
      <c r="C330" s="26" t="s">
        <v>2545</v>
      </c>
      <c r="D330" s="26">
        <v>1.2E7</v>
      </c>
      <c r="F330" s="26" t="s">
        <v>2542</v>
      </c>
      <c r="G330" s="26">
        <v>3341.0</v>
      </c>
    </row>
    <row r="331">
      <c r="A331" s="27">
        <v>45943.0</v>
      </c>
      <c r="B331" s="26" t="s">
        <v>2865</v>
      </c>
      <c r="C331" s="26" t="s">
        <v>2545</v>
      </c>
      <c r="D331" s="26">
        <v>1.2E7</v>
      </c>
      <c r="F331" s="26" t="s">
        <v>2542</v>
      </c>
      <c r="G331" s="26">
        <v>3341.0</v>
      </c>
    </row>
    <row r="332">
      <c r="A332" s="27">
        <v>45941.0</v>
      </c>
      <c r="B332" s="26" t="s">
        <v>2866</v>
      </c>
      <c r="C332" s="26" t="s">
        <v>255</v>
      </c>
      <c r="D332" s="26">
        <v>2900000.0</v>
      </c>
      <c r="F332" s="26" t="s">
        <v>2542</v>
      </c>
    </row>
    <row r="333">
      <c r="A333" s="27">
        <v>45941.0</v>
      </c>
      <c r="B333" s="26" t="s">
        <v>2867</v>
      </c>
      <c r="C333" s="26" t="s">
        <v>255</v>
      </c>
      <c r="D333" s="26">
        <v>1875000.0</v>
      </c>
      <c r="F333" s="26" t="s">
        <v>2542</v>
      </c>
    </row>
    <row r="334">
      <c r="A334" s="27">
        <v>45941.0</v>
      </c>
      <c r="B334" s="26" t="s">
        <v>2868</v>
      </c>
      <c r="C334" s="26" t="s">
        <v>255</v>
      </c>
      <c r="D334" s="26">
        <v>1.79148E7</v>
      </c>
      <c r="F334" s="26" t="s">
        <v>2542</v>
      </c>
    </row>
    <row r="335">
      <c r="A335" s="27">
        <v>45941.0</v>
      </c>
      <c r="B335" s="26" t="s">
        <v>2869</v>
      </c>
      <c r="C335" s="26" t="s">
        <v>255</v>
      </c>
      <c r="D335" s="26">
        <v>2160000.0</v>
      </c>
      <c r="F335" s="26" t="s">
        <v>2542</v>
      </c>
    </row>
    <row r="336">
      <c r="A336" s="27">
        <v>45941.0</v>
      </c>
      <c r="B336" s="26" t="s">
        <v>2870</v>
      </c>
      <c r="C336" s="26" t="s">
        <v>255</v>
      </c>
      <c r="D336" s="26">
        <v>1.1686125E7</v>
      </c>
      <c r="F336" s="26" t="s">
        <v>2542</v>
      </c>
    </row>
    <row r="337">
      <c r="A337" s="27">
        <v>45941.0</v>
      </c>
      <c r="B337" s="26" t="s">
        <v>2871</v>
      </c>
      <c r="C337" s="26" t="s">
        <v>2764</v>
      </c>
      <c r="D337" s="26">
        <v>2500000.0</v>
      </c>
      <c r="F337" s="26" t="s">
        <v>2542</v>
      </c>
      <c r="G337" s="26">
        <v>6273.0</v>
      </c>
    </row>
    <row r="338">
      <c r="A338" s="27">
        <v>45940.0</v>
      </c>
      <c r="B338" s="26" t="s">
        <v>2872</v>
      </c>
      <c r="C338" s="26" t="s">
        <v>255</v>
      </c>
      <c r="D338" s="26">
        <v>3200000.0</v>
      </c>
      <c r="F338" s="26" t="s">
        <v>2542</v>
      </c>
    </row>
    <row r="339">
      <c r="A339" s="27">
        <v>45940.0</v>
      </c>
      <c r="B339" s="26" t="s">
        <v>2873</v>
      </c>
      <c r="C339" s="26" t="s">
        <v>255</v>
      </c>
      <c r="D339" s="26">
        <v>2304000.0</v>
      </c>
      <c r="F339" s="26" t="s">
        <v>2542</v>
      </c>
    </row>
    <row r="340">
      <c r="A340" s="27">
        <v>45940.0</v>
      </c>
      <c r="B340" s="26" t="s">
        <v>2874</v>
      </c>
      <c r="C340" s="26" t="s">
        <v>255</v>
      </c>
      <c r="D340" s="26">
        <v>1600000.0</v>
      </c>
      <c r="F340" s="26" t="s">
        <v>2542</v>
      </c>
    </row>
    <row r="341">
      <c r="A341" s="27">
        <v>45940.0</v>
      </c>
      <c r="B341" s="26" t="s">
        <v>2875</v>
      </c>
      <c r="C341" s="26" t="s">
        <v>255</v>
      </c>
      <c r="D341" s="26">
        <v>1152000.0</v>
      </c>
      <c r="F341" s="26" t="s">
        <v>2542</v>
      </c>
    </row>
    <row r="342">
      <c r="A342" s="27">
        <v>45940.0</v>
      </c>
      <c r="B342" s="26" t="s">
        <v>2876</v>
      </c>
      <c r="C342" s="26" t="s">
        <v>255</v>
      </c>
      <c r="D342" s="26">
        <v>4608000.0</v>
      </c>
      <c r="F342" s="26" t="s">
        <v>2542</v>
      </c>
    </row>
    <row r="343">
      <c r="A343" s="27">
        <v>45940.0</v>
      </c>
      <c r="B343" s="26" t="s">
        <v>2877</v>
      </c>
      <c r="C343" s="26" t="s">
        <v>255</v>
      </c>
      <c r="D343" s="26">
        <v>1152000.0</v>
      </c>
      <c r="F343" s="26" t="s">
        <v>2542</v>
      </c>
    </row>
    <row r="344">
      <c r="A344" s="27">
        <v>45940.0</v>
      </c>
      <c r="B344" s="26" t="s">
        <v>2878</v>
      </c>
      <c r="C344" s="26" t="s">
        <v>255</v>
      </c>
      <c r="D344" s="26">
        <v>1790000.0</v>
      </c>
      <c r="F344" s="26" t="s">
        <v>2542</v>
      </c>
    </row>
    <row r="345">
      <c r="A345" s="27">
        <v>45940.0</v>
      </c>
      <c r="B345" s="26" t="s">
        <v>2879</v>
      </c>
      <c r="C345" s="26" t="s">
        <v>255</v>
      </c>
      <c r="D345" s="26">
        <v>1152000.0</v>
      </c>
      <c r="F345" s="26" t="s">
        <v>2542</v>
      </c>
    </row>
    <row r="346">
      <c r="A346" s="27">
        <v>45940.0</v>
      </c>
      <c r="B346" s="26" t="s">
        <v>2880</v>
      </c>
      <c r="C346" s="26" t="s">
        <v>2571</v>
      </c>
      <c r="D346" s="26">
        <v>315000.0</v>
      </c>
      <c r="F346" s="26" t="s">
        <v>2542</v>
      </c>
      <c r="G346" s="26">
        <v>641.12</v>
      </c>
    </row>
    <row r="347">
      <c r="A347" s="27">
        <v>45940.0</v>
      </c>
      <c r="B347" s="26" t="s">
        <v>2881</v>
      </c>
      <c r="C347" s="26" t="s">
        <v>2581</v>
      </c>
      <c r="D347" s="26">
        <v>6000000.0</v>
      </c>
      <c r="F347" s="26" t="s">
        <v>2542</v>
      </c>
      <c r="G347" s="26">
        <v>6422.0</v>
      </c>
    </row>
    <row r="348">
      <c r="A348" s="27">
        <v>45940.0</v>
      </c>
      <c r="B348" s="26" t="s">
        <v>2882</v>
      </c>
      <c r="C348" s="26" t="s">
        <v>2561</v>
      </c>
      <c r="D348" s="26">
        <v>6500000.0</v>
      </c>
      <c r="F348" s="26" t="s">
        <v>2542</v>
      </c>
      <c r="G348" s="26">
        <v>331.0</v>
      </c>
    </row>
    <row r="349">
      <c r="A349" s="27">
        <v>45940.0</v>
      </c>
      <c r="B349" s="26" t="s">
        <v>2883</v>
      </c>
      <c r="C349" s="26" t="s">
        <v>2561</v>
      </c>
      <c r="D349" s="26">
        <v>6000000.0</v>
      </c>
      <c r="F349" s="26" t="s">
        <v>2542</v>
      </c>
      <c r="G349" s="26">
        <v>331.0</v>
      </c>
    </row>
    <row r="350">
      <c r="A350" s="27">
        <v>45939.0</v>
      </c>
      <c r="B350" s="26" t="s">
        <v>2884</v>
      </c>
      <c r="C350" s="26" t="s">
        <v>255</v>
      </c>
      <c r="D350" s="26">
        <v>2640000.0</v>
      </c>
      <c r="F350" s="26" t="s">
        <v>2542</v>
      </c>
    </row>
    <row r="351">
      <c r="A351" s="27">
        <v>45939.0</v>
      </c>
      <c r="B351" s="26" t="s">
        <v>2885</v>
      </c>
      <c r="C351" s="26" t="s">
        <v>2583</v>
      </c>
      <c r="D351" s="26">
        <v>370000.0</v>
      </c>
      <c r="F351" s="26" t="s">
        <v>2542</v>
      </c>
      <c r="G351" s="26">
        <v>641.24</v>
      </c>
    </row>
    <row r="352">
      <c r="A352" s="27">
        <v>45938.0</v>
      </c>
      <c r="B352" s="26" t="s">
        <v>2886</v>
      </c>
      <c r="C352" s="26" t="s">
        <v>2887</v>
      </c>
      <c r="D352" s="26">
        <v>2.5970568E8</v>
      </c>
      <c r="F352" s="26" t="s">
        <v>2542</v>
      </c>
    </row>
    <row r="353">
      <c r="A353" s="27">
        <v>45938.0</v>
      </c>
      <c r="B353" s="26" t="s">
        <v>2888</v>
      </c>
      <c r="C353" s="26" t="s">
        <v>255</v>
      </c>
      <c r="D353" s="26">
        <v>3325000.0</v>
      </c>
      <c r="F353" s="26" t="s">
        <v>2542</v>
      </c>
    </row>
    <row r="354">
      <c r="A354" s="27">
        <v>45938.0</v>
      </c>
      <c r="B354" s="26" t="s">
        <v>2886</v>
      </c>
      <c r="C354" s="28"/>
      <c r="D354" s="26">
        <v>2.5970568E8</v>
      </c>
      <c r="F354" s="26" t="s">
        <v>2542</v>
      </c>
    </row>
    <row r="355">
      <c r="A355" s="27">
        <v>45938.0</v>
      </c>
      <c r="B355" s="26" t="s">
        <v>2889</v>
      </c>
      <c r="C355" s="26" t="s">
        <v>2561</v>
      </c>
      <c r="D355" s="26">
        <v>1.88989088E8</v>
      </c>
      <c r="F355" s="26" t="s">
        <v>2542</v>
      </c>
      <c r="G355" s="26">
        <v>331.0</v>
      </c>
    </row>
    <row r="356">
      <c r="A356" s="27">
        <v>45938.0</v>
      </c>
      <c r="B356" s="26" t="s">
        <v>2890</v>
      </c>
      <c r="C356" s="26" t="s">
        <v>2764</v>
      </c>
      <c r="D356" s="26">
        <v>1410000.0</v>
      </c>
      <c r="F356" s="26" t="s">
        <v>2542</v>
      </c>
      <c r="G356" s="26">
        <v>6273.0</v>
      </c>
    </row>
    <row r="357">
      <c r="A357" s="27">
        <v>45937.0</v>
      </c>
      <c r="B357" s="26" t="s">
        <v>2891</v>
      </c>
      <c r="C357" s="26" t="s">
        <v>255</v>
      </c>
      <c r="D357" s="26">
        <v>2640000.0</v>
      </c>
      <c r="F357" s="26" t="s">
        <v>2542</v>
      </c>
    </row>
    <row r="358">
      <c r="A358" s="27">
        <v>45937.0</v>
      </c>
      <c r="B358" s="26" t="s">
        <v>2892</v>
      </c>
      <c r="C358" s="26" t="s">
        <v>255</v>
      </c>
      <c r="D358" s="26">
        <v>1080000.0</v>
      </c>
      <c r="F358" s="26" t="s">
        <v>2542</v>
      </c>
    </row>
    <row r="359">
      <c r="A359" s="27">
        <v>45937.0</v>
      </c>
      <c r="B359" s="26" t="s">
        <v>2893</v>
      </c>
      <c r="C359" s="26" t="s">
        <v>255</v>
      </c>
      <c r="D359" s="26">
        <v>1080000.0</v>
      </c>
      <c r="F359" s="26" t="s">
        <v>2542</v>
      </c>
    </row>
    <row r="360">
      <c r="A360" s="27">
        <v>45937.0</v>
      </c>
      <c r="B360" s="26" t="s">
        <v>2894</v>
      </c>
      <c r="C360" s="26" t="s">
        <v>255</v>
      </c>
      <c r="D360" s="26">
        <v>1188000.0</v>
      </c>
      <c r="F360" s="26" t="s">
        <v>2542</v>
      </c>
    </row>
    <row r="361">
      <c r="A361" s="27">
        <v>45937.0</v>
      </c>
      <c r="B361" s="26" t="s">
        <v>2895</v>
      </c>
      <c r="C361" s="26" t="s">
        <v>2571</v>
      </c>
      <c r="D361" s="26">
        <v>350000.0</v>
      </c>
      <c r="F361" s="26" t="s">
        <v>2542</v>
      </c>
      <c r="G361" s="26">
        <v>641.22</v>
      </c>
    </row>
    <row r="362">
      <c r="A362" s="27">
        <v>45937.0</v>
      </c>
      <c r="B362" s="26" t="s">
        <v>2896</v>
      </c>
      <c r="C362" s="26" t="s">
        <v>2764</v>
      </c>
      <c r="D362" s="26">
        <v>3138000.0</v>
      </c>
      <c r="F362" s="26" t="s">
        <v>2542</v>
      </c>
      <c r="G362" s="26">
        <v>6273.0</v>
      </c>
    </row>
    <row r="363">
      <c r="A363" s="27">
        <v>45936.0</v>
      </c>
      <c r="B363" s="26" t="s">
        <v>2897</v>
      </c>
      <c r="C363" s="26" t="s">
        <v>255</v>
      </c>
      <c r="D363" s="26">
        <v>2.636769E7</v>
      </c>
      <c r="F363" s="26" t="s">
        <v>2542</v>
      </c>
    </row>
    <row r="364">
      <c r="A364" s="27">
        <v>45936.0</v>
      </c>
      <c r="B364" s="26" t="s">
        <v>2898</v>
      </c>
      <c r="C364" s="26" t="s">
        <v>255</v>
      </c>
      <c r="D364" s="26">
        <v>5340000.0</v>
      </c>
      <c r="F364" s="26" t="s">
        <v>2542</v>
      </c>
    </row>
    <row r="365">
      <c r="A365" s="27">
        <v>45936.0</v>
      </c>
      <c r="B365" s="26" t="s">
        <v>2899</v>
      </c>
      <c r="C365" s="26" t="s">
        <v>255</v>
      </c>
      <c r="D365" s="26">
        <v>1.9755E7</v>
      </c>
      <c r="F365" s="26" t="s">
        <v>2542</v>
      </c>
    </row>
    <row r="366">
      <c r="A366" s="27">
        <v>45936.0</v>
      </c>
      <c r="B366" s="26" t="s">
        <v>2900</v>
      </c>
      <c r="C366" s="26" t="s">
        <v>255</v>
      </c>
      <c r="D366" s="26">
        <v>4320000.0</v>
      </c>
      <c r="F366" s="26" t="s">
        <v>2542</v>
      </c>
    </row>
    <row r="367">
      <c r="A367" s="27">
        <v>45936.0</v>
      </c>
      <c r="B367" s="26" t="s">
        <v>2901</v>
      </c>
      <c r="C367" s="26" t="s">
        <v>255</v>
      </c>
      <c r="D367" s="26">
        <v>5808000.0</v>
      </c>
      <c r="F367" s="26" t="s">
        <v>2542</v>
      </c>
    </row>
    <row r="368">
      <c r="A368" s="27">
        <v>45936.0</v>
      </c>
      <c r="B368" s="26" t="s">
        <v>2902</v>
      </c>
      <c r="C368" s="26" t="s">
        <v>2545</v>
      </c>
      <c r="D368" s="26">
        <v>3.0E7</v>
      </c>
      <c r="F368" s="26" t="s">
        <v>2542</v>
      </c>
      <c r="G368" s="26">
        <v>3341.0</v>
      </c>
    </row>
    <row r="369">
      <c r="A369" s="27">
        <v>45936.0</v>
      </c>
      <c r="B369" s="26" t="s">
        <v>2903</v>
      </c>
      <c r="C369" s="26" t="s">
        <v>2545</v>
      </c>
      <c r="D369" s="26">
        <v>1.536E7</v>
      </c>
      <c r="F369" s="26" t="s">
        <v>2542</v>
      </c>
      <c r="G369" s="26">
        <v>3341.0</v>
      </c>
    </row>
    <row r="370">
      <c r="A370" s="27">
        <v>45936.0</v>
      </c>
      <c r="B370" s="26" t="s">
        <v>2904</v>
      </c>
      <c r="C370" s="26" t="s">
        <v>2545</v>
      </c>
      <c r="D370" s="26">
        <v>1.56E7</v>
      </c>
      <c r="F370" s="26" t="s">
        <v>2542</v>
      </c>
      <c r="G370" s="26">
        <v>3341.0</v>
      </c>
    </row>
    <row r="371">
      <c r="A371" s="27">
        <v>45936.0</v>
      </c>
      <c r="B371" s="26" t="s">
        <v>2905</v>
      </c>
      <c r="C371" s="26" t="s">
        <v>2545</v>
      </c>
      <c r="D371" s="26">
        <v>1.236E7</v>
      </c>
      <c r="F371" s="26" t="s">
        <v>2542</v>
      </c>
      <c r="G371" s="26">
        <v>3341.0</v>
      </c>
    </row>
    <row r="372">
      <c r="A372" s="27">
        <v>45936.0</v>
      </c>
      <c r="B372" s="26" t="s">
        <v>2906</v>
      </c>
      <c r="C372" s="26" t="s">
        <v>2545</v>
      </c>
      <c r="D372" s="26">
        <v>1.236E7</v>
      </c>
      <c r="F372" s="26" t="s">
        <v>2542</v>
      </c>
      <c r="G372" s="26">
        <v>3341.0</v>
      </c>
    </row>
    <row r="373">
      <c r="A373" s="27">
        <v>45936.0</v>
      </c>
      <c r="B373" s="26" t="s">
        <v>2907</v>
      </c>
      <c r="C373" s="26" t="s">
        <v>2545</v>
      </c>
      <c r="D373" s="26">
        <v>9370000.0</v>
      </c>
      <c r="F373" s="26" t="s">
        <v>2542</v>
      </c>
      <c r="G373" s="26">
        <v>3341.0</v>
      </c>
    </row>
    <row r="374">
      <c r="A374" s="27">
        <v>45936.0</v>
      </c>
      <c r="B374" s="26" t="s">
        <v>2908</v>
      </c>
      <c r="C374" s="26" t="s">
        <v>2545</v>
      </c>
      <c r="D374" s="26">
        <v>8370000.0</v>
      </c>
      <c r="F374" s="26" t="s">
        <v>2542</v>
      </c>
      <c r="G374" s="26">
        <v>3341.0</v>
      </c>
    </row>
    <row r="375">
      <c r="A375" s="27">
        <v>45934.0</v>
      </c>
      <c r="B375" s="26" t="s">
        <v>2909</v>
      </c>
      <c r="C375" s="26" t="s">
        <v>255</v>
      </c>
      <c r="D375" s="26">
        <v>650000.0</v>
      </c>
      <c r="F375" s="26" t="s">
        <v>2542</v>
      </c>
    </row>
    <row r="376">
      <c r="A376" s="27">
        <v>45934.0</v>
      </c>
      <c r="B376" s="26" t="s">
        <v>2910</v>
      </c>
      <c r="C376" s="26" t="s">
        <v>2564</v>
      </c>
      <c r="D376" s="26">
        <v>245.337</v>
      </c>
      <c r="F376" s="26" t="s">
        <v>2542</v>
      </c>
      <c r="G376" s="26">
        <v>3332.0</v>
      </c>
    </row>
    <row r="377">
      <c r="A377" s="27">
        <v>45934.0</v>
      </c>
      <c r="B377" s="26" t="s">
        <v>2911</v>
      </c>
      <c r="C377" s="26" t="s">
        <v>2564</v>
      </c>
      <c r="D377" s="26" t="s">
        <v>2912</v>
      </c>
      <c r="F377" s="26" t="s">
        <v>2542</v>
      </c>
      <c r="G377" s="26">
        <v>3332.0</v>
      </c>
    </row>
    <row r="378">
      <c r="A378" s="27">
        <v>45934.0</v>
      </c>
      <c r="B378" s="26" t="s">
        <v>2911</v>
      </c>
      <c r="C378" s="26" t="s">
        <v>2564</v>
      </c>
      <c r="D378" s="26" t="s">
        <v>2913</v>
      </c>
      <c r="F378" s="26" t="s">
        <v>2542</v>
      </c>
      <c r="G378" s="26">
        <v>3332.0</v>
      </c>
    </row>
    <row r="379">
      <c r="A379" s="27">
        <v>45933.0</v>
      </c>
      <c r="B379" s="26" t="s">
        <v>2914</v>
      </c>
      <c r="C379" s="26" t="s">
        <v>2561</v>
      </c>
      <c r="D379" s="26">
        <v>2.3790662E7</v>
      </c>
      <c r="F379" s="26" t="s">
        <v>2542</v>
      </c>
      <c r="G379" s="26">
        <v>331.0</v>
      </c>
    </row>
    <row r="380">
      <c r="A380" s="27">
        <v>45933.0</v>
      </c>
      <c r="B380" s="26" t="s">
        <v>2915</v>
      </c>
      <c r="C380" s="26" t="s">
        <v>2561</v>
      </c>
      <c r="D380" s="26">
        <v>1.377486E7</v>
      </c>
      <c r="F380" s="26" t="s">
        <v>2542</v>
      </c>
      <c r="G380" s="26">
        <v>331.0</v>
      </c>
    </row>
    <row r="381">
      <c r="A381" s="27">
        <v>45933.0</v>
      </c>
      <c r="B381" s="26" t="s">
        <v>2916</v>
      </c>
      <c r="C381" s="26" t="s">
        <v>2574</v>
      </c>
      <c r="D381" s="26">
        <v>2800440.0</v>
      </c>
      <c r="F381" s="26" t="s">
        <v>2542</v>
      </c>
      <c r="G381" s="26">
        <v>331.0</v>
      </c>
    </row>
    <row r="382">
      <c r="A382" s="27">
        <v>45933.0</v>
      </c>
      <c r="B382" s="26" t="s">
        <v>2917</v>
      </c>
      <c r="C382" s="26" t="s">
        <v>2574</v>
      </c>
      <c r="D382" s="26">
        <v>8276420.0</v>
      </c>
      <c r="F382" s="26" t="s">
        <v>2542</v>
      </c>
      <c r="G382" s="26">
        <v>331.0</v>
      </c>
    </row>
    <row r="383">
      <c r="A383" s="27">
        <v>45933.0</v>
      </c>
      <c r="B383" s="26" t="s">
        <v>2918</v>
      </c>
      <c r="C383" s="26" t="s">
        <v>2764</v>
      </c>
      <c r="D383" s="26">
        <v>2400000.0</v>
      </c>
      <c r="F383" s="26" t="s">
        <v>2542</v>
      </c>
      <c r="G383" s="26">
        <v>6273.0</v>
      </c>
    </row>
    <row r="384">
      <c r="A384" s="27">
        <v>45932.0</v>
      </c>
      <c r="B384" s="26" t="s">
        <v>2919</v>
      </c>
      <c r="C384" s="26" t="s">
        <v>255</v>
      </c>
      <c r="D384" s="26">
        <v>2408100.0</v>
      </c>
      <c r="F384" s="26" t="s">
        <v>2542</v>
      </c>
    </row>
    <row r="385">
      <c r="A385" s="27">
        <v>45932.0</v>
      </c>
      <c r="B385" s="26" t="s">
        <v>2920</v>
      </c>
      <c r="C385" s="26" t="s">
        <v>255</v>
      </c>
      <c r="D385" s="26">
        <v>5280000.0</v>
      </c>
      <c r="F385" s="26" t="s">
        <v>2542</v>
      </c>
    </row>
    <row r="386">
      <c r="A386" s="27">
        <v>45932.0</v>
      </c>
      <c r="B386" s="26" t="s">
        <v>2921</v>
      </c>
      <c r="C386" s="26" t="s">
        <v>255</v>
      </c>
      <c r="D386" s="26">
        <v>1.13025E7</v>
      </c>
      <c r="F386" s="26" t="s">
        <v>2542</v>
      </c>
    </row>
    <row r="387">
      <c r="A387" s="27">
        <v>45931.0</v>
      </c>
      <c r="B387" s="26" t="s">
        <v>2922</v>
      </c>
      <c r="C387" s="26" t="s">
        <v>255</v>
      </c>
      <c r="D387" s="26">
        <v>2486000.0</v>
      </c>
      <c r="F387" s="26" t="s">
        <v>2542</v>
      </c>
    </row>
    <row r="388">
      <c r="A388" s="27">
        <v>45931.0</v>
      </c>
      <c r="B388" s="26" t="s">
        <v>2923</v>
      </c>
      <c r="C388" s="26" t="s">
        <v>255</v>
      </c>
      <c r="D388" s="26">
        <v>9009000.0</v>
      </c>
      <c r="F388" s="26" t="s">
        <v>2542</v>
      </c>
    </row>
    <row r="389">
      <c r="A389" s="27">
        <v>45931.0</v>
      </c>
      <c r="B389" s="26" t="s">
        <v>2924</v>
      </c>
      <c r="C389" s="26" t="s">
        <v>255</v>
      </c>
      <c r="D389" s="26">
        <v>2541000.0</v>
      </c>
      <c r="F389" s="26" t="s">
        <v>2542</v>
      </c>
    </row>
    <row r="390">
      <c r="A390" s="27">
        <v>45931.0</v>
      </c>
      <c r="B390" s="26" t="s">
        <v>2925</v>
      </c>
      <c r="C390" s="26" t="s">
        <v>255</v>
      </c>
      <c r="D390" s="26">
        <v>6190800.0</v>
      </c>
      <c r="F390" s="26" t="s">
        <v>2542</v>
      </c>
    </row>
    <row r="391">
      <c r="A391" s="27">
        <v>45931.0</v>
      </c>
      <c r="B391" s="26" t="s">
        <v>2926</v>
      </c>
      <c r="C391" s="26" t="s">
        <v>255</v>
      </c>
      <c r="D391" s="26">
        <v>1595000.0</v>
      </c>
      <c r="F391" s="26" t="s">
        <v>2542</v>
      </c>
    </row>
    <row r="392">
      <c r="A392" s="27">
        <v>45931.0</v>
      </c>
      <c r="B392" s="26" t="s">
        <v>2927</v>
      </c>
      <c r="C392" s="26" t="s">
        <v>2655</v>
      </c>
      <c r="D392" s="26">
        <v>4.864E7</v>
      </c>
      <c r="F392" s="26" t="s">
        <v>2542</v>
      </c>
      <c r="G392" s="26">
        <v>3383.0</v>
      </c>
    </row>
    <row r="393">
      <c r="A393" s="27">
        <v>45930.0</v>
      </c>
      <c r="B393" s="26" t="s">
        <v>2928</v>
      </c>
      <c r="C393" s="26" t="s">
        <v>255</v>
      </c>
      <c r="D393" s="26">
        <v>675000.0</v>
      </c>
      <c r="F393" s="26" t="s">
        <v>2542</v>
      </c>
    </row>
    <row r="394">
      <c r="A394" s="27">
        <v>45930.0</v>
      </c>
      <c r="B394" s="26" t="s">
        <v>2929</v>
      </c>
      <c r="C394" s="26" t="s">
        <v>255</v>
      </c>
      <c r="D394" s="26">
        <v>2239000.0</v>
      </c>
      <c r="F394" s="26" t="s">
        <v>2542</v>
      </c>
    </row>
    <row r="395">
      <c r="A395" s="27">
        <v>45930.0</v>
      </c>
      <c r="B395" s="26" t="s">
        <v>2543</v>
      </c>
      <c r="C395" s="26" t="s">
        <v>255</v>
      </c>
      <c r="D395" s="26">
        <v>10813.0</v>
      </c>
      <c r="F395" s="26" t="s">
        <v>2542</v>
      </c>
    </row>
    <row r="396">
      <c r="A396" s="27">
        <v>45930.0</v>
      </c>
      <c r="B396" s="26" t="s">
        <v>2930</v>
      </c>
      <c r="C396" s="26" t="s">
        <v>2764</v>
      </c>
      <c r="D396" s="26">
        <v>90000.0</v>
      </c>
      <c r="F396" s="26" t="s">
        <v>2542</v>
      </c>
      <c r="G396" s="26">
        <v>6273.0</v>
      </c>
    </row>
    <row r="397">
      <c r="A397" s="27">
        <v>45930.0</v>
      </c>
      <c r="B397" s="26" t="s">
        <v>2931</v>
      </c>
      <c r="C397" s="26" t="s">
        <v>2764</v>
      </c>
      <c r="D397" s="26">
        <v>1234000.0</v>
      </c>
      <c r="F397" s="26" t="s">
        <v>2542</v>
      </c>
      <c r="G397" s="26">
        <v>6273.0</v>
      </c>
    </row>
    <row r="398">
      <c r="A398" s="27">
        <v>45929.0</v>
      </c>
      <c r="B398" s="26" t="s">
        <v>2932</v>
      </c>
      <c r="C398" s="26" t="s">
        <v>255</v>
      </c>
      <c r="D398" s="26">
        <v>1450000.0</v>
      </c>
      <c r="F398" s="26" t="s">
        <v>2542</v>
      </c>
    </row>
    <row r="399">
      <c r="A399" s="27">
        <v>45928.0</v>
      </c>
      <c r="B399" s="26" t="s">
        <v>2775</v>
      </c>
      <c r="C399" s="26" t="s">
        <v>255</v>
      </c>
      <c r="D399" s="26">
        <v>7231200.0</v>
      </c>
      <c r="F399" s="26" t="s">
        <v>2542</v>
      </c>
    </row>
    <row r="400">
      <c r="A400" s="27">
        <v>45926.0</v>
      </c>
      <c r="B400" s="26" t="s">
        <v>2933</v>
      </c>
      <c r="C400" s="26" t="s">
        <v>255</v>
      </c>
      <c r="D400" s="26">
        <v>1152000.0</v>
      </c>
      <c r="F400" s="26" t="s">
        <v>2542</v>
      </c>
    </row>
    <row r="401">
      <c r="A401" s="27">
        <v>45926.0</v>
      </c>
      <c r="B401" s="26" t="s">
        <v>2934</v>
      </c>
      <c r="C401" s="26" t="s">
        <v>255</v>
      </c>
      <c r="D401" s="26">
        <v>4031500.0</v>
      </c>
      <c r="F401" s="26" t="s">
        <v>2542</v>
      </c>
    </row>
    <row r="402">
      <c r="A402" s="27">
        <v>45926.0</v>
      </c>
      <c r="B402" s="26" t="s">
        <v>2935</v>
      </c>
      <c r="C402" s="26" t="s">
        <v>255</v>
      </c>
      <c r="D402" s="26">
        <v>9350000.0</v>
      </c>
      <c r="F402" s="26" t="s">
        <v>2542</v>
      </c>
    </row>
    <row r="403">
      <c r="A403" s="27">
        <v>45926.0</v>
      </c>
      <c r="B403" s="26" t="s">
        <v>2936</v>
      </c>
      <c r="C403" s="26" t="s">
        <v>255</v>
      </c>
      <c r="D403" s="26">
        <v>3190000.0</v>
      </c>
      <c r="F403" s="26" t="s">
        <v>2542</v>
      </c>
    </row>
    <row r="404">
      <c r="A404" s="27">
        <v>45926.0</v>
      </c>
      <c r="B404" s="26" t="s">
        <v>2937</v>
      </c>
      <c r="C404" s="26" t="s">
        <v>255</v>
      </c>
      <c r="D404" s="26">
        <v>5572908.0</v>
      </c>
      <c r="F404" s="26" t="s">
        <v>2542</v>
      </c>
    </row>
    <row r="405">
      <c r="A405" s="27">
        <v>45926.0</v>
      </c>
      <c r="B405" s="26" t="s">
        <v>2938</v>
      </c>
      <c r="C405" s="26" t="s">
        <v>255</v>
      </c>
      <c r="D405" s="26">
        <v>4455000.0</v>
      </c>
      <c r="F405" s="26" t="s">
        <v>2542</v>
      </c>
    </row>
    <row r="406">
      <c r="A406" s="27">
        <v>45926.0</v>
      </c>
      <c r="B406" s="26" t="s">
        <v>2939</v>
      </c>
      <c r="C406" s="26" t="s">
        <v>255</v>
      </c>
      <c r="D406" s="26">
        <v>4455000.0</v>
      </c>
      <c r="F406" s="26" t="s">
        <v>2542</v>
      </c>
    </row>
    <row r="407">
      <c r="A407" s="27">
        <v>45925.0</v>
      </c>
      <c r="B407" s="26" t="s">
        <v>2940</v>
      </c>
      <c r="C407" s="26" t="s">
        <v>255</v>
      </c>
      <c r="D407" s="26">
        <v>3190000.0</v>
      </c>
      <c r="F407" s="26" t="s">
        <v>2542</v>
      </c>
    </row>
    <row r="408">
      <c r="A408" s="27">
        <v>45925.0</v>
      </c>
      <c r="B408" s="26" t="s">
        <v>2941</v>
      </c>
      <c r="C408" s="26" t="s">
        <v>255</v>
      </c>
      <c r="D408" s="26">
        <v>1300000.0</v>
      </c>
      <c r="F408" s="26" t="s">
        <v>2542</v>
      </c>
    </row>
    <row r="409">
      <c r="A409" s="27">
        <v>45925.0</v>
      </c>
      <c r="B409" s="26" t="s">
        <v>2942</v>
      </c>
      <c r="C409" s="26" t="s">
        <v>255</v>
      </c>
      <c r="D409" s="26">
        <v>1320000.0</v>
      </c>
      <c r="F409" s="26" t="s">
        <v>2542</v>
      </c>
    </row>
    <row r="410">
      <c r="A410" s="27">
        <v>45925.0</v>
      </c>
      <c r="B410" s="26" t="s">
        <v>2943</v>
      </c>
      <c r="C410" s="26" t="s">
        <v>2545</v>
      </c>
      <c r="D410" s="26">
        <v>1.9895E7</v>
      </c>
      <c r="F410" s="26" t="s">
        <v>2542</v>
      </c>
      <c r="G410" s="26">
        <v>3341.0</v>
      </c>
    </row>
    <row r="411">
      <c r="A411" s="27">
        <v>45925.0</v>
      </c>
      <c r="B411" s="26" t="s">
        <v>2944</v>
      </c>
      <c r="C411" s="26" t="s">
        <v>2561</v>
      </c>
      <c r="D411" s="26">
        <v>8402338.0</v>
      </c>
      <c r="F411" s="26" t="s">
        <v>2542</v>
      </c>
      <c r="G411" s="26">
        <v>331.0</v>
      </c>
    </row>
    <row r="412">
      <c r="A412" s="27">
        <v>45925.0</v>
      </c>
      <c r="B412" s="26" t="s">
        <v>2945</v>
      </c>
      <c r="C412" s="26" t="s">
        <v>2764</v>
      </c>
      <c r="D412" s="26">
        <v>125000.0</v>
      </c>
      <c r="F412" s="26" t="s">
        <v>2542</v>
      </c>
      <c r="G412" s="26">
        <v>6273.0</v>
      </c>
    </row>
    <row r="413">
      <c r="A413" s="27">
        <v>45925.0</v>
      </c>
      <c r="B413" s="26" t="s">
        <v>2946</v>
      </c>
      <c r="C413" s="26" t="s">
        <v>2561</v>
      </c>
      <c r="D413" s="26">
        <v>9810000.0</v>
      </c>
      <c r="F413" s="26" t="s">
        <v>2542</v>
      </c>
      <c r="G413" s="26">
        <v>331.0</v>
      </c>
    </row>
    <row r="414">
      <c r="A414" s="27">
        <v>45924.0</v>
      </c>
      <c r="B414" s="26" t="s">
        <v>2947</v>
      </c>
      <c r="C414" s="26" t="s">
        <v>255</v>
      </c>
      <c r="D414" s="26">
        <v>1600000.0</v>
      </c>
      <c r="F414" s="26" t="s">
        <v>2542</v>
      </c>
    </row>
    <row r="415">
      <c r="A415" s="27">
        <v>45924.0</v>
      </c>
      <c r="B415" s="26" t="s">
        <v>2948</v>
      </c>
      <c r="C415" s="26" t="s">
        <v>255</v>
      </c>
      <c r="D415" s="26">
        <v>3996000.0</v>
      </c>
      <c r="F415" s="26" t="s">
        <v>2542</v>
      </c>
    </row>
    <row r="416">
      <c r="A416" s="27">
        <v>45924.0</v>
      </c>
      <c r="B416" s="26" t="s">
        <v>2949</v>
      </c>
      <c r="C416" s="26" t="s">
        <v>255</v>
      </c>
      <c r="D416" s="26">
        <v>1152000.0</v>
      </c>
      <c r="F416" s="26" t="s">
        <v>2542</v>
      </c>
    </row>
    <row r="417">
      <c r="A417" s="27">
        <v>45924.0</v>
      </c>
      <c r="B417" s="26" t="s">
        <v>2950</v>
      </c>
      <c r="C417" s="26" t="s">
        <v>255</v>
      </c>
      <c r="D417" s="26">
        <v>3624000.0</v>
      </c>
      <c r="F417" s="26" t="s">
        <v>2542</v>
      </c>
    </row>
    <row r="418">
      <c r="A418" s="27">
        <v>45924.0</v>
      </c>
      <c r="B418" s="26" t="s">
        <v>2951</v>
      </c>
      <c r="C418" s="26" t="s">
        <v>255</v>
      </c>
      <c r="D418" s="26">
        <v>3200000.0</v>
      </c>
      <c r="F418" s="26" t="s">
        <v>2542</v>
      </c>
    </row>
    <row r="419">
      <c r="A419" s="27">
        <v>45924.0</v>
      </c>
      <c r="B419" s="26" t="s">
        <v>2586</v>
      </c>
      <c r="C419" s="26" t="s">
        <v>255</v>
      </c>
      <c r="D419" s="26">
        <v>12605.0</v>
      </c>
      <c r="F419" s="26" t="s">
        <v>2542</v>
      </c>
    </row>
    <row r="420">
      <c r="A420" s="27">
        <v>45924.0</v>
      </c>
      <c r="B420" s="26" t="s">
        <v>2952</v>
      </c>
      <c r="C420" s="26" t="s">
        <v>255</v>
      </c>
      <c r="D420" s="26">
        <v>4752000.0</v>
      </c>
      <c r="F420" s="26" t="s">
        <v>2542</v>
      </c>
    </row>
    <row r="421">
      <c r="A421" s="27">
        <v>45924.0</v>
      </c>
      <c r="B421" s="26" t="s">
        <v>2953</v>
      </c>
      <c r="C421" s="26" t="s">
        <v>2571</v>
      </c>
      <c r="D421" s="26">
        <v>375000.0</v>
      </c>
      <c r="F421" s="26" t="s">
        <v>2542</v>
      </c>
      <c r="G421" s="26">
        <v>641.12</v>
      </c>
    </row>
    <row r="422">
      <c r="A422" s="27">
        <v>45923.0</v>
      </c>
      <c r="B422" s="26" t="s">
        <v>2600</v>
      </c>
      <c r="C422" s="26" t="s">
        <v>255</v>
      </c>
      <c r="D422" s="26">
        <v>1188000.0</v>
      </c>
      <c r="F422" s="26" t="s">
        <v>2542</v>
      </c>
    </row>
    <row r="423">
      <c r="A423" s="27">
        <v>45923.0</v>
      </c>
      <c r="B423" s="26" t="s">
        <v>2954</v>
      </c>
      <c r="C423" s="26" t="s">
        <v>2593</v>
      </c>
      <c r="D423" s="26">
        <v>275000.0</v>
      </c>
      <c r="F423" s="26" t="s">
        <v>2542</v>
      </c>
      <c r="G423" s="26">
        <v>6423.0</v>
      </c>
    </row>
    <row r="424">
      <c r="A424" s="27">
        <v>45923.0</v>
      </c>
      <c r="B424" s="26" t="s">
        <v>2955</v>
      </c>
      <c r="C424" s="26" t="s">
        <v>2583</v>
      </c>
      <c r="D424" s="26">
        <v>70000.0</v>
      </c>
      <c r="F424" s="26" t="s">
        <v>2542</v>
      </c>
      <c r="G424" s="26">
        <v>641.32</v>
      </c>
    </row>
    <row r="425">
      <c r="A425" s="27">
        <v>45922.0</v>
      </c>
      <c r="B425" s="26" t="s">
        <v>2956</v>
      </c>
      <c r="C425" s="26" t="s">
        <v>255</v>
      </c>
      <c r="D425" s="26">
        <v>1188000.0</v>
      </c>
      <c r="F425" s="26" t="s">
        <v>2542</v>
      </c>
    </row>
    <row r="426">
      <c r="A426" s="27">
        <v>45922.0</v>
      </c>
      <c r="B426" s="26" t="s">
        <v>2957</v>
      </c>
      <c r="C426" s="26" t="s">
        <v>255</v>
      </c>
      <c r="D426" s="26">
        <v>7330000.0</v>
      </c>
      <c r="F426" s="26" t="s">
        <v>2542</v>
      </c>
    </row>
    <row r="427">
      <c r="A427" s="27">
        <v>45922.0</v>
      </c>
      <c r="B427" s="26" t="s">
        <v>2958</v>
      </c>
      <c r="C427" s="26" t="s">
        <v>2561</v>
      </c>
      <c r="D427" s="26">
        <v>6500000.0</v>
      </c>
      <c r="F427" s="26" t="s">
        <v>2542</v>
      </c>
      <c r="G427" s="26">
        <v>331.0</v>
      </c>
    </row>
    <row r="428">
      <c r="A428" s="27">
        <v>45922.0</v>
      </c>
      <c r="B428" s="26" t="s">
        <v>2959</v>
      </c>
      <c r="C428" s="26" t="s">
        <v>2561</v>
      </c>
      <c r="D428" s="26">
        <v>1840000.0</v>
      </c>
      <c r="F428" s="26" t="s">
        <v>2542</v>
      </c>
      <c r="G428" s="26">
        <v>331.0</v>
      </c>
    </row>
    <row r="429">
      <c r="A429" s="27">
        <v>45917.0</v>
      </c>
      <c r="B429" s="26" t="s">
        <v>2960</v>
      </c>
      <c r="C429" s="26" t="s">
        <v>255</v>
      </c>
      <c r="D429" s="26">
        <v>1275000.0</v>
      </c>
      <c r="F429" s="26" t="s">
        <v>2542</v>
      </c>
    </row>
    <row r="430">
      <c r="A430" s="27">
        <v>45917.0</v>
      </c>
      <c r="B430" s="26" t="s">
        <v>2961</v>
      </c>
      <c r="C430" s="26" t="s">
        <v>2593</v>
      </c>
      <c r="D430" s="26">
        <v>240000.0</v>
      </c>
      <c r="F430" s="26" t="s">
        <v>2542</v>
      </c>
      <c r="G430" s="26">
        <v>6423.0</v>
      </c>
    </row>
    <row r="431">
      <c r="A431" s="27">
        <v>45916.0</v>
      </c>
      <c r="B431" s="26" t="s">
        <v>2962</v>
      </c>
      <c r="C431" s="26" t="s">
        <v>255</v>
      </c>
      <c r="D431" s="26">
        <v>3.51315E7</v>
      </c>
      <c r="F431" s="26" t="s">
        <v>2542</v>
      </c>
    </row>
    <row r="432">
      <c r="A432" s="27">
        <v>45916.0</v>
      </c>
      <c r="B432" s="26" t="s">
        <v>2963</v>
      </c>
      <c r="C432" s="26" t="s">
        <v>255</v>
      </c>
      <c r="D432" s="26">
        <v>1.9096E7</v>
      </c>
      <c r="F432" s="26" t="s">
        <v>2542</v>
      </c>
    </row>
    <row r="433">
      <c r="A433" s="27">
        <v>45916.0</v>
      </c>
      <c r="B433" s="26" t="s">
        <v>2964</v>
      </c>
      <c r="C433" s="26" t="s">
        <v>2564</v>
      </c>
      <c r="D433" s="26" t="s">
        <v>2965</v>
      </c>
      <c r="F433" s="26" t="s">
        <v>2542</v>
      </c>
      <c r="G433" s="26">
        <v>3332.0</v>
      </c>
    </row>
    <row r="434">
      <c r="A434" s="27">
        <v>45916.0</v>
      </c>
      <c r="B434" s="26" t="s">
        <v>2964</v>
      </c>
      <c r="C434" s="26" t="s">
        <v>2564</v>
      </c>
      <c r="D434" s="26" t="s">
        <v>2966</v>
      </c>
      <c r="F434" s="26" t="s">
        <v>2542</v>
      </c>
      <c r="G434" s="26">
        <v>3332.0</v>
      </c>
    </row>
    <row r="435">
      <c r="A435" s="27">
        <v>45915.0</v>
      </c>
      <c r="B435" s="26" t="s">
        <v>2967</v>
      </c>
      <c r="C435" s="26" t="s">
        <v>255</v>
      </c>
      <c r="D435" s="26">
        <v>1450000.0</v>
      </c>
      <c r="F435" s="26" t="s">
        <v>2542</v>
      </c>
    </row>
    <row r="436">
      <c r="A436" s="27">
        <v>45915.0</v>
      </c>
      <c r="B436" s="26" t="s">
        <v>2829</v>
      </c>
      <c r="C436" s="26" t="s">
        <v>255</v>
      </c>
      <c r="D436" s="26">
        <v>1320000.0</v>
      </c>
      <c r="F436" s="26" t="s">
        <v>2542</v>
      </c>
    </row>
    <row r="437">
      <c r="A437" s="27">
        <v>45915.0</v>
      </c>
      <c r="B437" s="26" t="s">
        <v>2968</v>
      </c>
      <c r="C437" s="26" t="s">
        <v>255</v>
      </c>
      <c r="D437" s="26">
        <v>108000.0</v>
      </c>
      <c r="F437" s="26" t="s">
        <v>2542</v>
      </c>
    </row>
    <row r="438">
      <c r="A438" s="27">
        <v>45915.0</v>
      </c>
      <c r="B438" s="26" t="s">
        <v>2969</v>
      </c>
      <c r="C438" s="26" t="s">
        <v>2564</v>
      </c>
      <c r="D438" s="26">
        <v>261.635</v>
      </c>
      <c r="F438" s="26" t="s">
        <v>2542</v>
      </c>
      <c r="G438" s="26">
        <v>3332.0</v>
      </c>
    </row>
    <row r="439">
      <c r="A439" s="27">
        <v>45915.0</v>
      </c>
      <c r="B439" s="26" t="s">
        <v>2970</v>
      </c>
      <c r="C439" s="26" t="s">
        <v>2571</v>
      </c>
      <c r="D439" s="26">
        <v>120000.0</v>
      </c>
      <c r="F439" s="26" t="s">
        <v>2542</v>
      </c>
      <c r="G439" s="26">
        <v>641.22</v>
      </c>
    </row>
    <row r="440">
      <c r="A440" s="27">
        <v>45915.0</v>
      </c>
      <c r="B440" s="26" t="s">
        <v>2971</v>
      </c>
      <c r="C440" s="26" t="s">
        <v>2561</v>
      </c>
      <c r="D440" s="26">
        <v>6237000.0</v>
      </c>
      <c r="F440" s="26" t="s">
        <v>2542</v>
      </c>
      <c r="G440" s="26">
        <v>331.0</v>
      </c>
    </row>
    <row r="441">
      <c r="A441" s="27">
        <v>45914.0</v>
      </c>
      <c r="B441" s="26" t="s">
        <v>2972</v>
      </c>
      <c r="C441" s="26" t="s">
        <v>255</v>
      </c>
      <c r="D441" s="26">
        <v>2304000.0</v>
      </c>
      <c r="F441" s="26" t="s">
        <v>2542</v>
      </c>
    </row>
    <row r="442">
      <c r="A442" s="27">
        <v>45914.0</v>
      </c>
      <c r="B442" s="26" t="s">
        <v>2973</v>
      </c>
      <c r="C442" s="26" t="s">
        <v>255</v>
      </c>
      <c r="D442" s="26">
        <v>1152000.0</v>
      </c>
      <c r="F442" s="26" t="s">
        <v>2542</v>
      </c>
    </row>
    <row r="443">
      <c r="A443" s="27">
        <v>45914.0</v>
      </c>
      <c r="B443" s="26" t="s">
        <v>2974</v>
      </c>
      <c r="C443" s="26" t="s">
        <v>255</v>
      </c>
      <c r="D443" s="26">
        <v>2304000.0</v>
      </c>
      <c r="F443" s="26" t="s">
        <v>2542</v>
      </c>
    </row>
    <row r="444">
      <c r="A444" s="27">
        <v>45914.0</v>
      </c>
      <c r="B444" s="26" t="s">
        <v>2975</v>
      </c>
      <c r="C444" s="26" t="s">
        <v>255</v>
      </c>
      <c r="D444" s="26">
        <v>2304000.0</v>
      </c>
      <c r="F444" s="26" t="s">
        <v>2542</v>
      </c>
    </row>
    <row r="445">
      <c r="A445" s="27">
        <v>45914.0</v>
      </c>
      <c r="B445" s="26" t="s">
        <v>2968</v>
      </c>
      <c r="C445" s="26" t="s">
        <v>255</v>
      </c>
      <c r="D445" s="26">
        <v>1080000.0</v>
      </c>
      <c r="F445" s="26" t="s">
        <v>2542</v>
      </c>
    </row>
    <row r="446">
      <c r="A446" s="27">
        <v>45913.0</v>
      </c>
      <c r="B446" s="26" t="s">
        <v>2976</v>
      </c>
      <c r="C446" s="26" t="s">
        <v>255</v>
      </c>
      <c r="D446" s="26">
        <v>3325000.0</v>
      </c>
      <c r="F446" s="26" t="s">
        <v>2542</v>
      </c>
    </row>
    <row r="447">
      <c r="A447" s="27">
        <v>45913.0</v>
      </c>
      <c r="B447" s="26" t="s">
        <v>2977</v>
      </c>
      <c r="C447" s="26" t="s">
        <v>255</v>
      </c>
      <c r="D447" s="26">
        <v>1595000.0</v>
      </c>
      <c r="F447" s="26" t="s">
        <v>2542</v>
      </c>
    </row>
    <row r="448">
      <c r="A448" s="27">
        <v>45913.0</v>
      </c>
      <c r="B448" s="26" t="s">
        <v>2978</v>
      </c>
      <c r="C448" s="26" t="s">
        <v>255</v>
      </c>
      <c r="D448" s="26">
        <v>2160000.0</v>
      </c>
      <c r="F448" s="26" t="s">
        <v>2542</v>
      </c>
    </row>
    <row r="449">
      <c r="A449" s="27">
        <v>45913.0</v>
      </c>
      <c r="B449" s="26" t="s">
        <v>2979</v>
      </c>
      <c r="C449" s="26" t="s">
        <v>2574</v>
      </c>
      <c r="D449" s="26">
        <v>5500000.0</v>
      </c>
      <c r="F449" s="26" t="s">
        <v>2542</v>
      </c>
      <c r="G449" s="26">
        <v>331.0</v>
      </c>
    </row>
    <row r="450">
      <c r="A450" s="27">
        <v>45912.0</v>
      </c>
      <c r="B450" s="26" t="s">
        <v>2980</v>
      </c>
      <c r="C450" s="26" t="s">
        <v>255</v>
      </c>
      <c r="D450" s="26">
        <v>1080000.0</v>
      </c>
      <c r="F450" s="26" t="s">
        <v>2542</v>
      </c>
    </row>
    <row r="451">
      <c r="A451" s="27">
        <v>45912.0</v>
      </c>
      <c r="B451" s="26" t="s">
        <v>2981</v>
      </c>
      <c r="C451" s="26" t="s">
        <v>255</v>
      </c>
      <c r="D451" s="26">
        <v>4260000.0</v>
      </c>
      <c r="F451" s="26" t="s">
        <v>2542</v>
      </c>
    </row>
    <row r="452">
      <c r="A452" s="27">
        <v>45912.0</v>
      </c>
      <c r="B452" s="26" t="s">
        <v>2982</v>
      </c>
      <c r="C452" s="26" t="s">
        <v>255</v>
      </c>
      <c r="D452" s="26">
        <v>1080000.0</v>
      </c>
      <c r="F452" s="26" t="s">
        <v>2542</v>
      </c>
    </row>
    <row r="453">
      <c r="A453" s="27">
        <v>45912.0</v>
      </c>
      <c r="B453" s="26" t="s">
        <v>2983</v>
      </c>
      <c r="C453" s="26" t="s">
        <v>2571</v>
      </c>
      <c r="D453" s="26">
        <v>262000.0</v>
      </c>
      <c r="F453" s="26" t="s">
        <v>2542</v>
      </c>
      <c r="G453" s="26">
        <v>641.22</v>
      </c>
    </row>
    <row r="454">
      <c r="A454" s="27">
        <v>45912.0</v>
      </c>
      <c r="B454" s="26" t="s">
        <v>2984</v>
      </c>
      <c r="C454" s="26" t="s">
        <v>2561</v>
      </c>
      <c r="D454" s="26">
        <v>370000.0</v>
      </c>
      <c r="F454" s="26" t="s">
        <v>2542</v>
      </c>
      <c r="G454" s="26">
        <v>331.0</v>
      </c>
    </row>
    <row r="455">
      <c r="A455" s="27">
        <v>45912.0</v>
      </c>
      <c r="B455" s="26" t="s">
        <v>2985</v>
      </c>
      <c r="C455" s="26" t="s">
        <v>2593</v>
      </c>
      <c r="D455" s="26">
        <v>150000.0</v>
      </c>
      <c r="F455" s="26" t="s">
        <v>2542</v>
      </c>
      <c r="G455" s="26">
        <v>6423.0</v>
      </c>
    </row>
    <row r="456">
      <c r="A456" s="27">
        <v>45912.0</v>
      </c>
      <c r="B456" s="26" t="s">
        <v>2986</v>
      </c>
      <c r="C456" s="26" t="s">
        <v>2561</v>
      </c>
      <c r="D456" s="26">
        <v>1.1113692E7</v>
      </c>
      <c r="F456" s="26" t="s">
        <v>2542</v>
      </c>
      <c r="G456" s="26">
        <v>331.0</v>
      </c>
    </row>
    <row r="457">
      <c r="A457" s="27">
        <v>45912.0</v>
      </c>
      <c r="B457" s="26" t="s">
        <v>2987</v>
      </c>
      <c r="C457" s="26" t="s">
        <v>2545</v>
      </c>
      <c r="D457" s="26">
        <v>8200000.0</v>
      </c>
      <c r="F457" s="26" t="s">
        <v>2542</v>
      </c>
      <c r="G457" s="26">
        <v>3341.0</v>
      </c>
    </row>
    <row r="458">
      <c r="A458" s="27">
        <v>45912.0</v>
      </c>
      <c r="B458" s="26" t="s">
        <v>2988</v>
      </c>
      <c r="C458" s="26" t="s">
        <v>2545</v>
      </c>
      <c r="D458" s="26">
        <v>5200000.0</v>
      </c>
      <c r="F458" s="26" t="s">
        <v>2542</v>
      </c>
      <c r="G458" s="26">
        <v>3341.0</v>
      </c>
    </row>
    <row r="459">
      <c r="A459" s="27">
        <v>45911.0</v>
      </c>
      <c r="B459" s="26" t="s">
        <v>2989</v>
      </c>
      <c r="C459" s="26" t="s">
        <v>255</v>
      </c>
      <c r="D459" s="26">
        <v>9623625.0</v>
      </c>
      <c r="F459" s="26" t="s">
        <v>2542</v>
      </c>
    </row>
    <row r="460">
      <c r="A460" s="27">
        <v>45911.0</v>
      </c>
      <c r="B460" s="26" t="s">
        <v>2668</v>
      </c>
      <c r="C460" s="26" t="s">
        <v>255</v>
      </c>
      <c r="D460" s="26">
        <v>1188000.0</v>
      </c>
      <c r="F460" s="26" t="s">
        <v>2542</v>
      </c>
    </row>
    <row r="461">
      <c r="A461" s="27">
        <v>45911.0</v>
      </c>
      <c r="B461" s="26" t="s">
        <v>2990</v>
      </c>
      <c r="C461" s="26" t="s">
        <v>255</v>
      </c>
      <c r="D461" s="26">
        <v>2970000.0</v>
      </c>
      <c r="F461" s="26" t="s">
        <v>2542</v>
      </c>
    </row>
    <row r="462">
      <c r="A462" s="27">
        <v>45911.0</v>
      </c>
      <c r="B462" s="26" t="s">
        <v>2991</v>
      </c>
      <c r="C462" s="26" t="s">
        <v>255</v>
      </c>
      <c r="D462" s="26">
        <v>4202000.0</v>
      </c>
      <c r="F462" s="26" t="s">
        <v>2542</v>
      </c>
    </row>
    <row r="463">
      <c r="A463" s="27">
        <v>45911.0</v>
      </c>
      <c r="B463" s="26" t="s">
        <v>2992</v>
      </c>
      <c r="C463" s="26" t="s">
        <v>255</v>
      </c>
      <c r="D463" s="26">
        <v>2500000.0</v>
      </c>
      <c r="F463" s="26" t="s">
        <v>2542</v>
      </c>
    </row>
    <row r="464">
      <c r="A464" s="27">
        <v>45911.0</v>
      </c>
      <c r="B464" s="26" t="s">
        <v>2993</v>
      </c>
      <c r="C464" s="26" t="s">
        <v>255</v>
      </c>
      <c r="D464" s="26">
        <v>1080000.0</v>
      </c>
      <c r="F464" s="26" t="s">
        <v>2542</v>
      </c>
    </row>
    <row r="465">
      <c r="A465" s="27">
        <v>45911.0</v>
      </c>
      <c r="B465" s="26" t="s">
        <v>2994</v>
      </c>
      <c r="C465" s="26" t="s">
        <v>255</v>
      </c>
      <c r="D465" s="26">
        <v>1.86324E7</v>
      </c>
      <c r="F465" s="26" t="s">
        <v>2542</v>
      </c>
    </row>
    <row r="466">
      <c r="A466" s="27">
        <v>45911.0</v>
      </c>
      <c r="B466" s="26" t="s">
        <v>2995</v>
      </c>
      <c r="C466" s="26" t="s">
        <v>2561</v>
      </c>
      <c r="D466" s="26">
        <v>2460000.0</v>
      </c>
      <c r="F466" s="26" t="s">
        <v>2542</v>
      </c>
      <c r="G466" s="26">
        <v>331.0</v>
      </c>
    </row>
    <row r="467">
      <c r="A467" s="27">
        <v>45911.0</v>
      </c>
      <c r="B467" s="26" t="s">
        <v>2996</v>
      </c>
      <c r="C467" s="26" t="s">
        <v>2545</v>
      </c>
      <c r="D467" s="26">
        <v>1.2E7</v>
      </c>
      <c r="F467" s="26" t="s">
        <v>2542</v>
      </c>
      <c r="G467" s="26">
        <v>3341.0</v>
      </c>
    </row>
    <row r="468">
      <c r="A468" s="27">
        <v>45911.0</v>
      </c>
      <c r="B468" s="26" t="s">
        <v>2997</v>
      </c>
      <c r="C468" s="26" t="s">
        <v>2545</v>
      </c>
      <c r="D468" s="26">
        <v>1.2E7</v>
      </c>
      <c r="F468" s="26" t="s">
        <v>2542</v>
      </c>
      <c r="G468" s="26">
        <v>3341.0</v>
      </c>
    </row>
    <row r="469">
      <c r="A469" s="27">
        <v>45911.0</v>
      </c>
      <c r="B469" s="26" t="s">
        <v>2998</v>
      </c>
      <c r="C469" s="26" t="s">
        <v>2593</v>
      </c>
      <c r="D469" s="26">
        <v>1000000.0</v>
      </c>
      <c r="F469" s="26" t="s">
        <v>2542</v>
      </c>
      <c r="G469" s="26">
        <v>6423.0</v>
      </c>
    </row>
    <row r="470">
      <c r="A470" s="27">
        <v>45911.0</v>
      </c>
      <c r="B470" s="26" t="s">
        <v>2999</v>
      </c>
      <c r="C470" s="26" t="s">
        <v>2593</v>
      </c>
      <c r="D470" s="26">
        <v>1600000.0</v>
      </c>
      <c r="F470" s="26" t="s">
        <v>2542</v>
      </c>
      <c r="G470" s="26">
        <v>6423.0</v>
      </c>
    </row>
    <row r="471">
      <c r="A471" s="27">
        <v>45910.0</v>
      </c>
      <c r="B471" s="26" t="s">
        <v>3000</v>
      </c>
      <c r="C471" s="26" t="s">
        <v>255</v>
      </c>
      <c r="D471" s="26">
        <v>1600000.0</v>
      </c>
      <c r="F471" s="26" t="s">
        <v>2542</v>
      </c>
    </row>
    <row r="472">
      <c r="A472" s="27">
        <v>45910.0</v>
      </c>
      <c r="B472" s="26" t="s">
        <v>3001</v>
      </c>
      <c r="C472" s="26" t="s">
        <v>255</v>
      </c>
      <c r="D472" s="26">
        <v>1152000.0</v>
      </c>
      <c r="F472" s="26" t="s">
        <v>2542</v>
      </c>
    </row>
    <row r="473">
      <c r="A473" s="27">
        <v>45910.0</v>
      </c>
      <c r="B473" s="26" t="s">
        <v>3002</v>
      </c>
      <c r="C473" s="26" t="s">
        <v>255</v>
      </c>
      <c r="D473" s="26">
        <v>2304000.0</v>
      </c>
      <c r="F473" s="26" t="s">
        <v>2542</v>
      </c>
    </row>
    <row r="474">
      <c r="A474" s="27">
        <v>45910.0</v>
      </c>
      <c r="B474" s="26" t="s">
        <v>3003</v>
      </c>
      <c r="C474" s="26" t="s">
        <v>255</v>
      </c>
      <c r="D474" s="26">
        <v>1152000.0</v>
      </c>
      <c r="F474" s="26" t="s">
        <v>2542</v>
      </c>
    </row>
    <row r="475">
      <c r="A475" s="27">
        <v>45910.0</v>
      </c>
      <c r="B475" s="26" t="s">
        <v>3004</v>
      </c>
      <c r="C475" s="26" t="s">
        <v>255</v>
      </c>
      <c r="D475" s="26">
        <v>6208000.0</v>
      </c>
      <c r="F475" s="26" t="s">
        <v>2542</v>
      </c>
    </row>
    <row r="476">
      <c r="A476" s="27">
        <v>45910.0</v>
      </c>
      <c r="B476" s="26" t="s">
        <v>3005</v>
      </c>
      <c r="C476" s="26" t="s">
        <v>255</v>
      </c>
      <c r="D476" s="26">
        <v>1215000.0</v>
      </c>
      <c r="F476" s="26" t="s">
        <v>2542</v>
      </c>
    </row>
    <row r="477">
      <c r="A477" s="27">
        <v>45910.0</v>
      </c>
      <c r="B477" s="26" t="s">
        <v>3006</v>
      </c>
      <c r="C477" s="26" t="s">
        <v>255</v>
      </c>
      <c r="D477" s="26">
        <v>2304000.0</v>
      </c>
      <c r="F477" s="26" t="s">
        <v>2542</v>
      </c>
    </row>
    <row r="478">
      <c r="A478" s="27">
        <v>45910.0</v>
      </c>
      <c r="B478" s="26" t="s">
        <v>3007</v>
      </c>
      <c r="C478" s="26" t="s">
        <v>255</v>
      </c>
      <c r="D478" s="26">
        <v>2304000.0</v>
      </c>
      <c r="F478" s="26" t="s">
        <v>2542</v>
      </c>
    </row>
    <row r="479">
      <c r="A479" s="27">
        <v>45910.0</v>
      </c>
      <c r="B479" s="26" t="s">
        <v>3008</v>
      </c>
      <c r="C479" s="26" t="s">
        <v>255</v>
      </c>
      <c r="D479" s="26">
        <v>2160000.0</v>
      </c>
      <c r="F479" s="26" t="s">
        <v>2542</v>
      </c>
    </row>
    <row r="480">
      <c r="A480" s="27">
        <v>45910.0</v>
      </c>
      <c r="B480" s="26" t="s">
        <v>3009</v>
      </c>
      <c r="C480" s="26" t="s">
        <v>255</v>
      </c>
      <c r="D480" s="26">
        <v>2062500.0</v>
      </c>
      <c r="F480" s="26" t="s">
        <v>2542</v>
      </c>
    </row>
    <row r="481">
      <c r="A481" s="27">
        <v>45910.0</v>
      </c>
      <c r="B481" s="26" t="s">
        <v>3010</v>
      </c>
      <c r="C481" s="26" t="s">
        <v>255</v>
      </c>
      <c r="D481" s="26">
        <v>1188000.0</v>
      </c>
      <c r="F481" s="26" t="s">
        <v>2542</v>
      </c>
    </row>
    <row r="482">
      <c r="A482" s="27">
        <v>45910.0</v>
      </c>
      <c r="B482" s="26" t="s">
        <v>3011</v>
      </c>
      <c r="C482" s="26" t="s">
        <v>2571</v>
      </c>
      <c r="D482" s="26">
        <v>1350000.0</v>
      </c>
      <c r="F482" s="26" t="s">
        <v>2542</v>
      </c>
      <c r="G482" s="26">
        <v>641.16</v>
      </c>
    </row>
    <row r="483">
      <c r="A483" s="27">
        <v>45910.0</v>
      </c>
      <c r="B483" s="26" t="s">
        <v>3012</v>
      </c>
      <c r="C483" s="26" t="s">
        <v>2561</v>
      </c>
      <c r="D483" s="26">
        <v>7388000.0</v>
      </c>
      <c r="F483" s="26" t="s">
        <v>2542</v>
      </c>
      <c r="G483" s="26">
        <v>331.0</v>
      </c>
    </row>
    <row r="484">
      <c r="A484" s="27">
        <v>45910.0</v>
      </c>
      <c r="B484" s="26" t="s">
        <v>3013</v>
      </c>
      <c r="C484" s="26" t="s">
        <v>2764</v>
      </c>
      <c r="D484" s="26">
        <v>187000.0</v>
      </c>
      <c r="F484" s="26" t="s">
        <v>2542</v>
      </c>
      <c r="G484" s="26">
        <v>6273.0</v>
      </c>
    </row>
    <row r="485">
      <c r="A485" s="27">
        <v>45909.0</v>
      </c>
      <c r="B485" s="26" t="s">
        <v>3014</v>
      </c>
      <c r="C485" s="26" t="s">
        <v>255</v>
      </c>
      <c r="D485" s="26">
        <v>1459000.0</v>
      </c>
      <c r="F485" s="26" t="s">
        <v>2542</v>
      </c>
    </row>
    <row r="486">
      <c r="A486" s="27">
        <v>45909.0</v>
      </c>
      <c r="B486" s="26" t="s">
        <v>3015</v>
      </c>
      <c r="C486" s="26" t="s">
        <v>255</v>
      </c>
      <c r="D486" s="26">
        <v>2.09232E7</v>
      </c>
      <c r="F486" s="26" t="s">
        <v>2542</v>
      </c>
    </row>
    <row r="487">
      <c r="A487" s="27">
        <v>45909.0</v>
      </c>
      <c r="B487" s="26" t="s">
        <v>3016</v>
      </c>
      <c r="C487" s="26" t="s">
        <v>255</v>
      </c>
      <c r="D487" s="26">
        <v>1450000.0</v>
      </c>
      <c r="F487" s="26" t="s">
        <v>2542</v>
      </c>
    </row>
    <row r="488">
      <c r="A488" s="27">
        <v>45909.0</v>
      </c>
      <c r="B488" s="26" t="s">
        <v>3014</v>
      </c>
      <c r="C488" s="28"/>
      <c r="D488" s="26">
        <v>1459000.0</v>
      </c>
      <c r="F488" s="26" t="s">
        <v>2542</v>
      </c>
    </row>
    <row r="489">
      <c r="A489" s="27">
        <v>45909.0</v>
      </c>
      <c r="B489" s="26" t="s">
        <v>3017</v>
      </c>
      <c r="C489" s="26" t="s">
        <v>2561</v>
      </c>
      <c r="D489" s="26">
        <v>6434640.0</v>
      </c>
      <c r="F489" s="26" t="s">
        <v>2542</v>
      </c>
      <c r="G489" s="26">
        <v>331.0</v>
      </c>
    </row>
    <row r="490">
      <c r="A490" s="27">
        <v>45908.0</v>
      </c>
      <c r="B490" s="26" t="s">
        <v>2745</v>
      </c>
      <c r="C490" s="26" t="s">
        <v>255</v>
      </c>
      <c r="D490" s="26">
        <v>1.0E7</v>
      </c>
      <c r="F490" s="26" t="s">
        <v>2542</v>
      </c>
    </row>
    <row r="491">
      <c r="A491" s="27">
        <v>45908.0</v>
      </c>
      <c r="B491" s="26" t="s">
        <v>3018</v>
      </c>
      <c r="C491" s="26" t="s">
        <v>255</v>
      </c>
      <c r="D491" s="26">
        <v>1485000.0</v>
      </c>
      <c r="F491" s="26" t="s">
        <v>2542</v>
      </c>
    </row>
    <row r="492">
      <c r="A492" s="27">
        <v>45908.0</v>
      </c>
      <c r="B492" s="26" t="s">
        <v>3019</v>
      </c>
      <c r="C492" s="26" t="s">
        <v>255</v>
      </c>
      <c r="D492" s="26">
        <v>6210000.0</v>
      </c>
      <c r="F492" s="26" t="s">
        <v>2542</v>
      </c>
    </row>
    <row r="493">
      <c r="A493" s="27">
        <v>45908.0</v>
      </c>
      <c r="B493" s="26" t="s">
        <v>3020</v>
      </c>
      <c r="C493" s="26" t="s">
        <v>255</v>
      </c>
      <c r="D493" s="26">
        <v>1.1979E7</v>
      </c>
      <c r="F493" s="26" t="s">
        <v>2542</v>
      </c>
    </row>
    <row r="494">
      <c r="A494" s="27">
        <v>45908.0</v>
      </c>
      <c r="B494" s="26" t="s">
        <v>3021</v>
      </c>
      <c r="C494" s="26" t="s">
        <v>255</v>
      </c>
      <c r="D494" s="26">
        <v>2.4336E7</v>
      </c>
      <c r="F494" s="26" t="s">
        <v>2542</v>
      </c>
    </row>
    <row r="495">
      <c r="A495" s="27">
        <v>45908.0</v>
      </c>
      <c r="B495" s="26" t="s">
        <v>3022</v>
      </c>
      <c r="C495" s="26" t="s">
        <v>2561</v>
      </c>
      <c r="D495" s="26">
        <v>6200000.0</v>
      </c>
      <c r="F495" s="26" t="s">
        <v>2542</v>
      </c>
      <c r="G495" s="26">
        <v>331.0</v>
      </c>
    </row>
    <row r="496">
      <c r="A496" s="27">
        <v>45908.0</v>
      </c>
      <c r="B496" s="26" t="s">
        <v>3023</v>
      </c>
      <c r="C496" s="26" t="s">
        <v>2574</v>
      </c>
      <c r="D496" s="26">
        <v>1.203E7</v>
      </c>
      <c r="F496" s="26" t="s">
        <v>2542</v>
      </c>
      <c r="G496" s="26">
        <v>331.0</v>
      </c>
    </row>
    <row r="497">
      <c r="A497" s="27">
        <v>45908.0</v>
      </c>
      <c r="B497" s="26" t="s">
        <v>3024</v>
      </c>
      <c r="C497" s="26" t="s">
        <v>2593</v>
      </c>
      <c r="D497" s="26">
        <v>423000.0</v>
      </c>
      <c r="F497" s="26" t="s">
        <v>2542</v>
      </c>
      <c r="G497" s="26">
        <v>6423.0</v>
      </c>
    </row>
    <row r="498">
      <c r="A498" s="27">
        <v>45908.0</v>
      </c>
      <c r="B498" s="26" t="s">
        <v>3025</v>
      </c>
      <c r="C498" s="26" t="s">
        <v>2593</v>
      </c>
      <c r="D498" s="26">
        <v>554000.0</v>
      </c>
      <c r="F498" s="26" t="s">
        <v>2542</v>
      </c>
      <c r="G498" s="26">
        <v>6423.0</v>
      </c>
    </row>
    <row r="499">
      <c r="A499" s="27">
        <v>45908.0</v>
      </c>
      <c r="B499" s="26" t="s">
        <v>3026</v>
      </c>
      <c r="C499" s="26" t="s">
        <v>2564</v>
      </c>
      <c r="D499" s="26" t="s">
        <v>3027</v>
      </c>
      <c r="F499" s="26" t="s">
        <v>2542</v>
      </c>
      <c r="G499" s="26">
        <v>33312.0</v>
      </c>
    </row>
    <row r="500">
      <c r="A500" s="27">
        <v>45906.0</v>
      </c>
      <c r="B500" s="26" t="s">
        <v>3028</v>
      </c>
      <c r="C500" s="26" t="s">
        <v>255</v>
      </c>
      <c r="D500" s="26">
        <v>1267000.0</v>
      </c>
      <c r="F500" s="26" t="s">
        <v>2542</v>
      </c>
    </row>
    <row r="501">
      <c r="A501" s="27">
        <v>45906.0</v>
      </c>
      <c r="B501" s="26" t="s">
        <v>3029</v>
      </c>
      <c r="C501" s="26" t="s">
        <v>2545</v>
      </c>
      <c r="D501" s="26">
        <v>1.56E7</v>
      </c>
      <c r="F501" s="26" t="s">
        <v>2542</v>
      </c>
      <c r="G501" s="26">
        <v>3341.0</v>
      </c>
    </row>
    <row r="502">
      <c r="A502" s="27">
        <v>45906.0</v>
      </c>
      <c r="B502" s="26" t="s">
        <v>3030</v>
      </c>
      <c r="C502" s="26" t="s">
        <v>2545</v>
      </c>
      <c r="D502" s="26">
        <v>4000000.0</v>
      </c>
      <c r="F502" s="26" t="s">
        <v>2542</v>
      </c>
      <c r="G502" s="26">
        <v>3341.0</v>
      </c>
    </row>
    <row r="503">
      <c r="A503" s="27">
        <v>45906.0</v>
      </c>
      <c r="B503" s="26" t="s">
        <v>3031</v>
      </c>
      <c r="C503" s="26" t="s">
        <v>2545</v>
      </c>
      <c r="D503" s="26">
        <v>3000000.0</v>
      </c>
      <c r="F503" s="26" t="s">
        <v>2542</v>
      </c>
      <c r="G503" s="26">
        <v>3341.0</v>
      </c>
    </row>
    <row r="504">
      <c r="A504" s="27">
        <v>45906.0</v>
      </c>
      <c r="B504" s="26" t="s">
        <v>3032</v>
      </c>
      <c r="C504" s="26" t="s">
        <v>2545</v>
      </c>
      <c r="D504" s="26">
        <v>5200000.0</v>
      </c>
      <c r="F504" s="26" t="s">
        <v>2542</v>
      </c>
      <c r="G504" s="26">
        <v>3341.0</v>
      </c>
    </row>
    <row r="505">
      <c r="A505" s="27">
        <v>45906.0</v>
      </c>
      <c r="B505" s="26" t="s">
        <v>3033</v>
      </c>
      <c r="C505" s="26" t="s">
        <v>2561</v>
      </c>
      <c r="D505" s="26" t="s">
        <v>3034</v>
      </c>
      <c r="F505" s="26" t="s">
        <v>2542</v>
      </c>
      <c r="G505" s="26">
        <v>632.1</v>
      </c>
    </row>
    <row r="506">
      <c r="A506" s="27">
        <v>45906.0</v>
      </c>
      <c r="B506" s="26" t="s">
        <v>3035</v>
      </c>
      <c r="C506" s="26" t="s">
        <v>2655</v>
      </c>
      <c r="D506" s="26">
        <v>2.432E7</v>
      </c>
      <c r="F506" s="26" t="s">
        <v>2542</v>
      </c>
      <c r="G506" s="26">
        <v>3383.0</v>
      </c>
    </row>
    <row r="507">
      <c r="A507" s="27">
        <v>45906.0</v>
      </c>
      <c r="B507" s="26" t="s">
        <v>3036</v>
      </c>
      <c r="C507" s="26" t="s">
        <v>2545</v>
      </c>
      <c r="D507" s="26">
        <v>5370000.0</v>
      </c>
      <c r="F507" s="26" t="s">
        <v>2542</v>
      </c>
      <c r="G507" s="26">
        <v>3341.0</v>
      </c>
    </row>
    <row r="508">
      <c r="A508" s="27">
        <v>45906.0</v>
      </c>
      <c r="B508" s="26" t="s">
        <v>3037</v>
      </c>
      <c r="C508" s="26" t="s">
        <v>2545</v>
      </c>
      <c r="D508" s="26">
        <v>5370000.0</v>
      </c>
      <c r="F508" s="26" t="s">
        <v>2542</v>
      </c>
      <c r="G508" s="26">
        <v>3341.0</v>
      </c>
    </row>
    <row r="509">
      <c r="A509" s="27">
        <v>45906.0</v>
      </c>
      <c r="B509" s="26" t="s">
        <v>3038</v>
      </c>
      <c r="C509" s="26" t="s">
        <v>2545</v>
      </c>
      <c r="D509" s="26">
        <v>7160000.0</v>
      </c>
      <c r="F509" s="26" t="s">
        <v>2542</v>
      </c>
      <c r="G509" s="26">
        <v>3341.0</v>
      </c>
    </row>
    <row r="510">
      <c r="A510" s="27">
        <v>45906.0</v>
      </c>
      <c r="B510" s="26" t="s">
        <v>3039</v>
      </c>
      <c r="C510" s="26" t="s">
        <v>2545</v>
      </c>
      <c r="D510" s="26">
        <v>7160000.0</v>
      </c>
      <c r="F510" s="26" t="s">
        <v>2542</v>
      </c>
      <c r="G510" s="26">
        <v>3341.0</v>
      </c>
    </row>
    <row r="511">
      <c r="A511" s="27">
        <v>45906.0</v>
      </c>
      <c r="B511" s="26" t="s">
        <v>3040</v>
      </c>
      <c r="C511" s="26" t="s">
        <v>2545</v>
      </c>
      <c r="D511" s="26">
        <v>7160000.0</v>
      </c>
      <c r="F511" s="26" t="s">
        <v>2542</v>
      </c>
      <c r="G511" s="26">
        <v>3341.0</v>
      </c>
    </row>
    <row r="512">
      <c r="A512" s="27">
        <v>45906.0</v>
      </c>
      <c r="B512" s="26" t="s">
        <v>3041</v>
      </c>
      <c r="C512" s="26" t="s">
        <v>2545</v>
      </c>
      <c r="D512" s="26">
        <v>3.0E7</v>
      </c>
      <c r="F512" s="26" t="s">
        <v>2542</v>
      </c>
      <c r="G512" s="26">
        <v>3341.0</v>
      </c>
    </row>
    <row r="513">
      <c r="A513" s="27">
        <v>45906.0</v>
      </c>
      <c r="B513" s="26" t="s">
        <v>3042</v>
      </c>
      <c r="C513" s="26" t="s">
        <v>2561</v>
      </c>
      <c r="D513" s="26">
        <v>2.6767503E7</v>
      </c>
      <c r="F513" s="26" t="s">
        <v>2542</v>
      </c>
      <c r="G513" s="26">
        <v>331.0</v>
      </c>
    </row>
    <row r="514">
      <c r="A514" s="27">
        <v>45905.0</v>
      </c>
      <c r="B514" s="26" t="s">
        <v>3043</v>
      </c>
      <c r="C514" s="26" t="s">
        <v>255</v>
      </c>
      <c r="D514" s="26">
        <v>7720000.0</v>
      </c>
      <c r="F514" s="26" t="s">
        <v>2542</v>
      </c>
    </row>
    <row r="515">
      <c r="A515" s="27">
        <v>45904.0</v>
      </c>
      <c r="B515" s="26" t="s">
        <v>2926</v>
      </c>
      <c r="C515" s="26" t="s">
        <v>255</v>
      </c>
      <c r="D515" s="26">
        <v>4213000.0</v>
      </c>
      <c r="F515" s="26" t="s">
        <v>2542</v>
      </c>
    </row>
    <row r="516">
      <c r="A516" s="27">
        <v>45904.0</v>
      </c>
      <c r="B516" s="26" t="s">
        <v>3009</v>
      </c>
      <c r="C516" s="26" t="s">
        <v>255</v>
      </c>
      <c r="D516" s="26">
        <v>7956850.0</v>
      </c>
      <c r="F516" s="26" t="s">
        <v>2542</v>
      </c>
    </row>
    <row r="517">
      <c r="A517" s="27">
        <v>45904.0</v>
      </c>
      <c r="B517" s="26" t="s">
        <v>3044</v>
      </c>
      <c r="C517" s="26" t="s">
        <v>255</v>
      </c>
      <c r="D517" s="26">
        <v>1080000.0</v>
      </c>
      <c r="F517" s="26" t="s">
        <v>2542</v>
      </c>
    </row>
    <row r="518">
      <c r="A518" s="27">
        <v>45904.0</v>
      </c>
      <c r="B518" s="26" t="s">
        <v>3045</v>
      </c>
      <c r="C518" s="26" t="s">
        <v>2655</v>
      </c>
      <c r="D518" s="26">
        <v>2.432E7</v>
      </c>
      <c r="F518" s="26" t="s">
        <v>2542</v>
      </c>
      <c r="G518" s="26">
        <v>3383.0</v>
      </c>
    </row>
    <row r="519">
      <c r="A519" s="27">
        <v>45904.0</v>
      </c>
      <c r="B519" s="26" t="s">
        <v>3046</v>
      </c>
      <c r="C519" s="26" t="s">
        <v>2593</v>
      </c>
      <c r="D519" s="26">
        <v>156000.0</v>
      </c>
      <c r="F519" s="26" t="s">
        <v>2542</v>
      </c>
      <c r="G519" s="26">
        <v>6423.0</v>
      </c>
    </row>
    <row r="520">
      <c r="A520" s="27">
        <v>45904.0</v>
      </c>
      <c r="B520" s="26" t="s">
        <v>3047</v>
      </c>
      <c r="C520" s="26" t="s">
        <v>2593</v>
      </c>
      <c r="D520" s="26">
        <v>115000.0</v>
      </c>
      <c r="F520" s="26" t="s">
        <v>2542</v>
      </c>
      <c r="G520" s="26">
        <v>6423.0</v>
      </c>
    </row>
    <row r="521">
      <c r="A521" s="27">
        <v>45904.0</v>
      </c>
      <c r="B521" s="26" t="s">
        <v>3048</v>
      </c>
      <c r="C521" s="26" t="s">
        <v>2574</v>
      </c>
      <c r="D521" s="26">
        <v>2973456.0</v>
      </c>
      <c r="F521" s="26" t="s">
        <v>2542</v>
      </c>
      <c r="G521" s="26">
        <v>331.0</v>
      </c>
    </row>
    <row r="522">
      <c r="A522" s="27">
        <v>45904.0</v>
      </c>
      <c r="B522" s="26" t="s">
        <v>3049</v>
      </c>
      <c r="C522" s="26" t="s">
        <v>2574</v>
      </c>
      <c r="D522" s="26">
        <v>2395980.0</v>
      </c>
      <c r="F522" s="26" t="s">
        <v>2542</v>
      </c>
      <c r="G522" s="26">
        <v>331.0</v>
      </c>
    </row>
    <row r="523">
      <c r="A523" s="27">
        <v>45904.0</v>
      </c>
      <c r="B523" s="26" t="s">
        <v>3050</v>
      </c>
      <c r="C523" s="26" t="s">
        <v>2574</v>
      </c>
      <c r="D523" s="26">
        <v>6510240.0</v>
      </c>
      <c r="F523" s="26" t="s">
        <v>2542</v>
      </c>
      <c r="G523" s="26">
        <v>331.0</v>
      </c>
    </row>
    <row r="524">
      <c r="A524" s="27">
        <v>45903.0</v>
      </c>
      <c r="B524" s="26" t="s">
        <v>3051</v>
      </c>
      <c r="C524" s="26" t="s">
        <v>255</v>
      </c>
      <c r="D524" s="26">
        <v>3325000.0</v>
      </c>
      <c r="F524" s="26" t="s">
        <v>2542</v>
      </c>
    </row>
    <row r="525">
      <c r="A525" s="27">
        <v>45903.0</v>
      </c>
      <c r="B525" s="26" t="s">
        <v>3052</v>
      </c>
      <c r="C525" s="26" t="s">
        <v>255</v>
      </c>
      <c r="D525" s="26">
        <v>2376000.0</v>
      </c>
      <c r="F525" s="26" t="s">
        <v>2542</v>
      </c>
    </row>
    <row r="526">
      <c r="A526" s="27">
        <v>45903.0</v>
      </c>
      <c r="B526" s="26" t="s">
        <v>3053</v>
      </c>
      <c r="C526" s="26" t="s">
        <v>255</v>
      </c>
      <c r="D526" s="26">
        <v>1.06581E7</v>
      </c>
      <c r="F526" s="26" t="s">
        <v>2542</v>
      </c>
    </row>
    <row r="527">
      <c r="A527" s="27">
        <v>45902.0</v>
      </c>
      <c r="B527" s="26" t="s">
        <v>3054</v>
      </c>
      <c r="C527" s="26" t="s">
        <v>255</v>
      </c>
      <c r="D527" s="26">
        <v>2160000.0</v>
      </c>
      <c r="F527" s="26" t="s">
        <v>2542</v>
      </c>
    </row>
    <row r="528">
      <c r="A528" s="27">
        <v>45900.0</v>
      </c>
      <c r="B528" s="26" t="s">
        <v>3055</v>
      </c>
      <c r="C528" s="26" t="s">
        <v>255</v>
      </c>
      <c r="D528" s="26">
        <v>1080000.0</v>
      </c>
      <c r="F528" s="26" t="s">
        <v>2542</v>
      </c>
    </row>
    <row r="529">
      <c r="A529" s="27">
        <v>45900.0</v>
      </c>
      <c r="B529" s="26" t="s">
        <v>3056</v>
      </c>
      <c r="C529" s="26" t="s">
        <v>2561</v>
      </c>
      <c r="D529" s="26" t="s">
        <v>3057</v>
      </c>
      <c r="F529" s="26" t="s">
        <v>2542</v>
      </c>
      <c r="G529" s="26">
        <v>632.1</v>
      </c>
    </row>
    <row r="530">
      <c r="A530" s="27">
        <v>45899.0</v>
      </c>
      <c r="B530" s="26" t="s">
        <v>3058</v>
      </c>
      <c r="C530" s="26" t="s">
        <v>255</v>
      </c>
      <c r="D530" s="26">
        <v>1080000.0</v>
      </c>
      <c r="F530" s="26" t="s">
        <v>2542</v>
      </c>
    </row>
    <row r="531">
      <c r="A531" s="27">
        <v>45899.0</v>
      </c>
      <c r="B531" s="26" t="s">
        <v>2543</v>
      </c>
      <c r="C531" s="26" t="s">
        <v>255</v>
      </c>
      <c r="D531" s="26">
        <v>14973.0</v>
      </c>
      <c r="F531" s="26" t="s">
        <v>2542</v>
      </c>
    </row>
    <row r="532">
      <c r="A532" s="27">
        <v>45899.0</v>
      </c>
      <c r="B532" s="26" t="s">
        <v>3059</v>
      </c>
      <c r="C532" s="26" t="s">
        <v>255</v>
      </c>
      <c r="D532" s="26">
        <v>6000000.0</v>
      </c>
      <c r="F532" s="26" t="s">
        <v>2542</v>
      </c>
    </row>
    <row r="533">
      <c r="A533" s="27">
        <v>45899.0</v>
      </c>
      <c r="B533" s="26" t="s">
        <v>3060</v>
      </c>
      <c r="C533" s="26" t="s">
        <v>2764</v>
      </c>
      <c r="D533" s="26">
        <v>1000000.0</v>
      </c>
      <c r="F533" s="26" t="s">
        <v>2542</v>
      </c>
      <c r="G533" s="26">
        <v>6273.0</v>
      </c>
    </row>
    <row r="534">
      <c r="A534" s="27">
        <v>45898.0</v>
      </c>
      <c r="B534" s="26" t="s">
        <v>3061</v>
      </c>
      <c r="C534" s="26" t="s">
        <v>255</v>
      </c>
      <c r="D534" s="26">
        <v>1875000.0</v>
      </c>
      <c r="F534" s="26" t="s">
        <v>2542</v>
      </c>
    </row>
    <row r="535">
      <c r="A535" s="27">
        <v>45898.0</v>
      </c>
      <c r="B535" s="26" t="s">
        <v>3062</v>
      </c>
      <c r="C535" s="26" t="s">
        <v>2561</v>
      </c>
      <c r="D535" s="26">
        <v>8000000.0</v>
      </c>
      <c r="F535" s="26" t="s">
        <v>2542</v>
      </c>
      <c r="G535" s="26">
        <v>331.0</v>
      </c>
    </row>
    <row r="536">
      <c r="A536" s="27">
        <v>45897.0</v>
      </c>
      <c r="B536" s="26" t="s">
        <v>3063</v>
      </c>
      <c r="C536" s="26" t="s">
        <v>255</v>
      </c>
      <c r="D536" s="26">
        <v>1080000.0</v>
      </c>
      <c r="F536" s="26" t="s">
        <v>2542</v>
      </c>
    </row>
    <row r="537">
      <c r="A537" s="27">
        <v>45897.0</v>
      </c>
      <c r="B537" s="26" t="s">
        <v>3064</v>
      </c>
      <c r="C537" s="26" t="s">
        <v>255</v>
      </c>
      <c r="D537" s="26">
        <v>3630000.0</v>
      </c>
      <c r="F537" s="26" t="s">
        <v>2542</v>
      </c>
    </row>
    <row r="538">
      <c r="A538" s="27">
        <v>45897.0</v>
      </c>
      <c r="B538" s="26" t="s">
        <v>3065</v>
      </c>
      <c r="C538" s="26" t="s">
        <v>3066</v>
      </c>
      <c r="D538" s="26">
        <v>1.2042E7</v>
      </c>
      <c r="F538" s="26" t="s">
        <v>2542</v>
      </c>
      <c r="G538" s="26">
        <v>6427.0</v>
      </c>
    </row>
    <row r="539">
      <c r="A539" s="27">
        <v>45897.0</v>
      </c>
      <c r="B539" s="26" t="s">
        <v>3067</v>
      </c>
      <c r="C539" s="26" t="s">
        <v>2571</v>
      </c>
      <c r="D539" s="26">
        <v>150000.0</v>
      </c>
      <c r="F539" s="26" t="s">
        <v>2542</v>
      </c>
      <c r="G539" s="26">
        <v>641.22</v>
      </c>
    </row>
    <row r="540">
      <c r="A540" s="27">
        <v>45897.0</v>
      </c>
      <c r="B540" s="26" t="s">
        <v>3068</v>
      </c>
      <c r="C540" s="26" t="s">
        <v>2574</v>
      </c>
      <c r="D540" s="26">
        <v>410000.0</v>
      </c>
      <c r="F540" s="26" t="s">
        <v>2542</v>
      </c>
      <c r="G540" s="26">
        <v>641.4</v>
      </c>
    </row>
    <row r="541">
      <c r="A541" s="27">
        <v>45896.0</v>
      </c>
      <c r="B541" s="26" t="s">
        <v>3069</v>
      </c>
      <c r="C541" s="26" t="s">
        <v>255</v>
      </c>
      <c r="D541" s="26">
        <v>3520000.0</v>
      </c>
      <c r="F541" s="26" t="s">
        <v>2542</v>
      </c>
    </row>
    <row r="542">
      <c r="A542" s="27">
        <v>45896.0</v>
      </c>
      <c r="B542" s="26" t="s">
        <v>3070</v>
      </c>
      <c r="C542" s="26" t="s">
        <v>255</v>
      </c>
      <c r="D542" s="26">
        <v>1359600.0</v>
      </c>
      <c r="F542" s="26" t="s">
        <v>2542</v>
      </c>
    </row>
    <row r="543">
      <c r="A543" s="27">
        <v>45896.0</v>
      </c>
      <c r="B543" s="26" t="s">
        <v>3071</v>
      </c>
      <c r="C543" s="26" t="s">
        <v>255</v>
      </c>
      <c r="D543" s="26">
        <v>1386000.0</v>
      </c>
      <c r="F543" s="26" t="s">
        <v>2542</v>
      </c>
    </row>
    <row r="544">
      <c r="A544" s="27">
        <v>45896.0</v>
      </c>
      <c r="B544" s="26" t="s">
        <v>3072</v>
      </c>
      <c r="C544" s="26" t="s">
        <v>2561</v>
      </c>
      <c r="D544" s="26">
        <v>75000.0</v>
      </c>
      <c r="F544" s="26" t="s">
        <v>2542</v>
      </c>
      <c r="G544" s="26">
        <v>331.0</v>
      </c>
    </row>
    <row r="545">
      <c r="A545" s="27">
        <v>45896.0</v>
      </c>
      <c r="B545" s="26" t="s">
        <v>3073</v>
      </c>
      <c r="C545" s="26" t="s">
        <v>2561</v>
      </c>
      <c r="D545" s="26">
        <v>1320000.0</v>
      </c>
      <c r="F545" s="26" t="s">
        <v>2542</v>
      </c>
      <c r="G545" s="26">
        <v>331.0</v>
      </c>
    </row>
    <row r="546">
      <c r="A546" s="27">
        <v>45895.0</v>
      </c>
      <c r="B546" s="26" t="s">
        <v>3074</v>
      </c>
      <c r="C546" s="26" t="s">
        <v>255</v>
      </c>
      <c r="D546" s="26">
        <v>1628000.0</v>
      </c>
      <c r="F546" s="26" t="s">
        <v>2542</v>
      </c>
    </row>
    <row r="547">
      <c r="A547" s="27">
        <v>45895.0</v>
      </c>
      <c r="B547" s="26" t="s">
        <v>3074</v>
      </c>
      <c r="C547" s="26" t="s">
        <v>255</v>
      </c>
      <c r="D547" s="26">
        <v>1628000.0</v>
      </c>
      <c r="F547" s="26" t="s">
        <v>2542</v>
      </c>
    </row>
    <row r="548">
      <c r="A548" s="27">
        <v>45895.0</v>
      </c>
      <c r="B548" s="26" t="s">
        <v>3075</v>
      </c>
      <c r="C548" s="26" t="s">
        <v>255</v>
      </c>
      <c r="D548" s="26">
        <v>1152000.0</v>
      </c>
      <c r="F548" s="26" t="s">
        <v>2542</v>
      </c>
    </row>
    <row r="549">
      <c r="A549" s="27">
        <v>45895.0</v>
      </c>
      <c r="B549" s="26" t="s">
        <v>3076</v>
      </c>
      <c r="C549" s="26" t="s">
        <v>2545</v>
      </c>
      <c r="D549" s="26">
        <v>8200000.0</v>
      </c>
      <c r="F549" s="26" t="s">
        <v>2542</v>
      </c>
      <c r="G549" s="26">
        <v>3341.0</v>
      </c>
    </row>
    <row r="550">
      <c r="A550" s="27">
        <v>45894.0</v>
      </c>
      <c r="B550" s="26" t="s">
        <v>3077</v>
      </c>
      <c r="C550" s="26" t="s">
        <v>255</v>
      </c>
      <c r="D550" s="26">
        <v>1595000.0</v>
      </c>
      <c r="F550" s="26" t="s">
        <v>2542</v>
      </c>
    </row>
    <row r="551">
      <c r="A551" s="27">
        <v>45894.0</v>
      </c>
      <c r="B551" s="26" t="s">
        <v>3078</v>
      </c>
      <c r="C551" s="26" t="s">
        <v>255</v>
      </c>
      <c r="D551" s="26">
        <v>4785000.0</v>
      </c>
      <c r="F551" s="26" t="s">
        <v>2542</v>
      </c>
    </row>
    <row r="552">
      <c r="A552" s="27">
        <v>45894.0</v>
      </c>
      <c r="B552" s="26" t="s">
        <v>3079</v>
      </c>
      <c r="C552" s="26" t="s">
        <v>255</v>
      </c>
      <c r="D552" s="26">
        <v>7330000.0</v>
      </c>
      <c r="F552" s="26" t="s">
        <v>2542</v>
      </c>
    </row>
    <row r="553">
      <c r="A553" s="27">
        <v>45894.0</v>
      </c>
      <c r="B553" s="26" t="s">
        <v>3080</v>
      </c>
      <c r="C553" s="26" t="s">
        <v>255</v>
      </c>
      <c r="D553" s="26">
        <v>5540000.0</v>
      </c>
      <c r="F553" s="26" t="s">
        <v>2542</v>
      </c>
    </row>
    <row r="554">
      <c r="A554" s="27">
        <v>45894.0</v>
      </c>
      <c r="B554" s="26" t="s">
        <v>3081</v>
      </c>
      <c r="C554" s="26" t="s">
        <v>255</v>
      </c>
      <c r="D554" s="26">
        <v>4752000.0</v>
      </c>
      <c r="F554" s="26" t="s">
        <v>2542</v>
      </c>
    </row>
    <row r="555">
      <c r="A555" s="27">
        <v>45894.0</v>
      </c>
      <c r="B555" s="26" t="s">
        <v>3082</v>
      </c>
      <c r="C555" s="26" t="s">
        <v>255</v>
      </c>
      <c r="D555" s="26">
        <v>2376000.0</v>
      </c>
      <c r="F555" s="26" t="s">
        <v>2542</v>
      </c>
    </row>
    <row r="556">
      <c r="A556" s="27">
        <v>45894.0</v>
      </c>
      <c r="B556" s="26" t="s">
        <v>3083</v>
      </c>
      <c r="C556" s="26" t="s">
        <v>2561</v>
      </c>
      <c r="D556" s="26">
        <v>1131000.0</v>
      </c>
      <c r="F556" s="26" t="s">
        <v>2542</v>
      </c>
      <c r="G556" s="26">
        <v>331.0</v>
      </c>
    </row>
    <row r="557">
      <c r="A557" s="27">
        <v>45894.0</v>
      </c>
      <c r="B557" s="26" t="s">
        <v>3084</v>
      </c>
      <c r="C557" s="26" t="s">
        <v>2593</v>
      </c>
      <c r="D557" s="26">
        <v>292000.0</v>
      </c>
      <c r="F557" s="26" t="s">
        <v>2542</v>
      </c>
      <c r="G557" s="26">
        <v>6423.0</v>
      </c>
    </row>
    <row r="558">
      <c r="A558" s="27">
        <v>45894.0</v>
      </c>
      <c r="B558" s="26" t="s">
        <v>3085</v>
      </c>
      <c r="C558" s="26" t="s">
        <v>2574</v>
      </c>
      <c r="D558" s="26">
        <v>6134020.0</v>
      </c>
      <c r="F558" s="26" t="s">
        <v>2542</v>
      </c>
      <c r="G558" s="26">
        <v>331.0</v>
      </c>
    </row>
    <row r="559">
      <c r="A559" s="27">
        <v>45894.0</v>
      </c>
      <c r="B559" s="26" t="s">
        <v>3086</v>
      </c>
      <c r="C559" s="26" t="s">
        <v>2545</v>
      </c>
      <c r="D559" s="26">
        <v>1.9895E7</v>
      </c>
      <c r="F559" s="26" t="s">
        <v>2542</v>
      </c>
      <c r="G559" s="26">
        <v>3341.0</v>
      </c>
    </row>
    <row r="560">
      <c r="A560" s="27">
        <v>45893.0</v>
      </c>
      <c r="B560" s="26" t="s">
        <v>2586</v>
      </c>
      <c r="C560" s="26" t="s">
        <v>255</v>
      </c>
      <c r="D560" s="26">
        <v>2745.0</v>
      </c>
      <c r="F560" s="26" t="s">
        <v>2542</v>
      </c>
    </row>
    <row r="561">
      <c r="A561" s="27">
        <v>45892.0</v>
      </c>
      <c r="B561" s="26" t="s">
        <v>3087</v>
      </c>
      <c r="C561" s="26" t="s">
        <v>255</v>
      </c>
      <c r="D561" s="26">
        <v>1790000.0</v>
      </c>
      <c r="F561" s="26" t="s">
        <v>2542</v>
      </c>
    </row>
    <row r="562">
      <c r="A562" s="27">
        <v>45892.0</v>
      </c>
      <c r="B562" s="26" t="s">
        <v>3088</v>
      </c>
      <c r="C562" s="26" t="s">
        <v>255</v>
      </c>
      <c r="D562" s="26">
        <v>3580000.0</v>
      </c>
      <c r="F562" s="26" t="s">
        <v>2542</v>
      </c>
    </row>
    <row r="563">
      <c r="A563" s="27">
        <v>45892.0</v>
      </c>
      <c r="B563" s="26" t="s">
        <v>3089</v>
      </c>
      <c r="C563" s="26" t="s">
        <v>255</v>
      </c>
      <c r="D563" s="26">
        <v>2160000.0</v>
      </c>
      <c r="F563" s="26" t="s">
        <v>2542</v>
      </c>
    </row>
    <row r="564">
      <c r="A564" s="27">
        <v>45892.0</v>
      </c>
      <c r="B564" s="26" t="s">
        <v>3090</v>
      </c>
      <c r="C564" s="26" t="s">
        <v>255</v>
      </c>
      <c r="D564" s="26">
        <v>6000000.0</v>
      </c>
      <c r="F564" s="26" t="s">
        <v>2542</v>
      </c>
    </row>
    <row r="565">
      <c r="A565" s="27">
        <v>45892.0</v>
      </c>
      <c r="B565" s="26" t="s">
        <v>3091</v>
      </c>
      <c r="C565" s="26" t="s">
        <v>255</v>
      </c>
      <c r="D565" s="26">
        <v>2304000.0</v>
      </c>
      <c r="F565" s="26" t="s">
        <v>2542</v>
      </c>
    </row>
    <row r="566">
      <c r="A566" s="27">
        <v>45892.0</v>
      </c>
      <c r="B566" s="26" t="s">
        <v>3092</v>
      </c>
      <c r="C566" s="26" t="s">
        <v>255</v>
      </c>
      <c r="D566" s="26">
        <v>2304000.0</v>
      </c>
      <c r="F566" s="26" t="s">
        <v>2542</v>
      </c>
    </row>
    <row r="567">
      <c r="A567" s="27">
        <v>45892.0</v>
      </c>
      <c r="B567" s="26" t="s">
        <v>3093</v>
      </c>
      <c r="C567" s="26" t="s">
        <v>255</v>
      </c>
      <c r="D567" s="26">
        <v>2304000.0</v>
      </c>
      <c r="F567" s="26" t="s">
        <v>2542</v>
      </c>
    </row>
    <row r="568">
      <c r="A568" s="27">
        <v>45892.0</v>
      </c>
      <c r="B568" s="26" t="s">
        <v>3094</v>
      </c>
      <c r="C568" s="26" t="s">
        <v>2571</v>
      </c>
      <c r="D568" s="26">
        <v>175000.0</v>
      </c>
      <c r="F568" s="26" t="s">
        <v>2542</v>
      </c>
      <c r="G568" s="26">
        <v>641.12</v>
      </c>
    </row>
    <row r="569">
      <c r="A569" s="27">
        <v>45892.0</v>
      </c>
      <c r="B569" s="26" t="s">
        <v>3095</v>
      </c>
      <c r="C569" s="26" t="s">
        <v>2571</v>
      </c>
      <c r="D569" s="26">
        <v>60000.0</v>
      </c>
      <c r="F569" s="26" t="s">
        <v>2542</v>
      </c>
      <c r="G569" s="26">
        <v>641.22</v>
      </c>
    </row>
    <row r="570">
      <c r="A570" s="27">
        <v>45891.0</v>
      </c>
      <c r="B570" s="26" t="s">
        <v>2640</v>
      </c>
      <c r="C570" s="26" t="s">
        <v>255</v>
      </c>
      <c r="D570" s="26">
        <v>1188000.0</v>
      </c>
      <c r="F570" s="26" t="s">
        <v>2542</v>
      </c>
    </row>
    <row r="571">
      <c r="A571" s="27">
        <v>45891.0</v>
      </c>
      <c r="B571" s="26" t="s">
        <v>3096</v>
      </c>
      <c r="C571" s="26" t="s">
        <v>2561</v>
      </c>
      <c r="D571" s="26">
        <v>1000000.0</v>
      </c>
      <c r="F571" s="26" t="s">
        <v>2542</v>
      </c>
      <c r="G571" s="26">
        <v>331.0</v>
      </c>
    </row>
    <row r="572">
      <c r="A572" s="27">
        <v>45891.0</v>
      </c>
      <c r="B572" s="26" t="s">
        <v>3097</v>
      </c>
      <c r="C572" s="26" t="s">
        <v>2574</v>
      </c>
      <c r="D572" s="26">
        <v>5340000.0</v>
      </c>
      <c r="F572" s="26" t="s">
        <v>2542</v>
      </c>
      <c r="G572" s="26">
        <v>331.0</v>
      </c>
    </row>
    <row r="573">
      <c r="A573" s="27">
        <v>45891.0</v>
      </c>
      <c r="B573" s="26" t="s">
        <v>3098</v>
      </c>
      <c r="C573" s="26" t="s">
        <v>2574</v>
      </c>
      <c r="D573" s="26">
        <v>3600000.0</v>
      </c>
      <c r="F573" s="26" t="s">
        <v>2542</v>
      </c>
      <c r="G573" s="26">
        <v>331.0</v>
      </c>
    </row>
    <row r="574">
      <c r="A574" s="27">
        <v>45890.0</v>
      </c>
      <c r="B574" s="26" t="s">
        <v>3099</v>
      </c>
      <c r="C574" s="26" t="s">
        <v>255</v>
      </c>
      <c r="D574" s="26">
        <v>1450000.0</v>
      </c>
      <c r="F574" s="26" t="s">
        <v>2542</v>
      </c>
    </row>
    <row r="575">
      <c r="A575" s="27">
        <v>45889.0</v>
      </c>
      <c r="B575" s="26" t="s">
        <v>3100</v>
      </c>
      <c r="C575" s="26" t="s">
        <v>2574</v>
      </c>
      <c r="D575" s="26">
        <v>1500000.0</v>
      </c>
      <c r="F575" s="26" t="s">
        <v>2542</v>
      </c>
      <c r="G575" s="26">
        <v>641.4</v>
      </c>
    </row>
    <row r="576">
      <c r="A576" s="27">
        <v>45888.0</v>
      </c>
      <c r="B576" s="26" t="s">
        <v>3101</v>
      </c>
      <c r="C576" s="26" t="s">
        <v>255</v>
      </c>
      <c r="D576" s="26">
        <v>1213594.0</v>
      </c>
      <c r="F576" s="26" t="s">
        <v>2542</v>
      </c>
    </row>
    <row r="577">
      <c r="A577" s="27">
        <v>45888.0</v>
      </c>
      <c r="B577" s="26" t="s">
        <v>2980</v>
      </c>
      <c r="C577" s="26" t="s">
        <v>255</v>
      </c>
      <c r="D577" s="26">
        <v>1080000.0</v>
      </c>
      <c r="F577" s="26" t="s">
        <v>2542</v>
      </c>
    </row>
    <row r="578">
      <c r="A578" s="27">
        <v>45888.0</v>
      </c>
      <c r="B578" s="26" t="s">
        <v>3102</v>
      </c>
      <c r="C578" s="26" t="s">
        <v>255</v>
      </c>
      <c r="D578" s="26">
        <v>3200000.0</v>
      </c>
      <c r="F578" s="26" t="s">
        <v>2542</v>
      </c>
    </row>
    <row r="579">
      <c r="A579" s="27">
        <v>45888.0</v>
      </c>
      <c r="B579" s="26" t="s">
        <v>3101</v>
      </c>
      <c r="C579" s="28"/>
      <c r="D579" s="26">
        <v>1213594.0</v>
      </c>
      <c r="F579" s="26" t="s">
        <v>2542</v>
      </c>
    </row>
    <row r="580">
      <c r="A580" s="27">
        <v>45888.0</v>
      </c>
      <c r="B580" s="26" t="s">
        <v>3103</v>
      </c>
      <c r="C580" s="26" t="s">
        <v>2564</v>
      </c>
      <c r="D580" s="26">
        <v>113.968</v>
      </c>
      <c r="F580" s="26" t="s">
        <v>2542</v>
      </c>
      <c r="G580" s="26">
        <v>3332.0</v>
      </c>
    </row>
    <row r="581">
      <c r="A581" s="27">
        <v>45888.0</v>
      </c>
      <c r="B581" s="26" t="s">
        <v>3104</v>
      </c>
      <c r="C581" s="26" t="s">
        <v>2564</v>
      </c>
      <c r="D581" s="26" t="s">
        <v>3105</v>
      </c>
      <c r="F581" s="26" t="s">
        <v>2542</v>
      </c>
      <c r="G581" s="26">
        <v>3332.0</v>
      </c>
    </row>
    <row r="582">
      <c r="A582" s="27">
        <v>45888.0</v>
      </c>
      <c r="B582" s="26" t="s">
        <v>3104</v>
      </c>
      <c r="C582" s="26" t="s">
        <v>2564</v>
      </c>
      <c r="D582" s="26" t="s">
        <v>3106</v>
      </c>
      <c r="F582" s="26" t="s">
        <v>2542</v>
      </c>
      <c r="G582" s="26">
        <v>3332.0</v>
      </c>
    </row>
    <row r="583">
      <c r="A583" s="27">
        <v>45888.0</v>
      </c>
      <c r="B583" s="26" t="s">
        <v>3104</v>
      </c>
      <c r="C583" s="26" t="s">
        <v>2564</v>
      </c>
      <c r="D583" s="26">
        <v>425.349</v>
      </c>
      <c r="F583" s="26" t="s">
        <v>2542</v>
      </c>
      <c r="G583" s="26">
        <v>3332.0</v>
      </c>
    </row>
    <row r="584">
      <c r="A584" s="27">
        <v>45887.0</v>
      </c>
      <c r="B584" s="26" t="s">
        <v>3107</v>
      </c>
      <c r="C584" s="26" t="s">
        <v>255</v>
      </c>
      <c r="D584" s="26">
        <v>5300000.0</v>
      </c>
      <c r="F584" s="26" t="s">
        <v>2542</v>
      </c>
    </row>
    <row r="585">
      <c r="A585" s="27">
        <v>45887.0</v>
      </c>
      <c r="B585" s="26" t="s">
        <v>3063</v>
      </c>
      <c r="C585" s="26" t="s">
        <v>255</v>
      </c>
      <c r="D585" s="26">
        <v>1080000.0</v>
      </c>
      <c r="F585" s="26" t="s">
        <v>2542</v>
      </c>
    </row>
    <row r="586">
      <c r="A586" s="27">
        <v>45887.0</v>
      </c>
      <c r="B586" s="26" t="s">
        <v>2817</v>
      </c>
      <c r="C586" s="26" t="s">
        <v>255</v>
      </c>
      <c r="D586" s="26">
        <v>1188000.0</v>
      </c>
      <c r="F586" s="26" t="s">
        <v>2542</v>
      </c>
    </row>
    <row r="587">
      <c r="A587" s="27">
        <v>45887.0</v>
      </c>
      <c r="B587" s="26" t="s">
        <v>3108</v>
      </c>
      <c r="C587" s="26" t="s">
        <v>255</v>
      </c>
      <c r="D587" s="26">
        <v>8404000.0</v>
      </c>
      <c r="F587" s="26" t="s">
        <v>2542</v>
      </c>
    </row>
    <row r="588">
      <c r="A588" s="27">
        <v>45887.0</v>
      </c>
      <c r="B588" s="26" t="s">
        <v>3109</v>
      </c>
      <c r="C588" s="28"/>
      <c r="D588" s="26">
        <v>2.5E8</v>
      </c>
      <c r="F588" s="26" t="s">
        <v>2542</v>
      </c>
    </row>
    <row r="589">
      <c r="A589" s="27">
        <v>45887.0</v>
      </c>
      <c r="B589" s="26" t="s">
        <v>3110</v>
      </c>
      <c r="C589" s="26" t="s">
        <v>2545</v>
      </c>
      <c r="D589" s="26">
        <v>7160000.0</v>
      </c>
      <c r="F589" s="26" t="s">
        <v>2542</v>
      </c>
      <c r="G589" s="26">
        <v>3341.0</v>
      </c>
    </row>
    <row r="590">
      <c r="A590" s="27">
        <v>45887.0</v>
      </c>
      <c r="B590" s="26" t="s">
        <v>3111</v>
      </c>
      <c r="C590" s="26" t="s">
        <v>2545</v>
      </c>
      <c r="D590" s="26">
        <v>7160000.0</v>
      </c>
      <c r="F590" s="26" t="s">
        <v>2542</v>
      </c>
      <c r="G590" s="26">
        <v>3341.0</v>
      </c>
    </row>
    <row r="591">
      <c r="A591" s="27">
        <v>45887.0</v>
      </c>
      <c r="B591" s="26" t="s">
        <v>3112</v>
      </c>
      <c r="C591" s="26" t="s">
        <v>2545</v>
      </c>
      <c r="D591" s="26">
        <v>7160000.0</v>
      </c>
      <c r="F591" s="26" t="s">
        <v>2542</v>
      </c>
      <c r="G591" s="26">
        <v>3341.0</v>
      </c>
    </row>
    <row r="592">
      <c r="A592" s="27">
        <v>45887.0</v>
      </c>
      <c r="B592" s="26" t="s">
        <v>3113</v>
      </c>
      <c r="C592" s="26" t="s">
        <v>2545</v>
      </c>
      <c r="D592" s="26">
        <v>2.5E7</v>
      </c>
      <c r="F592" s="26" t="s">
        <v>2542</v>
      </c>
      <c r="G592" s="26">
        <v>3341.0</v>
      </c>
    </row>
    <row r="593">
      <c r="A593" s="27">
        <v>45887.0</v>
      </c>
      <c r="B593" s="26" t="s">
        <v>3114</v>
      </c>
      <c r="C593" s="26" t="s">
        <v>2655</v>
      </c>
      <c r="D593" s="26">
        <v>2.432E7</v>
      </c>
      <c r="F593" s="26" t="s">
        <v>2542</v>
      </c>
      <c r="G593" s="26">
        <v>3383.0</v>
      </c>
    </row>
    <row r="594">
      <c r="A594" s="27">
        <v>45887.0</v>
      </c>
      <c r="B594" s="26" t="s">
        <v>3115</v>
      </c>
      <c r="C594" s="26" t="s">
        <v>2545</v>
      </c>
      <c r="D594" s="26">
        <v>1.9895E7</v>
      </c>
      <c r="F594" s="26" t="s">
        <v>2542</v>
      </c>
      <c r="G594" s="26">
        <v>3341.0</v>
      </c>
    </row>
    <row r="595">
      <c r="A595" s="27">
        <v>45887.0</v>
      </c>
      <c r="B595" s="26" t="s">
        <v>3029</v>
      </c>
      <c r="C595" s="26" t="s">
        <v>2545</v>
      </c>
      <c r="D595" s="26">
        <v>1.56E7</v>
      </c>
      <c r="F595" s="26" t="s">
        <v>2542</v>
      </c>
      <c r="G595" s="26">
        <v>3341.0</v>
      </c>
    </row>
    <row r="596">
      <c r="A596" s="27">
        <v>45887.0</v>
      </c>
      <c r="B596" s="26" t="s">
        <v>3116</v>
      </c>
      <c r="C596" s="26" t="s">
        <v>2545</v>
      </c>
      <c r="D596" s="26">
        <v>5200000.0</v>
      </c>
      <c r="F596" s="26" t="s">
        <v>2542</v>
      </c>
      <c r="G596" s="26">
        <v>3341.0</v>
      </c>
    </row>
    <row r="597">
      <c r="A597" s="27">
        <v>45887.0</v>
      </c>
      <c r="B597" s="26" t="s">
        <v>3117</v>
      </c>
      <c r="C597" s="26" t="s">
        <v>2545</v>
      </c>
      <c r="D597" s="26">
        <v>1.2E7</v>
      </c>
      <c r="F597" s="26" t="s">
        <v>2542</v>
      </c>
      <c r="G597" s="26">
        <v>3341.0</v>
      </c>
    </row>
    <row r="598">
      <c r="A598" s="27">
        <v>45887.0</v>
      </c>
      <c r="B598" s="26" t="s">
        <v>3118</v>
      </c>
      <c r="C598" s="26" t="s">
        <v>2545</v>
      </c>
      <c r="D598" s="26">
        <v>5200000.0</v>
      </c>
      <c r="F598" s="26" t="s">
        <v>2542</v>
      </c>
      <c r="G598" s="26">
        <v>3341.0</v>
      </c>
    </row>
    <row r="599">
      <c r="A599" s="27">
        <v>45887.0</v>
      </c>
      <c r="B599" s="26" t="s">
        <v>3119</v>
      </c>
      <c r="C599" s="26" t="s">
        <v>2545</v>
      </c>
      <c r="D599" s="26">
        <v>1.2E7</v>
      </c>
      <c r="F599" s="26" t="s">
        <v>2542</v>
      </c>
      <c r="G599" s="26">
        <v>3341.0</v>
      </c>
    </row>
    <row r="600">
      <c r="A600" s="27">
        <v>45887.0</v>
      </c>
      <c r="B600" s="26" t="s">
        <v>3120</v>
      </c>
      <c r="C600" s="26" t="s">
        <v>2561</v>
      </c>
      <c r="D600" s="26">
        <v>4.064172E7</v>
      </c>
      <c r="F600" s="26" t="s">
        <v>2542</v>
      </c>
      <c r="G600" s="26">
        <v>331.0</v>
      </c>
    </row>
    <row r="601">
      <c r="A601" s="27">
        <v>45887.0</v>
      </c>
      <c r="B601" s="26" t="s">
        <v>3121</v>
      </c>
      <c r="C601" s="26" t="s">
        <v>2561</v>
      </c>
      <c r="D601" s="26">
        <v>3.508806E7</v>
      </c>
      <c r="F601" s="26" t="s">
        <v>2542</v>
      </c>
      <c r="G601" s="26">
        <v>331.0</v>
      </c>
    </row>
    <row r="602">
      <c r="A602" s="27">
        <v>45887.0</v>
      </c>
      <c r="B602" s="26" t="s">
        <v>3122</v>
      </c>
      <c r="C602" s="26" t="s">
        <v>2563</v>
      </c>
      <c r="D602" s="26">
        <v>1156848.0</v>
      </c>
      <c r="F602" s="26" t="s">
        <v>2542</v>
      </c>
      <c r="G602" s="26">
        <v>635.0</v>
      </c>
    </row>
    <row r="603">
      <c r="A603" s="27">
        <v>45887.0</v>
      </c>
      <c r="B603" s="26" t="s">
        <v>3123</v>
      </c>
      <c r="C603" s="26" t="s">
        <v>2593</v>
      </c>
      <c r="D603" s="26">
        <v>50976.0</v>
      </c>
      <c r="F603" s="26" t="s">
        <v>2542</v>
      </c>
      <c r="G603" s="26">
        <v>6423.0</v>
      </c>
    </row>
    <row r="604">
      <c r="A604" s="27">
        <v>45887.0</v>
      </c>
      <c r="B604" s="26" t="s">
        <v>3124</v>
      </c>
      <c r="C604" s="26" t="s">
        <v>2593</v>
      </c>
      <c r="D604" s="26">
        <v>151450.0</v>
      </c>
      <c r="F604" s="26" t="s">
        <v>2542</v>
      </c>
      <c r="G604" s="26">
        <v>6423.0</v>
      </c>
    </row>
    <row r="605">
      <c r="A605" s="27">
        <v>45887.0</v>
      </c>
      <c r="B605" s="26" t="s">
        <v>3125</v>
      </c>
      <c r="C605" s="26" t="s">
        <v>2561</v>
      </c>
      <c r="D605" s="26">
        <v>4436000.0</v>
      </c>
      <c r="F605" s="26" t="s">
        <v>2542</v>
      </c>
      <c r="G605" s="26">
        <v>331.0</v>
      </c>
    </row>
    <row r="606">
      <c r="A606" s="27">
        <v>45887.0</v>
      </c>
      <c r="B606" s="26" t="s">
        <v>3126</v>
      </c>
      <c r="C606" s="26" t="s">
        <v>2571</v>
      </c>
      <c r="D606" s="26">
        <v>490000.0</v>
      </c>
      <c r="F606" s="26" t="s">
        <v>2542</v>
      </c>
      <c r="G606" s="26">
        <v>641.22</v>
      </c>
    </row>
    <row r="607">
      <c r="A607" s="27">
        <v>45886.0</v>
      </c>
      <c r="B607" s="26" t="s">
        <v>3127</v>
      </c>
      <c r="C607" s="26" t="s">
        <v>2545</v>
      </c>
      <c r="D607" s="26">
        <v>5000000.0</v>
      </c>
      <c r="F607" s="26" t="s">
        <v>2542</v>
      </c>
      <c r="G607" s="26">
        <v>3341.0</v>
      </c>
    </row>
    <row r="608">
      <c r="A608" s="27">
        <v>45885.0</v>
      </c>
      <c r="B608" s="26" t="s">
        <v>3128</v>
      </c>
      <c r="C608" s="26" t="s">
        <v>255</v>
      </c>
      <c r="D608" s="26">
        <v>6.54875E8</v>
      </c>
      <c r="F608" s="26" t="s">
        <v>2542</v>
      </c>
    </row>
    <row r="609">
      <c r="A609" s="27">
        <v>45885.0</v>
      </c>
      <c r="B609" s="26" t="s">
        <v>3129</v>
      </c>
      <c r="C609" s="26" t="s">
        <v>255</v>
      </c>
      <c r="D609" s="26">
        <v>9.1E8</v>
      </c>
      <c r="F609" s="26" t="s">
        <v>2542</v>
      </c>
    </row>
    <row r="610">
      <c r="A610" s="27">
        <v>45885.0</v>
      </c>
      <c r="B610" s="26" t="s">
        <v>3109</v>
      </c>
      <c r="C610" s="28"/>
      <c r="D610" s="26">
        <v>2.9E7</v>
      </c>
      <c r="F610" s="26" t="s">
        <v>2542</v>
      </c>
    </row>
    <row r="611">
      <c r="A611" s="27">
        <v>45885.0</v>
      </c>
      <c r="B611" s="26" t="s">
        <v>3128</v>
      </c>
      <c r="C611" s="28"/>
      <c r="D611" s="26">
        <v>6.54875E8</v>
      </c>
      <c r="F611" s="26" t="s">
        <v>2542</v>
      </c>
    </row>
    <row r="612">
      <c r="A612" s="27">
        <v>45885.0</v>
      </c>
      <c r="B612" s="26" t="s">
        <v>2961</v>
      </c>
      <c r="C612" s="26" t="s">
        <v>2593</v>
      </c>
      <c r="D612" s="26">
        <v>80000.0</v>
      </c>
      <c r="F612" s="26" t="s">
        <v>2542</v>
      </c>
      <c r="G612" s="26">
        <v>6423.0</v>
      </c>
    </row>
    <row r="613">
      <c r="A613" s="27">
        <v>45884.0</v>
      </c>
      <c r="B613" s="26" t="s">
        <v>3130</v>
      </c>
      <c r="C613" s="26" t="s">
        <v>255</v>
      </c>
      <c r="D613" s="26">
        <v>7231200.0</v>
      </c>
      <c r="F613" s="26" t="s">
        <v>2542</v>
      </c>
    </row>
    <row r="614">
      <c r="A614" s="27">
        <v>45884.0</v>
      </c>
      <c r="B614" s="26" t="s">
        <v>3131</v>
      </c>
      <c r="C614" s="26" t="s">
        <v>255</v>
      </c>
      <c r="D614" s="26">
        <v>9084625.0</v>
      </c>
      <c r="F614" s="26" t="s">
        <v>2542</v>
      </c>
    </row>
    <row r="615">
      <c r="A615" s="27">
        <v>45884.0</v>
      </c>
      <c r="B615" s="26" t="s">
        <v>3132</v>
      </c>
      <c r="C615" s="26" t="s">
        <v>255</v>
      </c>
      <c r="D615" s="26">
        <v>7755000.0</v>
      </c>
      <c r="F615" s="26" t="s">
        <v>2542</v>
      </c>
    </row>
    <row r="616">
      <c r="A616" s="27">
        <v>45884.0</v>
      </c>
      <c r="B616" s="26" t="s">
        <v>3133</v>
      </c>
      <c r="C616" s="26" t="s">
        <v>255</v>
      </c>
      <c r="D616" s="26">
        <v>4565000.0</v>
      </c>
      <c r="F616" s="26" t="s">
        <v>2542</v>
      </c>
    </row>
    <row r="617">
      <c r="A617" s="27">
        <v>45884.0</v>
      </c>
      <c r="B617" s="26" t="s">
        <v>3134</v>
      </c>
      <c r="C617" s="26" t="s">
        <v>255</v>
      </c>
      <c r="D617" s="26">
        <v>2970000.0</v>
      </c>
      <c r="F617" s="26" t="s">
        <v>2542</v>
      </c>
    </row>
    <row r="618">
      <c r="A618" s="27">
        <v>45884.0</v>
      </c>
      <c r="B618" s="26" t="s">
        <v>3135</v>
      </c>
      <c r="C618" s="26" t="s">
        <v>255</v>
      </c>
      <c r="D618" s="26">
        <v>2970000.0</v>
      </c>
      <c r="F618" s="26" t="s">
        <v>2542</v>
      </c>
    </row>
    <row r="619">
      <c r="A619" s="27">
        <v>45883.0</v>
      </c>
      <c r="B619" s="26" t="s">
        <v>3136</v>
      </c>
      <c r="C619" s="26" t="s">
        <v>255</v>
      </c>
      <c r="D619" s="26">
        <v>8950000.0</v>
      </c>
      <c r="F619" s="26" t="s">
        <v>2542</v>
      </c>
    </row>
    <row r="620">
      <c r="A620" s="27">
        <v>45883.0</v>
      </c>
      <c r="B620" s="26" t="s">
        <v>3137</v>
      </c>
      <c r="C620" s="26" t="s">
        <v>2561</v>
      </c>
      <c r="D620" s="26">
        <v>6240000.0</v>
      </c>
      <c r="F620" s="26" t="s">
        <v>2542</v>
      </c>
      <c r="G620" s="26">
        <v>331.0</v>
      </c>
    </row>
    <row r="621">
      <c r="A621" s="27">
        <v>45883.0</v>
      </c>
      <c r="B621" s="26" t="s">
        <v>3138</v>
      </c>
      <c r="C621" s="26" t="s">
        <v>2571</v>
      </c>
      <c r="D621" s="26">
        <v>87000.0</v>
      </c>
      <c r="F621" s="26" t="s">
        <v>2542</v>
      </c>
      <c r="G621" s="26">
        <v>641.22</v>
      </c>
    </row>
    <row r="622">
      <c r="A622" s="27">
        <v>45883.0</v>
      </c>
      <c r="B622" s="26" t="s">
        <v>3138</v>
      </c>
      <c r="C622" s="26" t="s">
        <v>2593</v>
      </c>
      <c r="D622" s="26">
        <v>163000.0</v>
      </c>
      <c r="F622" s="26" t="s">
        <v>2542</v>
      </c>
      <c r="G622" s="26">
        <v>6423.0</v>
      </c>
    </row>
    <row r="623">
      <c r="A623" s="27">
        <v>45882.0</v>
      </c>
      <c r="B623" s="26" t="s">
        <v>3139</v>
      </c>
      <c r="C623" s="26" t="s">
        <v>255</v>
      </c>
      <c r="D623" s="26">
        <v>3830000.0</v>
      </c>
      <c r="F623" s="26" t="s">
        <v>2542</v>
      </c>
    </row>
    <row r="624">
      <c r="A624" s="27">
        <v>45882.0</v>
      </c>
      <c r="B624" s="26" t="s">
        <v>3140</v>
      </c>
      <c r="C624" s="26" t="s">
        <v>255</v>
      </c>
      <c r="D624" s="26">
        <v>1.0E7</v>
      </c>
      <c r="F624" s="26" t="s">
        <v>2542</v>
      </c>
    </row>
    <row r="625">
      <c r="A625" s="27">
        <v>45882.0</v>
      </c>
      <c r="B625" s="26" t="s">
        <v>3141</v>
      </c>
      <c r="C625" s="26" t="s">
        <v>255</v>
      </c>
      <c r="D625" s="26">
        <v>4800000.0</v>
      </c>
      <c r="F625" s="26" t="s">
        <v>2542</v>
      </c>
    </row>
    <row r="626">
      <c r="A626" s="27">
        <v>45882.0</v>
      </c>
      <c r="B626" s="26" t="s">
        <v>3142</v>
      </c>
      <c r="C626" s="26" t="s">
        <v>255</v>
      </c>
      <c r="D626" s="26">
        <v>2618000.0</v>
      </c>
      <c r="F626" s="26" t="s">
        <v>2542</v>
      </c>
    </row>
    <row r="627">
      <c r="A627" s="27">
        <v>45882.0</v>
      </c>
      <c r="B627" s="26" t="s">
        <v>2611</v>
      </c>
      <c r="C627" s="26" t="s">
        <v>255</v>
      </c>
      <c r="D627" s="26">
        <v>1188000.0</v>
      </c>
      <c r="F627" s="26" t="s">
        <v>2542</v>
      </c>
    </row>
    <row r="628">
      <c r="A628" s="27">
        <v>45882.0</v>
      </c>
      <c r="B628" s="26" t="s">
        <v>3109</v>
      </c>
      <c r="C628" s="28"/>
      <c r="D628" s="26">
        <v>1.5E7</v>
      </c>
      <c r="F628" s="26" t="s">
        <v>2542</v>
      </c>
    </row>
    <row r="629">
      <c r="A629" s="27">
        <v>45882.0</v>
      </c>
      <c r="B629" s="26" t="s">
        <v>3143</v>
      </c>
      <c r="C629" s="26" t="s">
        <v>2561</v>
      </c>
      <c r="D629" s="26">
        <v>2.0771105E7</v>
      </c>
      <c r="F629" s="26" t="s">
        <v>2542</v>
      </c>
      <c r="G629" s="26">
        <v>331.0</v>
      </c>
    </row>
    <row r="630">
      <c r="A630" s="27">
        <v>45881.0</v>
      </c>
      <c r="B630" s="26" t="s">
        <v>3144</v>
      </c>
      <c r="C630" s="26" t="s">
        <v>255</v>
      </c>
      <c r="D630" s="26">
        <v>1600000.0</v>
      </c>
      <c r="F630" s="26" t="s">
        <v>2542</v>
      </c>
    </row>
    <row r="631">
      <c r="A631" s="27">
        <v>45881.0</v>
      </c>
      <c r="B631" s="26" t="s">
        <v>3145</v>
      </c>
      <c r="C631" s="26" t="s">
        <v>255</v>
      </c>
      <c r="D631" s="26">
        <v>4608000.0</v>
      </c>
      <c r="F631" s="26" t="s">
        <v>2542</v>
      </c>
    </row>
    <row r="632">
      <c r="A632" s="27">
        <v>45881.0</v>
      </c>
      <c r="B632" s="26" t="s">
        <v>3146</v>
      </c>
      <c r="C632" s="26" t="s">
        <v>255</v>
      </c>
      <c r="D632" s="26">
        <v>1152000.0</v>
      </c>
      <c r="F632" s="26" t="s">
        <v>2542</v>
      </c>
    </row>
    <row r="633">
      <c r="A633" s="27">
        <v>45881.0</v>
      </c>
      <c r="B633" s="26" t="s">
        <v>3147</v>
      </c>
      <c r="C633" s="26" t="s">
        <v>255</v>
      </c>
      <c r="D633" s="26">
        <v>1188000.0</v>
      </c>
      <c r="F633" s="26" t="s">
        <v>2542</v>
      </c>
    </row>
    <row r="634">
      <c r="A634" s="27">
        <v>45881.0</v>
      </c>
      <c r="B634" s="26" t="s">
        <v>3148</v>
      </c>
      <c r="C634" s="26" t="s">
        <v>255</v>
      </c>
      <c r="D634" s="26">
        <v>2304000.0</v>
      </c>
      <c r="F634" s="26" t="s">
        <v>2542</v>
      </c>
    </row>
    <row r="635">
      <c r="A635" s="27">
        <v>45881.0</v>
      </c>
      <c r="B635" s="26" t="s">
        <v>3149</v>
      </c>
      <c r="C635" s="26" t="s">
        <v>255</v>
      </c>
      <c r="D635" s="26">
        <v>1152000.0</v>
      </c>
      <c r="F635" s="26" t="s">
        <v>2542</v>
      </c>
    </row>
    <row r="636">
      <c r="A636" s="27">
        <v>45881.0</v>
      </c>
      <c r="B636" s="26" t="s">
        <v>3150</v>
      </c>
      <c r="C636" s="26" t="s">
        <v>255</v>
      </c>
      <c r="D636" s="26">
        <v>1360000.0</v>
      </c>
      <c r="F636" s="26" t="s">
        <v>2542</v>
      </c>
    </row>
    <row r="637">
      <c r="A637" s="27">
        <v>45881.0</v>
      </c>
      <c r="B637" s="26" t="s">
        <v>3151</v>
      </c>
      <c r="C637" s="26" t="s">
        <v>255</v>
      </c>
      <c r="D637" s="26">
        <v>3916800.0</v>
      </c>
      <c r="F637" s="26" t="s">
        <v>2542</v>
      </c>
    </row>
    <row r="638">
      <c r="A638" s="27">
        <v>45881.0</v>
      </c>
      <c r="B638" s="26" t="s">
        <v>3152</v>
      </c>
      <c r="C638" s="26" t="s">
        <v>255</v>
      </c>
      <c r="D638" s="26">
        <v>1600000.0</v>
      </c>
      <c r="F638" s="26" t="s">
        <v>2542</v>
      </c>
    </row>
    <row r="639">
      <c r="A639" s="27">
        <v>45881.0</v>
      </c>
      <c r="B639" s="26" t="s">
        <v>3153</v>
      </c>
      <c r="C639" s="26" t="s">
        <v>255</v>
      </c>
      <c r="D639" s="26">
        <v>1152000.0</v>
      </c>
      <c r="F639" s="26" t="s">
        <v>2542</v>
      </c>
    </row>
    <row r="640">
      <c r="A640" s="27">
        <v>45881.0</v>
      </c>
      <c r="B640" s="26" t="s">
        <v>3154</v>
      </c>
      <c r="C640" s="26" t="s">
        <v>255</v>
      </c>
      <c r="D640" s="26">
        <v>1206000.0</v>
      </c>
      <c r="F640" s="26" t="s">
        <v>2542</v>
      </c>
    </row>
    <row r="641">
      <c r="A641" s="27">
        <v>45881.0</v>
      </c>
      <c r="B641" s="26" t="s">
        <v>3155</v>
      </c>
      <c r="C641" s="26" t="s">
        <v>255</v>
      </c>
      <c r="D641" s="26">
        <v>1380000.0</v>
      </c>
      <c r="F641" s="26" t="s">
        <v>2542</v>
      </c>
    </row>
    <row r="642">
      <c r="A642" s="27">
        <v>45881.0</v>
      </c>
      <c r="B642" s="26" t="s">
        <v>3156</v>
      </c>
      <c r="C642" s="26" t="s">
        <v>2571</v>
      </c>
      <c r="D642" s="26">
        <v>655000.0</v>
      </c>
      <c r="F642" s="26" t="s">
        <v>2542</v>
      </c>
      <c r="G642" s="26">
        <v>641.12</v>
      </c>
    </row>
    <row r="643">
      <c r="A643" s="27">
        <v>45880.0</v>
      </c>
      <c r="B643" s="26" t="s">
        <v>3157</v>
      </c>
      <c r="C643" s="26" t="s">
        <v>255</v>
      </c>
      <c r="D643" s="26">
        <v>1.291483E7</v>
      </c>
      <c r="F643" s="26" t="s">
        <v>2542</v>
      </c>
    </row>
    <row r="644">
      <c r="A644" s="27">
        <v>45880.0</v>
      </c>
      <c r="B644" s="26" t="s">
        <v>3158</v>
      </c>
      <c r="C644" s="26" t="s">
        <v>255</v>
      </c>
      <c r="D644" s="26">
        <v>1276000.0</v>
      </c>
      <c r="F644" s="26" t="s">
        <v>2542</v>
      </c>
    </row>
    <row r="645">
      <c r="A645" s="27">
        <v>45880.0</v>
      </c>
      <c r="B645" s="26" t="s">
        <v>2769</v>
      </c>
      <c r="C645" s="26" t="s">
        <v>255</v>
      </c>
      <c r="D645" s="26">
        <v>1188000.0</v>
      </c>
      <c r="F645" s="26" t="s">
        <v>2542</v>
      </c>
    </row>
    <row r="646">
      <c r="A646" s="27">
        <v>45880.0</v>
      </c>
      <c r="B646" s="26" t="s">
        <v>3159</v>
      </c>
      <c r="C646" s="26" t="s">
        <v>2593</v>
      </c>
      <c r="D646" s="26">
        <v>418000.0</v>
      </c>
      <c r="F646" s="26" t="s">
        <v>2542</v>
      </c>
      <c r="G646" s="26">
        <v>6423.0</v>
      </c>
    </row>
    <row r="647">
      <c r="A647" s="27">
        <v>45880.0</v>
      </c>
      <c r="B647" s="26" t="s">
        <v>3160</v>
      </c>
      <c r="C647" s="26" t="s">
        <v>2545</v>
      </c>
      <c r="D647" s="26">
        <v>4000000.0</v>
      </c>
      <c r="F647" s="26" t="s">
        <v>2542</v>
      </c>
      <c r="G647" s="26">
        <v>3341.0</v>
      </c>
    </row>
    <row r="648">
      <c r="A648" s="27">
        <v>45880.0</v>
      </c>
      <c r="B648" s="26" t="s">
        <v>3161</v>
      </c>
      <c r="C648" s="26" t="s">
        <v>2545</v>
      </c>
      <c r="D648" s="26">
        <v>3000000.0</v>
      </c>
      <c r="F648" s="26" t="s">
        <v>2542</v>
      </c>
      <c r="G648" s="26">
        <v>3341.0</v>
      </c>
    </row>
    <row r="649">
      <c r="A649" s="27">
        <v>45880.0</v>
      </c>
      <c r="B649" s="26" t="s">
        <v>3162</v>
      </c>
      <c r="C649" s="26" t="s">
        <v>2545</v>
      </c>
      <c r="D649" s="26">
        <v>5370000.0</v>
      </c>
      <c r="F649" s="26" t="s">
        <v>2542</v>
      </c>
      <c r="G649" s="26">
        <v>3341.0</v>
      </c>
    </row>
    <row r="650">
      <c r="A650" s="27">
        <v>45880.0</v>
      </c>
      <c r="B650" s="26" t="s">
        <v>3163</v>
      </c>
      <c r="C650" s="26" t="s">
        <v>2561</v>
      </c>
      <c r="D650" s="26">
        <v>6446000.0</v>
      </c>
      <c r="F650" s="26" t="s">
        <v>2542</v>
      </c>
      <c r="G650" s="26">
        <v>331.0</v>
      </c>
    </row>
    <row r="651">
      <c r="A651" s="27">
        <v>45878.0</v>
      </c>
      <c r="B651" s="26" t="s">
        <v>3164</v>
      </c>
      <c r="C651" s="26" t="s">
        <v>2545</v>
      </c>
      <c r="D651" s="26">
        <v>5370000.0</v>
      </c>
      <c r="F651" s="26" t="s">
        <v>2542</v>
      </c>
      <c r="G651" s="26">
        <v>3341.0</v>
      </c>
    </row>
    <row r="652">
      <c r="A652" s="27">
        <v>45877.0</v>
      </c>
      <c r="B652" s="26" t="s">
        <v>3165</v>
      </c>
      <c r="C652" s="26" t="s">
        <v>255</v>
      </c>
      <c r="D652" s="26">
        <v>3720000.0</v>
      </c>
      <c r="F652" s="26" t="s">
        <v>2542</v>
      </c>
    </row>
    <row r="653">
      <c r="A653" s="27">
        <v>45877.0</v>
      </c>
      <c r="B653" s="26" t="s">
        <v>3166</v>
      </c>
      <c r="C653" s="26" t="s">
        <v>255</v>
      </c>
      <c r="D653" s="26">
        <v>2.947E7</v>
      </c>
      <c r="F653" s="26" t="s">
        <v>2542</v>
      </c>
    </row>
    <row r="654">
      <c r="A654" s="27">
        <v>45877.0</v>
      </c>
      <c r="B654" s="26" t="s">
        <v>3167</v>
      </c>
      <c r="C654" s="26" t="s">
        <v>255</v>
      </c>
      <c r="D654" s="26">
        <v>1914000.0</v>
      </c>
      <c r="F654" s="26" t="s">
        <v>2542</v>
      </c>
    </row>
    <row r="655">
      <c r="A655" s="27">
        <v>45876.0</v>
      </c>
      <c r="B655" s="26" t="s">
        <v>3168</v>
      </c>
      <c r="C655" s="26" t="s">
        <v>255</v>
      </c>
      <c r="D655" s="26">
        <v>5808000.0</v>
      </c>
      <c r="F655" s="26" t="s">
        <v>2542</v>
      </c>
    </row>
    <row r="656">
      <c r="A656" s="27">
        <v>45876.0</v>
      </c>
      <c r="B656" s="26" t="s">
        <v>3169</v>
      </c>
      <c r="C656" s="26" t="s">
        <v>255</v>
      </c>
      <c r="D656" s="26">
        <v>1080000.0</v>
      </c>
      <c r="F656" s="26" t="s">
        <v>2542</v>
      </c>
    </row>
    <row r="657">
      <c r="A657" s="27">
        <v>45876.0</v>
      </c>
      <c r="B657" s="26" t="s">
        <v>3170</v>
      </c>
      <c r="C657" s="26" t="s">
        <v>255</v>
      </c>
      <c r="D657" s="26">
        <v>1.21648E7</v>
      </c>
      <c r="F657" s="26" t="s">
        <v>2542</v>
      </c>
    </row>
    <row r="658">
      <c r="A658" s="27">
        <v>45876.0</v>
      </c>
      <c r="B658" s="26" t="s">
        <v>3171</v>
      </c>
      <c r="C658" s="26" t="s">
        <v>2561</v>
      </c>
      <c r="D658" s="26">
        <v>3100000.0</v>
      </c>
      <c r="F658" s="26" t="s">
        <v>2542</v>
      </c>
      <c r="G658" s="26">
        <v>331.0</v>
      </c>
    </row>
    <row r="659">
      <c r="A659" s="27">
        <v>45875.0</v>
      </c>
      <c r="B659" s="26" t="s">
        <v>3172</v>
      </c>
      <c r="C659" s="26" t="s">
        <v>255</v>
      </c>
      <c r="D659" s="26">
        <v>1.4148E7</v>
      </c>
      <c r="F659" s="26" t="s">
        <v>2542</v>
      </c>
    </row>
    <row r="660">
      <c r="A660" s="27">
        <v>45875.0</v>
      </c>
      <c r="B660" s="26" t="s">
        <v>3173</v>
      </c>
      <c r="C660" s="26" t="s">
        <v>255</v>
      </c>
      <c r="D660" s="26">
        <v>5000000.0</v>
      </c>
      <c r="F660" s="26" t="s">
        <v>2542</v>
      </c>
    </row>
    <row r="661">
      <c r="A661" s="27">
        <v>45875.0</v>
      </c>
      <c r="B661" s="26" t="s">
        <v>3174</v>
      </c>
      <c r="C661" s="26" t="s">
        <v>2574</v>
      </c>
      <c r="D661" s="26">
        <v>500000.0</v>
      </c>
      <c r="F661" s="26" t="s">
        <v>2542</v>
      </c>
      <c r="G661" s="26">
        <v>641.4</v>
      </c>
    </row>
    <row r="662">
      <c r="A662" s="27">
        <v>45875.0</v>
      </c>
      <c r="B662" s="26" t="s">
        <v>3175</v>
      </c>
      <c r="C662" s="26" t="s">
        <v>2574</v>
      </c>
      <c r="D662" s="26">
        <v>8810625.0</v>
      </c>
      <c r="F662" s="26" t="s">
        <v>2542</v>
      </c>
      <c r="G662" s="26">
        <v>331.0</v>
      </c>
    </row>
    <row r="663">
      <c r="A663" s="27">
        <v>45874.0</v>
      </c>
      <c r="B663" s="26" t="s">
        <v>3176</v>
      </c>
      <c r="C663" s="26" t="s">
        <v>255</v>
      </c>
      <c r="D663" s="26">
        <v>1120000.0</v>
      </c>
      <c r="F663" s="26" t="s">
        <v>2542</v>
      </c>
    </row>
    <row r="664">
      <c r="A664" s="27">
        <v>45874.0</v>
      </c>
      <c r="B664" s="26" t="s">
        <v>3177</v>
      </c>
      <c r="C664" s="26" t="s">
        <v>255</v>
      </c>
      <c r="D664" s="26">
        <v>5092100.0</v>
      </c>
      <c r="F664" s="26" t="s">
        <v>2542</v>
      </c>
    </row>
    <row r="665">
      <c r="A665" s="27">
        <v>45874.0</v>
      </c>
      <c r="B665" s="26" t="s">
        <v>3178</v>
      </c>
      <c r="C665" s="26" t="s">
        <v>255</v>
      </c>
      <c r="D665" s="26">
        <v>2900000.0</v>
      </c>
      <c r="F665" s="26" t="s">
        <v>2542</v>
      </c>
    </row>
    <row r="666">
      <c r="A666" s="27">
        <v>45874.0</v>
      </c>
      <c r="B666" s="26" t="s">
        <v>3179</v>
      </c>
      <c r="C666" s="26" t="s">
        <v>255</v>
      </c>
      <c r="D666" s="26">
        <v>3657500.0</v>
      </c>
      <c r="F666" s="26" t="s">
        <v>2542</v>
      </c>
    </row>
    <row r="667">
      <c r="A667" s="27">
        <v>45874.0</v>
      </c>
      <c r="B667" s="26" t="s">
        <v>3180</v>
      </c>
      <c r="C667" s="26" t="s">
        <v>2561</v>
      </c>
      <c r="D667" s="26">
        <v>1.02824739E8</v>
      </c>
      <c r="F667" s="26" t="s">
        <v>2542</v>
      </c>
      <c r="G667" s="26">
        <v>331.0</v>
      </c>
    </row>
    <row r="668">
      <c r="A668" s="27">
        <v>45874.0</v>
      </c>
      <c r="B668" s="26" t="s">
        <v>3181</v>
      </c>
      <c r="C668" s="26" t="s">
        <v>2563</v>
      </c>
      <c r="D668" s="26">
        <v>6220407.0</v>
      </c>
      <c r="F668" s="26" t="s">
        <v>2542</v>
      </c>
      <c r="G668" s="26">
        <v>635.0</v>
      </c>
    </row>
    <row r="669">
      <c r="A669" s="27">
        <v>45873.0</v>
      </c>
      <c r="B669" s="26" t="s">
        <v>3182</v>
      </c>
      <c r="C669" s="26" t="s">
        <v>255</v>
      </c>
      <c r="D669" s="26">
        <v>2376000.0</v>
      </c>
      <c r="F669" s="26" t="s">
        <v>2542</v>
      </c>
    </row>
    <row r="670">
      <c r="A670" s="27">
        <v>45873.0</v>
      </c>
      <c r="B670" s="26" t="s">
        <v>2702</v>
      </c>
      <c r="C670" s="26" t="s">
        <v>255</v>
      </c>
      <c r="D670" s="26">
        <v>1080000.0</v>
      </c>
      <c r="F670" s="26" t="s">
        <v>2542</v>
      </c>
    </row>
    <row r="671">
      <c r="A671" s="27">
        <v>45873.0</v>
      </c>
      <c r="B671" s="26" t="s">
        <v>2745</v>
      </c>
      <c r="C671" s="26" t="s">
        <v>255</v>
      </c>
      <c r="D671" s="26">
        <v>1.9895E7</v>
      </c>
      <c r="F671" s="26" t="s">
        <v>2542</v>
      </c>
    </row>
    <row r="672">
      <c r="A672" s="27">
        <v>45873.0</v>
      </c>
      <c r="B672" s="26" t="s">
        <v>3183</v>
      </c>
      <c r="C672" s="26" t="s">
        <v>255</v>
      </c>
      <c r="D672" s="26">
        <v>5.0E7</v>
      </c>
      <c r="F672" s="26" t="s">
        <v>2542</v>
      </c>
    </row>
    <row r="673">
      <c r="A673" s="27">
        <v>45873.0</v>
      </c>
      <c r="B673" s="26" t="s">
        <v>3184</v>
      </c>
      <c r="C673" s="26" t="s">
        <v>255</v>
      </c>
      <c r="D673" s="26">
        <v>20000.0</v>
      </c>
      <c r="F673" s="26" t="s">
        <v>2542</v>
      </c>
    </row>
    <row r="674">
      <c r="A674" s="27">
        <v>45873.0</v>
      </c>
      <c r="B674" s="26" t="s">
        <v>3185</v>
      </c>
      <c r="C674" s="26" t="s">
        <v>255</v>
      </c>
      <c r="D674" s="26">
        <v>2.0E7</v>
      </c>
      <c r="F674" s="26" t="s">
        <v>2542</v>
      </c>
    </row>
    <row r="675">
      <c r="A675" s="27">
        <v>45873.0</v>
      </c>
      <c r="B675" s="26" t="s">
        <v>3186</v>
      </c>
      <c r="C675" s="26" t="s">
        <v>255</v>
      </c>
      <c r="D675" s="26">
        <v>6903200.0</v>
      </c>
      <c r="F675" s="26" t="s">
        <v>2542</v>
      </c>
    </row>
    <row r="676">
      <c r="A676" s="27">
        <v>45873.0</v>
      </c>
      <c r="B676" s="26" t="s">
        <v>3187</v>
      </c>
      <c r="C676" s="26" t="s">
        <v>255</v>
      </c>
      <c r="D676" s="26">
        <v>2304000.0</v>
      </c>
      <c r="F676" s="26" t="s">
        <v>2542</v>
      </c>
    </row>
    <row r="677">
      <c r="A677" s="27">
        <v>45873.0</v>
      </c>
      <c r="B677" s="26" t="s">
        <v>3188</v>
      </c>
      <c r="C677" s="26" t="s">
        <v>255</v>
      </c>
      <c r="D677" s="26">
        <v>1152000.0</v>
      </c>
      <c r="F677" s="26" t="s">
        <v>2542</v>
      </c>
    </row>
    <row r="678">
      <c r="A678" s="27">
        <v>45873.0</v>
      </c>
      <c r="B678" s="26" t="s">
        <v>3189</v>
      </c>
      <c r="C678" s="26" t="s">
        <v>255</v>
      </c>
      <c r="D678" s="26">
        <v>2304000.0</v>
      </c>
      <c r="F678" s="26" t="s">
        <v>2542</v>
      </c>
    </row>
    <row r="679">
      <c r="A679" s="27">
        <v>45873.0</v>
      </c>
      <c r="B679" s="26" t="s">
        <v>3190</v>
      </c>
      <c r="C679" s="26" t="s">
        <v>255</v>
      </c>
      <c r="D679" s="26">
        <v>8260000.0</v>
      </c>
      <c r="F679" s="26" t="s">
        <v>2542</v>
      </c>
    </row>
    <row r="680">
      <c r="A680" s="27">
        <v>45873.0</v>
      </c>
      <c r="B680" s="26" t="s">
        <v>3109</v>
      </c>
      <c r="C680" s="28"/>
      <c r="D680" s="26">
        <v>9.0E7</v>
      </c>
      <c r="F680" s="26" t="s">
        <v>2542</v>
      </c>
    </row>
    <row r="681">
      <c r="A681" s="27">
        <v>45873.0</v>
      </c>
      <c r="B681" s="26" t="s">
        <v>3115</v>
      </c>
      <c r="C681" s="28"/>
      <c r="D681" s="26">
        <v>1.9895E7</v>
      </c>
      <c r="F681" s="26" t="s">
        <v>2542</v>
      </c>
      <c r="G681" s="26">
        <v>141.0</v>
      </c>
    </row>
    <row r="682">
      <c r="A682" s="27">
        <v>45873.0</v>
      </c>
      <c r="B682" s="26" t="s">
        <v>3191</v>
      </c>
      <c r="C682" s="26" t="s">
        <v>2583</v>
      </c>
      <c r="D682" s="26">
        <v>300000.0</v>
      </c>
      <c r="F682" s="26" t="s">
        <v>2542</v>
      </c>
      <c r="G682" s="26">
        <v>641.14</v>
      </c>
    </row>
    <row r="683">
      <c r="A683" s="27">
        <v>45871.0</v>
      </c>
      <c r="B683" s="26" t="s">
        <v>3192</v>
      </c>
      <c r="C683" s="26" t="s">
        <v>255</v>
      </c>
      <c r="D683" s="26">
        <v>2160000.0</v>
      </c>
      <c r="F683" s="26" t="s">
        <v>2542</v>
      </c>
    </row>
    <row r="684">
      <c r="A684" s="27">
        <v>45871.0</v>
      </c>
      <c r="B684" s="26" t="s">
        <v>3193</v>
      </c>
      <c r="C684" s="26" t="s">
        <v>255</v>
      </c>
      <c r="D684" s="26">
        <v>9970600.0</v>
      </c>
      <c r="F684" s="26" t="s">
        <v>2542</v>
      </c>
    </row>
    <row r="685">
      <c r="A685" s="27">
        <v>45871.0</v>
      </c>
      <c r="B685" s="26" t="s">
        <v>3194</v>
      </c>
      <c r="C685" s="26" t="s">
        <v>255</v>
      </c>
      <c r="D685" s="26">
        <v>2400000.0</v>
      </c>
      <c r="F685" s="26" t="s">
        <v>2542</v>
      </c>
    </row>
    <row r="686">
      <c r="A686" s="27">
        <v>45870.0</v>
      </c>
      <c r="B686" s="26" t="s">
        <v>3195</v>
      </c>
      <c r="C686" s="26" t="s">
        <v>255</v>
      </c>
      <c r="D686" s="26">
        <v>6160000.0</v>
      </c>
      <c r="F686" s="26" t="s">
        <v>2542</v>
      </c>
    </row>
    <row r="687">
      <c r="A687" s="27">
        <v>45870.0</v>
      </c>
      <c r="B687" s="26" t="s">
        <v>3196</v>
      </c>
      <c r="C687" s="26" t="s">
        <v>255</v>
      </c>
      <c r="D687" s="26">
        <v>7420000.0</v>
      </c>
      <c r="F687" s="26" t="s">
        <v>2542</v>
      </c>
    </row>
    <row r="688">
      <c r="A688" s="27">
        <v>45870.0</v>
      </c>
      <c r="B688" s="26" t="s">
        <v>2980</v>
      </c>
      <c r="C688" s="26" t="s">
        <v>255</v>
      </c>
      <c r="D688" s="26">
        <v>1188000.0</v>
      </c>
      <c r="F688" s="26" t="s">
        <v>2542</v>
      </c>
    </row>
    <row r="689">
      <c r="A689" s="27">
        <v>45869.0</v>
      </c>
      <c r="B689" s="26" t="s">
        <v>2543</v>
      </c>
      <c r="C689" s="26" t="s">
        <v>255</v>
      </c>
      <c r="D689" s="26">
        <v>3394.0</v>
      </c>
      <c r="F689" s="26" t="s">
        <v>2542</v>
      </c>
    </row>
    <row r="690">
      <c r="A690" s="27">
        <v>45869.0</v>
      </c>
      <c r="B690" s="26" t="s">
        <v>3197</v>
      </c>
      <c r="C690" s="26" t="s">
        <v>2593</v>
      </c>
      <c r="D690" s="26">
        <v>133000.0</v>
      </c>
      <c r="F690" s="26" t="s">
        <v>2542</v>
      </c>
      <c r="G690" s="26">
        <v>6423.0</v>
      </c>
    </row>
    <row r="691">
      <c r="A691" s="27">
        <v>45869.0</v>
      </c>
      <c r="B691" s="26" t="s">
        <v>3198</v>
      </c>
      <c r="C691" s="26" t="s">
        <v>2561</v>
      </c>
      <c r="D691" s="26">
        <v>566400.0</v>
      </c>
      <c r="F691" s="26" t="s">
        <v>2542</v>
      </c>
      <c r="G691" s="26">
        <v>331.0</v>
      </c>
    </row>
    <row r="692">
      <c r="A692" s="27">
        <v>45869.0</v>
      </c>
      <c r="B692" s="26" t="s">
        <v>3199</v>
      </c>
      <c r="C692" s="28"/>
      <c r="D692" s="26">
        <v>41600.0</v>
      </c>
      <c r="F692" s="26" t="s">
        <v>2542</v>
      </c>
    </row>
    <row r="693">
      <c r="A693" s="27">
        <v>45869.0</v>
      </c>
      <c r="B693" s="26" t="s">
        <v>3199</v>
      </c>
      <c r="C693" s="26" t="s">
        <v>2561</v>
      </c>
      <c r="D693" s="26">
        <v>520.0</v>
      </c>
      <c r="F693" s="26" t="s">
        <v>2542</v>
      </c>
      <c r="G693" s="26">
        <v>632.1</v>
      </c>
    </row>
    <row r="694">
      <c r="A694" s="27">
        <v>45868.0</v>
      </c>
      <c r="B694" s="26" t="s">
        <v>3200</v>
      </c>
      <c r="C694" s="26" t="s">
        <v>255</v>
      </c>
      <c r="D694" s="26">
        <v>1600000.0</v>
      </c>
      <c r="F694" s="26" t="s">
        <v>2542</v>
      </c>
    </row>
    <row r="695">
      <c r="A695" s="27">
        <v>45868.0</v>
      </c>
      <c r="B695" s="26" t="s">
        <v>3201</v>
      </c>
      <c r="C695" s="26" t="s">
        <v>255</v>
      </c>
      <c r="D695" s="26">
        <v>2304000.0</v>
      </c>
      <c r="F695" s="26" t="s">
        <v>2542</v>
      </c>
    </row>
    <row r="696">
      <c r="A696" s="27">
        <v>45868.0</v>
      </c>
      <c r="B696" s="26" t="s">
        <v>3202</v>
      </c>
      <c r="C696" s="26" t="s">
        <v>255</v>
      </c>
      <c r="D696" s="26">
        <v>6336000.0</v>
      </c>
      <c r="F696" s="26" t="s">
        <v>2542</v>
      </c>
    </row>
    <row r="697">
      <c r="A697" s="27">
        <v>45868.0</v>
      </c>
      <c r="B697" s="26" t="s">
        <v>3109</v>
      </c>
      <c r="C697" s="28"/>
      <c r="D697" s="26">
        <v>1.0E7</v>
      </c>
      <c r="F697" s="26" t="s">
        <v>2542</v>
      </c>
    </row>
    <row r="698">
      <c r="A698" s="27">
        <v>45868.0</v>
      </c>
      <c r="B698" s="26" t="s">
        <v>3203</v>
      </c>
      <c r="C698" s="26" t="s">
        <v>2571</v>
      </c>
      <c r="D698" s="26">
        <v>665000.0</v>
      </c>
      <c r="F698" s="26" t="s">
        <v>2542</v>
      </c>
      <c r="G698" s="26">
        <v>641.12</v>
      </c>
    </row>
    <row r="699">
      <c r="A699" s="27">
        <v>45868.0</v>
      </c>
      <c r="B699" s="26" t="s">
        <v>3204</v>
      </c>
      <c r="C699" s="26" t="s">
        <v>2574</v>
      </c>
      <c r="D699" s="26">
        <v>1931040.0</v>
      </c>
      <c r="F699" s="26" t="s">
        <v>2542</v>
      </c>
      <c r="G699" s="26">
        <v>331.0</v>
      </c>
    </row>
    <row r="700">
      <c r="A700" s="27">
        <v>45868.0</v>
      </c>
      <c r="B700" s="26" t="s">
        <v>3205</v>
      </c>
      <c r="C700" s="26" t="s">
        <v>2574</v>
      </c>
      <c r="D700" s="26">
        <v>1942380.0</v>
      </c>
      <c r="F700" s="26" t="s">
        <v>2542</v>
      </c>
      <c r="G700" s="26">
        <v>331.0</v>
      </c>
    </row>
    <row r="701">
      <c r="A701" s="27">
        <v>45868.0</v>
      </c>
      <c r="B701" s="26" t="s">
        <v>3206</v>
      </c>
      <c r="C701" s="26" t="s">
        <v>2561</v>
      </c>
      <c r="D701" s="26">
        <v>5000000.0</v>
      </c>
      <c r="F701" s="26" t="s">
        <v>2542</v>
      </c>
      <c r="G701" s="26">
        <v>331.0</v>
      </c>
    </row>
    <row r="702">
      <c r="A702" s="27">
        <v>45867.0</v>
      </c>
      <c r="B702" s="26" t="s">
        <v>3207</v>
      </c>
      <c r="C702" s="26" t="s">
        <v>255</v>
      </c>
      <c r="D702" s="26">
        <v>3240000.0</v>
      </c>
      <c r="F702" s="26" t="s">
        <v>2542</v>
      </c>
    </row>
    <row r="703">
      <c r="A703" s="27">
        <v>45866.0</v>
      </c>
      <c r="B703" s="26" t="s">
        <v>3208</v>
      </c>
      <c r="C703" s="26" t="s">
        <v>255</v>
      </c>
      <c r="D703" s="26">
        <v>240000.0</v>
      </c>
      <c r="F703" s="26" t="s">
        <v>2542</v>
      </c>
    </row>
    <row r="704">
      <c r="A704" s="27">
        <v>45866.0</v>
      </c>
      <c r="B704" s="26" t="s">
        <v>3209</v>
      </c>
      <c r="C704" s="26" t="s">
        <v>255</v>
      </c>
      <c r="D704" s="26">
        <v>3.9E7</v>
      </c>
      <c r="F704" s="26" t="s">
        <v>2542</v>
      </c>
    </row>
    <row r="705">
      <c r="A705" s="27">
        <v>45866.0</v>
      </c>
      <c r="B705" s="26" t="s">
        <v>3209</v>
      </c>
      <c r="C705" s="26" t="s">
        <v>255</v>
      </c>
      <c r="D705" s="26">
        <v>4.0E7</v>
      </c>
      <c r="F705" s="26" t="s">
        <v>2542</v>
      </c>
    </row>
    <row r="706">
      <c r="A706" s="27">
        <v>45866.0</v>
      </c>
      <c r="B706" s="26" t="s">
        <v>3210</v>
      </c>
      <c r="C706" s="26" t="s">
        <v>255</v>
      </c>
      <c r="D706" s="26">
        <v>2160000.0</v>
      </c>
      <c r="F706" s="26" t="s">
        <v>2542</v>
      </c>
    </row>
    <row r="707">
      <c r="A707" s="27">
        <v>45866.0</v>
      </c>
      <c r="B707" s="26" t="s">
        <v>3109</v>
      </c>
      <c r="C707" s="28"/>
      <c r="D707" s="26">
        <v>9.9E7</v>
      </c>
      <c r="F707" s="26" t="s">
        <v>2542</v>
      </c>
    </row>
    <row r="708">
      <c r="A708" s="27">
        <v>45866.0</v>
      </c>
      <c r="B708" s="26" t="s">
        <v>3211</v>
      </c>
      <c r="C708" s="26" t="s">
        <v>2583</v>
      </c>
      <c r="D708" s="26">
        <v>221000.0</v>
      </c>
      <c r="F708" s="26" t="s">
        <v>2542</v>
      </c>
      <c r="G708" s="26">
        <v>641.24</v>
      </c>
    </row>
    <row r="709">
      <c r="A709" s="27">
        <v>45866.0</v>
      </c>
      <c r="B709" s="26" t="s">
        <v>3212</v>
      </c>
      <c r="C709" s="26" t="s">
        <v>2561</v>
      </c>
      <c r="D709" s="26">
        <v>600000.0</v>
      </c>
      <c r="F709" s="26" t="s">
        <v>2542</v>
      </c>
      <c r="G709" s="26">
        <v>331.0</v>
      </c>
    </row>
    <row r="710">
      <c r="A710" s="27">
        <v>45866.0</v>
      </c>
      <c r="B710" s="26" t="s">
        <v>3213</v>
      </c>
      <c r="C710" s="26" t="s">
        <v>2561</v>
      </c>
      <c r="D710" s="26">
        <v>1.3E8</v>
      </c>
      <c r="F710" s="26" t="s">
        <v>2542</v>
      </c>
      <c r="G710" s="26">
        <v>331.0</v>
      </c>
    </row>
    <row r="711">
      <c r="A711" s="27">
        <v>45864.0</v>
      </c>
      <c r="B711" s="26" t="s">
        <v>3214</v>
      </c>
      <c r="C711" s="26" t="s">
        <v>255</v>
      </c>
      <c r="D711" s="26">
        <v>4775000.0</v>
      </c>
      <c r="F711" s="26" t="s">
        <v>2542</v>
      </c>
    </row>
    <row r="712">
      <c r="A712" s="27">
        <v>45864.0</v>
      </c>
      <c r="B712" s="26" t="s">
        <v>3215</v>
      </c>
      <c r="C712" s="26" t="s">
        <v>255</v>
      </c>
      <c r="D712" s="26">
        <v>1152000.0</v>
      </c>
      <c r="F712" s="26" t="s">
        <v>2542</v>
      </c>
    </row>
    <row r="713">
      <c r="A713" s="27">
        <v>45864.0</v>
      </c>
      <c r="B713" s="26" t="s">
        <v>3216</v>
      </c>
      <c r="C713" s="26" t="s">
        <v>255</v>
      </c>
      <c r="D713" s="26">
        <v>1254000.0</v>
      </c>
      <c r="F713" s="26" t="s">
        <v>2542</v>
      </c>
    </row>
    <row r="714">
      <c r="A714" s="27">
        <v>45863.0</v>
      </c>
      <c r="B714" s="26" t="s">
        <v>3217</v>
      </c>
      <c r="C714" s="26" t="s">
        <v>255</v>
      </c>
      <c r="D714" s="26">
        <v>6380000.0</v>
      </c>
      <c r="F714" s="26" t="s">
        <v>2542</v>
      </c>
    </row>
    <row r="715">
      <c r="A715" s="27">
        <v>45863.0</v>
      </c>
      <c r="B715" s="26" t="s">
        <v>3218</v>
      </c>
      <c r="C715" s="26" t="s">
        <v>255</v>
      </c>
      <c r="D715" s="26">
        <v>3190000.0</v>
      </c>
      <c r="F715" s="26" t="s">
        <v>2542</v>
      </c>
    </row>
    <row r="716">
      <c r="A716" s="27">
        <v>45863.0</v>
      </c>
      <c r="B716" s="26" t="s">
        <v>3219</v>
      </c>
      <c r="C716" s="26" t="s">
        <v>255</v>
      </c>
      <c r="D716" s="26">
        <v>2880000.0</v>
      </c>
      <c r="F716" s="26" t="s">
        <v>2542</v>
      </c>
    </row>
    <row r="717">
      <c r="A717" s="27">
        <v>45863.0</v>
      </c>
      <c r="B717" s="26" t="s">
        <v>3220</v>
      </c>
      <c r="C717" s="26" t="s">
        <v>255</v>
      </c>
      <c r="D717" s="26">
        <v>1.2227908E7</v>
      </c>
      <c r="F717" s="26" t="s">
        <v>2542</v>
      </c>
    </row>
    <row r="718">
      <c r="A718" s="27">
        <v>45863.0</v>
      </c>
      <c r="B718" s="26" t="s">
        <v>3221</v>
      </c>
      <c r="C718" s="26" t="s">
        <v>255</v>
      </c>
      <c r="D718" s="26">
        <v>4752000.0</v>
      </c>
      <c r="F718" s="26" t="s">
        <v>2542</v>
      </c>
    </row>
    <row r="719">
      <c r="A719" s="27">
        <v>45863.0</v>
      </c>
      <c r="B719" s="26" t="s">
        <v>3222</v>
      </c>
      <c r="C719" s="26" t="s">
        <v>255</v>
      </c>
      <c r="D719" s="26">
        <v>3000000.0</v>
      </c>
      <c r="F719" s="26" t="s">
        <v>2542</v>
      </c>
    </row>
    <row r="720">
      <c r="A720" s="27">
        <v>45863.0</v>
      </c>
      <c r="B720" s="26" t="s">
        <v>3223</v>
      </c>
      <c r="C720" s="26" t="s">
        <v>2593</v>
      </c>
      <c r="D720" s="26">
        <v>225000.0</v>
      </c>
      <c r="F720" s="26" t="s">
        <v>2542</v>
      </c>
      <c r="G720" s="26">
        <v>6423.0</v>
      </c>
    </row>
    <row r="721">
      <c r="A721" s="27">
        <v>45862.0</v>
      </c>
      <c r="B721" s="26" t="s">
        <v>2586</v>
      </c>
      <c r="C721" s="26" t="s">
        <v>255</v>
      </c>
      <c r="D721" s="26">
        <v>2289.0</v>
      </c>
      <c r="F721" s="26" t="s">
        <v>2542</v>
      </c>
    </row>
    <row r="722">
      <c r="A722" s="27">
        <v>45862.0</v>
      </c>
      <c r="B722" s="26" t="s">
        <v>3224</v>
      </c>
      <c r="C722" s="26" t="s">
        <v>255</v>
      </c>
      <c r="D722" s="26">
        <v>840000.0</v>
      </c>
      <c r="F722" s="26" t="s">
        <v>2542</v>
      </c>
    </row>
    <row r="723">
      <c r="A723" s="27">
        <v>45862.0</v>
      </c>
      <c r="B723" s="26" t="s">
        <v>3225</v>
      </c>
      <c r="C723" s="26" t="s">
        <v>255</v>
      </c>
      <c r="D723" s="26">
        <v>1386000.0</v>
      </c>
      <c r="F723" s="26" t="s">
        <v>2542</v>
      </c>
    </row>
    <row r="724">
      <c r="A724" s="27">
        <v>45862.0</v>
      </c>
      <c r="B724" s="26" t="s">
        <v>3226</v>
      </c>
      <c r="C724" s="26" t="s">
        <v>2593</v>
      </c>
      <c r="D724" s="26">
        <v>143000.0</v>
      </c>
      <c r="F724" s="26" t="s">
        <v>2542</v>
      </c>
      <c r="G724" s="26">
        <v>6423.0</v>
      </c>
    </row>
    <row r="725">
      <c r="A725" s="27">
        <v>45862.0</v>
      </c>
      <c r="B725" s="26" t="s">
        <v>3227</v>
      </c>
      <c r="C725" s="26" t="s">
        <v>2583</v>
      </c>
      <c r="D725" s="26">
        <v>368000.0</v>
      </c>
      <c r="F725" s="26" t="s">
        <v>2542</v>
      </c>
      <c r="G725" s="26">
        <v>641.24</v>
      </c>
    </row>
    <row r="726">
      <c r="A726" s="27">
        <v>45862.0</v>
      </c>
      <c r="B726" s="26" t="s">
        <v>3228</v>
      </c>
      <c r="C726" s="26" t="s">
        <v>2561</v>
      </c>
      <c r="D726" s="26">
        <v>441000.0</v>
      </c>
      <c r="F726" s="26" t="s">
        <v>2542</v>
      </c>
      <c r="G726" s="26">
        <v>331.0</v>
      </c>
    </row>
    <row r="727">
      <c r="A727" s="27">
        <v>45862.0</v>
      </c>
      <c r="B727" s="26" t="s">
        <v>3229</v>
      </c>
      <c r="C727" s="26" t="s">
        <v>2561</v>
      </c>
      <c r="D727" s="26">
        <v>20000.0</v>
      </c>
      <c r="F727" s="26" t="s">
        <v>2542</v>
      </c>
      <c r="G727" s="26">
        <v>331.0</v>
      </c>
    </row>
    <row r="728">
      <c r="A728" s="27">
        <v>45862.0</v>
      </c>
      <c r="B728" s="26" t="s">
        <v>3230</v>
      </c>
      <c r="C728" s="26" t="s">
        <v>2561</v>
      </c>
      <c r="D728" s="26">
        <v>320000.0</v>
      </c>
      <c r="F728" s="26" t="s">
        <v>2542</v>
      </c>
      <c r="G728" s="26">
        <v>331.0</v>
      </c>
    </row>
    <row r="729">
      <c r="A729" s="27">
        <v>45861.0</v>
      </c>
      <c r="B729" s="26" t="s">
        <v>3231</v>
      </c>
      <c r="C729" s="26" t="s">
        <v>255</v>
      </c>
      <c r="D729" s="26">
        <v>3665000.0</v>
      </c>
      <c r="F729" s="26" t="s">
        <v>2542</v>
      </c>
    </row>
    <row r="730">
      <c r="A730" s="27">
        <v>45861.0</v>
      </c>
      <c r="B730" s="26" t="s">
        <v>3232</v>
      </c>
      <c r="C730" s="26" t="s">
        <v>255</v>
      </c>
      <c r="D730" s="26">
        <v>3190000.0</v>
      </c>
      <c r="F730" s="26" t="s">
        <v>2542</v>
      </c>
    </row>
    <row r="731">
      <c r="A731" s="27">
        <v>45861.0</v>
      </c>
      <c r="B731" s="26" t="s">
        <v>3233</v>
      </c>
      <c r="C731" s="26" t="s">
        <v>2561</v>
      </c>
      <c r="D731" s="26">
        <v>1200000.0</v>
      </c>
      <c r="F731" s="26" t="s">
        <v>2542</v>
      </c>
      <c r="G731" s="26">
        <v>331.0</v>
      </c>
    </row>
    <row r="732">
      <c r="A732" s="27">
        <v>45861.0</v>
      </c>
      <c r="B732" s="26" t="s">
        <v>3234</v>
      </c>
      <c r="C732" s="26" t="s">
        <v>2593</v>
      </c>
      <c r="D732" s="26">
        <v>120000.0</v>
      </c>
      <c r="F732" s="26" t="s">
        <v>2542</v>
      </c>
      <c r="G732" s="26">
        <v>6423.0</v>
      </c>
    </row>
    <row r="733">
      <c r="A733" s="27">
        <v>45860.0</v>
      </c>
      <c r="B733" s="26" t="s">
        <v>3235</v>
      </c>
      <c r="C733" s="26" t="s">
        <v>255</v>
      </c>
      <c r="D733" s="26">
        <v>3000000.0</v>
      </c>
      <c r="F733" s="26" t="s">
        <v>2542</v>
      </c>
    </row>
    <row r="734">
      <c r="A734" s="27">
        <v>45860.0</v>
      </c>
      <c r="B734" s="26" t="s">
        <v>3236</v>
      </c>
      <c r="C734" s="26" t="s">
        <v>255</v>
      </c>
      <c r="D734" s="26">
        <v>2880000.0</v>
      </c>
      <c r="F734" s="26" t="s">
        <v>2542</v>
      </c>
    </row>
    <row r="735">
      <c r="A735" s="27">
        <v>45860.0</v>
      </c>
      <c r="B735" s="26" t="s">
        <v>3237</v>
      </c>
      <c r="C735" s="26" t="s">
        <v>255</v>
      </c>
      <c r="D735" s="26">
        <v>2304000.0</v>
      </c>
      <c r="F735" s="26" t="s">
        <v>2542</v>
      </c>
    </row>
    <row r="736">
      <c r="A736" s="27">
        <v>45860.0</v>
      </c>
      <c r="B736" s="26" t="s">
        <v>3238</v>
      </c>
      <c r="C736" s="26" t="s">
        <v>255</v>
      </c>
      <c r="D736" s="26">
        <v>1600000.0</v>
      </c>
      <c r="F736" s="26" t="s">
        <v>2542</v>
      </c>
    </row>
    <row r="737">
      <c r="A737" s="27">
        <v>45860.0</v>
      </c>
      <c r="B737" s="26" t="s">
        <v>3235</v>
      </c>
      <c r="C737" s="28"/>
      <c r="D737" s="26">
        <v>3000000.0</v>
      </c>
      <c r="F737" s="26" t="s">
        <v>2542</v>
      </c>
    </row>
    <row r="738">
      <c r="A738" s="27">
        <v>45860.0</v>
      </c>
      <c r="B738" s="26" t="s">
        <v>3109</v>
      </c>
      <c r="C738" s="28"/>
      <c r="D738" s="26">
        <v>3000000.0</v>
      </c>
      <c r="F738" s="26" t="s">
        <v>2542</v>
      </c>
    </row>
    <row r="739">
      <c r="A739" s="27">
        <v>45860.0</v>
      </c>
      <c r="B739" s="26" t="s">
        <v>3239</v>
      </c>
      <c r="C739" s="26" t="s">
        <v>2561</v>
      </c>
      <c r="D739" s="26">
        <v>9366300.0</v>
      </c>
      <c r="F739" s="26" t="s">
        <v>2542</v>
      </c>
      <c r="G739" s="26">
        <v>331.0</v>
      </c>
    </row>
    <row r="740">
      <c r="A740" s="27">
        <v>45860.0</v>
      </c>
      <c r="B740" s="26" t="s">
        <v>3240</v>
      </c>
      <c r="C740" s="26" t="s">
        <v>2561</v>
      </c>
      <c r="D740" s="26">
        <v>2224800.0</v>
      </c>
      <c r="F740" s="26" t="s">
        <v>2542</v>
      </c>
      <c r="G740" s="26">
        <v>331.0</v>
      </c>
    </row>
    <row r="741">
      <c r="A741" s="27">
        <v>45859.0</v>
      </c>
      <c r="B741" s="26" t="s">
        <v>3241</v>
      </c>
      <c r="C741" s="26" t="s">
        <v>255</v>
      </c>
      <c r="D741" s="26">
        <v>1450000.0</v>
      </c>
      <c r="F741" s="26" t="s">
        <v>2542</v>
      </c>
    </row>
    <row r="742">
      <c r="A742" s="27">
        <v>45859.0</v>
      </c>
      <c r="B742" s="26" t="s">
        <v>3242</v>
      </c>
      <c r="C742" s="26" t="s">
        <v>255</v>
      </c>
      <c r="D742" s="26">
        <v>1875000.0</v>
      </c>
      <c r="F742" s="26" t="s">
        <v>2542</v>
      </c>
    </row>
    <row r="743">
      <c r="A743" s="27">
        <v>45859.0</v>
      </c>
      <c r="B743" s="26" t="s">
        <v>3243</v>
      </c>
      <c r="C743" s="26" t="s">
        <v>255</v>
      </c>
      <c r="D743" s="26">
        <v>3580000.0</v>
      </c>
      <c r="F743" s="26" t="s">
        <v>2542</v>
      </c>
    </row>
    <row r="744">
      <c r="A744" s="27">
        <v>45859.0</v>
      </c>
      <c r="B744" s="26" t="s">
        <v>3244</v>
      </c>
      <c r="C744" s="26" t="s">
        <v>255</v>
      </c>
      <c r="D744" s="26">
        <v>1188000.0</v>
      </c>
      <c r="F744" s="26" t="s">
        <v>2542</v>
      </c>
    </row>
    <row r="745">
      <c r="A745" s="27">
        <v>45859.0</v>
      </c>
      <c r="B745" s="26" t="s">
        <v>3109</v>
      </c>
      <c r="C745" s="28"/>
      <c r="D745" s="26">
        <v>1500000.0</v>
      </c>
      <c r="F745" s="26" t="s">
        <v>2542</v>
      </c>
    </row>
    <row r="746">
      <c r="A746" s="27">
        <v>45859.0</v>
      </c>
      <c r="B746" s="26" t="s">
        <v>3245</v>
      </c>
      <c r="C746" s="26" t="s">
        <v>2561</v>
      </c>
      <c r="D746" s="26">
        <v>3.0E7</v>
      </c>
      <c r="F746" s="26" t="s">
        <v>2542</v>
      </c>
      <c r="G746" s="26">
        <v>331.0</v>
      </c>
    </row>
    <row r="747">
      <c r="A747" s="27">
        <v>45859.0</v>
      </c>
      <c r="B747" s="26" t="s">
        <v>3246</v>
      </c>
      <c r="C747" s="26" t="s">
        <v>2593</v>
      </c>
      <c r="D747" s="26">
        <v>230000.0</v>
      </c>
      <c r="F747" s="26" t="s">
        <v>2542</v>
      </c>
      <c r="G747" s="26">
        <v>6423.0</v>
      </c>
    </row>
    <row r="748">
      <c r="A748" s="27">
        <v>45857.0</v>
      </c>
      <c r="B748" s="26" t="s">
        <v>3247</v>
      </c>
      <c r="C748" s="26" t="s">
        <v>255</v>
      </c>
      <c r="D748" s="26">
        <v>1267200.0</v>
      </c>
      <c r="F748" s="26" t="s">
        <v>2542</v>
      </c>
    </row>
    <row r="749">
      <c r="A749" s="27">
        <v>45857.0</v>
      </c>
      <c r="B749" s="26" t="s">
        <v>3248</v>
      </c>
      <c r="C749" s="26" t="s">
        <v>255</v>
      </c>
      <c r="D749" s="26">
        <v>2.00952E7</v>
      </c>
      <c r="F749" s="26" t="s">
        <v>2542</v>
      </c>
    </row>
    <row r="750">
      <c r="A750" s="27">
        <v>45857.0</v>
      </c>
      <c r="B750" s="26" t="s">
        <v>3249</v>
      </c>
      <c r="C750" s="26" t="s">
        <v>2764</v>
      </c>
      <c r="D750" s="26">
        <v>5700000.0</v>
      </c>
      <c r="F750" s="26" t="s">
        <v>2542</v>
      </c>
      <c r="G750" s="26">
        <v>6273.0</v>
      </c>
    </row>
    <row r="751">
      <c r="A751" s="27">
        <v>45856.0</v>
      </c>
      <c r="B751" s="26" t="s">
        <v>3250</v>
      </c>
      <c r="C751" s="26" t="s">
        <v>255</v>
      </c>
      <c r="D751" s="26">
        <v>4028940.0</v>
      </c>
      <c r="F751" s="26" t="s">
        <v>2542</v>
      </c>
    </row>
    <row r="752">
      <c r="A752" s="27">
        <v>45856.0</v>
      </c>
      <c r="B752" s="26" t="s">
        <v>3251</v>
      </c>
      <c r="C752" s="26" t="s">
        <v>2574</v>
      </c>
      <c r="D752" s="26">
        <v>4028940.0</v>
      </c>
      <c r="F752" s="26" t="s">
        <v>2542</v>
      </c>
      <c r="G752" s="26">
        <v>331.0</v>
      </c>
    </row>
    <row r="753">
      <c r="A753" s="27">
        <v>45856.0</v>
      </c>
      <c r="B753" s="26" t="s">
        <v>3252</v>
      </c>
      <c r="C753" s="26" t="s">
        <v>2583</v>
      </c>
      <c r="D753" s="26">
        <v>1688495.0</v>
      </c>
      <c r="F753" s="26" t="s">
        <v>2542</v>
      </c>
      <c r="G753" s="26">
        <v>641.23</v>
      </c>
    </row>
    <row r="754">
      <c r="A754" s="27">
        <v>45856.0</v>
      </c>
      <c r="B754" s="26" t="s">
        <v>3253</v>
      </c>
      <c r="C754" s="26" t="s">
        <v>2583</v>
      </c>
      <c r="D754" s="26">
        <v>900000.0</v>
      </c>
      <c r="F754" s="26" t="s">
        <v>2542</v>
      </c>
      <c r="G754" s="26">
        <v>641.23</v>
      </c>
    </row>
    <row r="755">
      <c r="A755" s="27">
        <v>45855.0</v>
      </c>
      <c r="B755" s="26" t="s">
        <v>3254</v>
      </c>
      <c r="C755" s="26" t="s">
        <v>255</v>
      </c>
      <c r="D755" s="26">
        <v>2304000.0</v>
      </c>
      <c r="F755" s="26" t="s">
        <v>2542</v>
      </c>
    </row>
    <row r="756">
      <c r="A756" s="27">
        <v>45855.0</v>
      </c>
      <c r="B756" s="26" t="s">
        <v>3255</v>
      </c>
      <c r="C756" s="26" t="s">
        <v>255</v>
      </c>
      <c r="D756" s="26">
        <v>1600000.0</v>
      </c>
      <c r="F756" s="26" t="s">
        <v>2542</v>
      </c>
    </row>
    <row r="757">
      <c r="A757" s="27">
        <v>45855.0</v>
      </c>
      <c r="B757" s="26" t="s">
        <v>3256</v>
      </c>
      <c r="C757" s="26" t="s">
        <v>255</v>
      </c>
      <c r="D757" s="26">
        <v>2304000.0</v>
      </c>
      <c r="F757" s="26" t="s">
        <v>2542</v>
      </c>
    </row>
    <row r="758">
      <c r="A758" s="27">
        <v>45855.0</v>
      </c>
      <c r="B758" s="26" t="s">
        <v>3257</v>
      </c>
      <c r="C758" s="26" t="s">
        <v>255</v>
      </c>
      <c r="D758" s="26">
        <v>1152000.0</v>
      </c>
      <c r="F758" s="26" t="s">
        <v>2542</v>
      </c>
    </row>
    <row r="759">
      <c r="A759" s="27">
        <v>45855.0</v>
      </c>
      <c r="B759" s="26" t="s">
        <v>3258</v>
      </c>
      <c r="C759" s="26" t="s">
        <v>255</v>
      </c>
      <c r="D759" s="26">
        <v>1152000.0</v>
      </c>
      <c r="F759" s="26" t="s">
        <v>2542</v>
      </c>
    </row>
    <row r="760">
      <c r="A760" s="27">
        <v>45855.0</v>
      </c>
      <c r="B760" s="26" t="s">
        <v>3259</v>
      </c>
      <c r="C760" s="26" t="s">
        <v>255</v>
      </c>
      <c r="D760" s="26">
        <v>6912000.0</v>
      </c>
      <c r="F760" s="26" t="s">
        <v>2542</v>
      </c>
    </row>
    <row r="761">
      <c r="A761" s="27">
        <v>45855.0</v>
      </c>
      <c r="B761" s="26" t="s">
        <v>3260</v>
      </c>
      <c r="C761" s="26" t="s">
        <v>255</v>
      </c>
      <c r="D761" s="26">
        <v>358000.0</v>
      </c>
      <c r="F761" s="26" t="s">
        <v>2542</v>
      </c>
    </row>
    <row r="762">
      <c r="A762" s="27">
        <v>45855.0</v>
      </c>
      <c r="B762" s="26" t="s">
        <v>3261</v>
      </c>
      <c r="C762" s="26" t="s">
        <v>255</v>
      </c>
      <c r="D762" s="26">
        <v>5370000.0</v>
      </c>
      <c r="F762" s="26" t="s">
        <v>2542</v>
      </c>
    </row>
    <row r="763">
      <c r="A763" s="27">
        <v>45855.0</v>
      </c>
      <c r="B763" s="26" t="s">
        <v>2640</v>
      </c>
      <c r="C763" s="26" t="s">
        <v>255</v>
      </c>
      <c r="D763" s="26">
        <v>1188000.0</v>
      </c>
      <c r="F763" s="26" t="s">
        <v>2542</v>
      </c>
    </row>
    <row r="764">
      <c r="A764" s="27">
        <v>45855.0</v>
      </c>
      <c r="B764" s="26" t="s">
        <v>3262</v>
      </c>
      <c r="C764" s="26" t="s">
        <v>255</v>
      </c>
      <c r="D764" s="26">
        <v>1152000.0</v>
      </c>
      <c r="F764" s="26" t="s">
        <v>2542</v>
      </c>
    </row>
    <row r="765">
      <c r="A765" s="27">
        <v>45855.0</v>
      </c>
      <c r="B765" s="26" t="s">
        <v>3263</v>
      </c>
      <c r="C765" s="26" t="s">
        <v>2583</v>
      </c>
      <c r="D765" s="26">
        <v>390000.0</v>
      </c>
      <c r="F765" s="26" t="s">
        <v>2542</v>
      </c>
      <c r="G765" s="26">
        <v>641.13</v>
      </c>
    </row>
    <row r="766">
      <c r="A766" s="27">
        <v>45855.0</v>
      </c>
      <c r="B766" s="26" t="s">
        <v>3264</v>
      </c>
      <c r="C766" s="26" t="s">
        <v>2574</v>
      </c>
      <c r="D766" s="26">
        <v>6290460.0</v>
      </c>
      <c r="F766" s="26" t="s">
        <v>2542</v>
      </c>
      <c r="G766" s="26">
        <v>331.0</v>
      </c>
    </row>
    <row r="767">
      <c r="A767" s="27">
        <v>45855.0</v>
      </c>
      <c r="B767" s="26" t="s">
        <v>3265</v>
      </c>
      <c r="C767" s="26" t="s">
        <v>2545</v>
      </c>
      <c r="D767" s="26">
        <v>9736800.0</v>
      </c>
      <c r="F767" s="26" t="s">
        <v>2542</v>
      </c>
      <c r="G767" s="26">
        <v>3348.0</v>
      </c>
    </row>
    <row r="768">
      <c r="A768" s="27">
        <v>45855.0</v>
      </c>
      <c r="B768" s="26" t="s">
        <v>3266</v>
      </c>
      <c r="C768" s="26" t="s">
        <v>2545</v>
      </c>
      <c r="D768" s="26">
        <v>4670500.0</v>
      </c>
      <c r="F768" s="26" t="s">
        <v>2542</v>
      </c>
      <c r="G768" s="26">
        <v>3348.0</v>
      </c>
    </row>
    <row r="769">
      <c r="A769" s="27">
        <v>45855.0</v>
      </c>
      <c r="B769" s="26" t="s">
        <v>3267</v>
      </c>
      <c r="C769" s="26" t="s">
        <v>2561</v>
      </c>
      <c r="D769" s="26">
        <v>6858000.0</v>
      </c>
      <c r="F769" s="26" t="s">
        <v>2542</v>
      </c>
      <c r="G769" s="26">
        <v>331.0</v>
      </c>
    </row>
    <row r="770">
      <c r="A770" s="27">
        <v>45854.0</v>
      </c>
      <c r="B770" s="26" t="s">
        <v>3268</v>
      </c>
      <c r="C770" s="26" t="s">
        <v>255</v>
      </c>
      <c r="D770" s="26">
        <v>2640000.0</v>
      </c>
      <c r="F770" s="26" t="s">
        <v>2542</v>
      </c>
    </row>
    <row r="771">
      <c r="A771" s="27">
        <v>45854.0</v>
      </c>
      <c r="B771" s="26" t="s">
        <v>3269</v>
      </c>
      <c r="C771" s="26" t="s">
        <v>2561</v>
      </c>
      <c r="D771" s="26">
        <v>4000000.0</v>
      </c>
      <c r="F771" s="26" t="s">
        <v>2542</v>
      </c>
      <c r="G771" s="26">
        <v>331.0</v>
      </c>
    </row>
    <row r="772">
      <c r="A772" s="27">
        <v>45854.0</v>
      </c>
      <c r="B772" s="26" t="s">
        <v>3270</v>
      </c>
      <c r="C772" s="26" t="s">
        <v>2564</v>
      </c>
      <c r="D772" s="26">
        <v>72.134</v>
      </c>
      <c r="F772" s="26" t="s">
        <v>2542</v>
      </c>
      <c r="G772" s="26">
        <v>3332.0</v>
      </c>
    </row>
    <row r="773">
      <c r="A773" s="27">
        <v>45854.0</v>
      </c>
      <c r="B773" s="26" t="s">
        <v>3271</v>
      </c>
      <c r="C773" s="26" t="s">
        <v>2564</v>
      </c>
      <c r="D773" s="26" t="s">
        <v>3272</v>
      </c>
      <c r="F773" s="26" t="s">
        <v>2542</v>
      </c>
      <c r="G773" s="26">
        <v>3332.0</v>
      </c>
    </row>
    <row r="774">
      <c r="A774" s="27">
        <v>45853.0</v>
      </c>
      <c r="B774" s="26" t="s">
        <v>3273</v>
      </c>
      <c r="C774" s="26" t="s">
        <v>255</v>
      </c>
      <c r="D774" s="26">
        <v>900000.0</v>
      </c>
      <c r="F774" s="26" t="s">
        <v>2542</v>
      </c>
    </row>
    <row r="775">
      <c r="A775" s="27">
        <v>45853.0</v>
      </c>
      <c r="B775" s="26" t="s">
        <v>3274</v>
      </c>
      <c r="C775" s="26" t="s">
        <v>255</v>
      </c>
      <c r="D775" s="26">
        <v>1790000.0</v>
      </c>
      <c r="F775" s="26" t="s">
        <v>2542</v>
      </c>
    </row>
    <row r="776">
      <c r="A776" s="27">
        <v>45853.0</v>
      </c>
      <c r="B776" s="26" t="s">
        <v>3275</v>
      </c>
      <c r="C776" s="26" t="s">
        <v>255</v>
      </c>
      <c r="D776" s="26">
        <v>272000.0</v>
      </c>
      <c r="F776" s="26" t="s">
        <v>2542</v>
      </c>
    </row>
    <row r="777">
      <c r="A777" s="27">
        <v>45853.0</v>
      </c>
      <c r="B777" s="26" t="s">
        <v>3276</v>
      </c>
      <c r="C777" s="26" t="s">
        <v>255</v>
      </c>
      <c r="D777" s="26">
        <v>3251600.0</v>
      </c>
      <c r="F777" s="26" t="s">
        <v>2542</v>
      </c>
    </row>
    <row r="778">
      <c r="A778" s="27">
        <v>45853.0</v>
      </c>
      <c r="B778" s="26" t="s">
        <v>3277</v>
      </c>
      <c r="C778" s="26" t="s">
        <v>2545</v>
      </c>
      <c r="D778" s="26">
        <v>1.2E7</v>
      </c>
      <c r="F778" s="26" t="s">
        <v>2542</v>
      </c>
      <c r="G778" s="26">
        <v>3341.0</v>
      </c>
    </row>
    <row r="779">
      <c r="A779" s="27">
        <v>45853.0</v>
      </c>
      <c r="B779" s="26" t="s">
        <v>3278</v>
      </c>
      <c r="C779" s="26" t="s">
        <v>2545</v>
      </c>
      <c r="D779" s="26">
        <v>1.2E7</v>
      </c>
      <c r="F779" s="26" t="s">
        <v>2542</v>
      </c>
      <c r="G779" s="26">
        <v>3341.0</v>
      </c>
    </row>
    <row r="780">
      <c r="A780" s="27">
        <v>45853.0</v>
      </c>
      <c r="B780" s="26" t="s">
        <v>3279</v>
      </c>
      <c r="C780" s="26" t="s">
        <v>2561</v>
      </c>
      <c r="D780" s="26">
        <v>9669000.0</v>
      </c>
      <c r="F780" s="26" t="s">
        <v>2542</v>
      </c>
      <c r="G780" s="26">
        <v>331.0</v>
      </c>
    </row>
    <row r="781">
      <c r="A781" s="27">
        <v>45852.0</v>
      </c>
      <c r="B781" s="26" t="s">
        <v>3280</v>
      </c>
      <c r="C781" s="26" t="s">
        <v>255</v>
      </c>
      <c r="D781" s="26">
        <v>1440000.0</v>
      </c>
      <c r="F781" s="26" t="s">
        <v>2542</v>
      </c>
    </row>
    <row r="782">
      <c r="A782" s="27">
        <v>45852.0</v>
      </c>
      <c r="B782" s="26" t="s">
        <v>3281</v>
      </c>
      <c r="C782" s="26" t="s">
        <v>255</v>
      </c>
      <c r="D782" s="26">
        <v>1600000.0</v>
      </c>
      <c r="F782" s="26" t="s">
        <v>2542</v>
      </c>
    </row>
    <row r="783">
      <c r="A783" s="27">
        <v>45852.0</v>
      </c>
      <c r="B783" s="26" t="s">
        <v>3282</v>
      </c>
      <c r="C783" s="26" t="s">
        <v>255</v>
      </c>
      <c r="D783" s="26">
        <v>3624000.0</v>
      </c>
      <c r="F783" s="26" t="s">
        <v>2542</v>
      </c>
    </row>
    <row r="784">
      <c r="A784" s="27">
        <v>45852.0</v>
      </c>
      <c r="B784" s="26" t="s">
        <v>3283</v>
      </c>
      <c r="C784" s="26" t="s">
        <v>255</v>
      </c>
      <c r="D784" s="26">
        <v>1600000.0</v>
      </c>
      <c r="F784" s="26" t="s">
        <v>2542</v>
      </c>
    </row>
    <row r="785">
      <c r="A785" s="27">
        <v>45852.0</v>
      </c>
      <c r="B785" s="26" t="s">
        <v>3284</v>
      </c>
      <c r="C785" s="26" t="s">
        <v>255</v>
      </c>
      <c r="D785" s="26">
        <v>3456000.0</v>
      </c>
      <c r="F785" s="26" t="s">
        <v>2542</v>
      </c>
    </row>
    <row r="786">
      <c r="A786" s="27">
        <v>45852.0</v>
      </c>
      <c r="B786" s="26" t="s">
        <v>3285</v>
      </c>
      <c r="C786" s="26" t="s">
        <v>255</v>
      </c>
      <c r="D786" s="26">
        <v>2304000.0</v>
      </c>
      <c r="F786" s="26" t="s">
        <v>2542</v>
      </c>
    </row>
    <row r="787">
      <c r="A787" s="27">
        <v>45852.0</v>
      </c>
      <c r="B787" s="26" t="s">
        <v>3286</v>
      </c>
      <c r="C787" s="26" t="s">
        <v>255</v>
      </c>
      <c r="D787" s="26">
        <v>1152000.0</v>
      </c>
      <c r="F787" s="26" t="s">
        <v>2542</v>
      </c>
    </row>
    <row r="788">
      <c r="A788" s="27">
        <v>45852.0</v>
      </c>
      <c r="B788" s="26" t="s">
        <v>3287</v>
      </c>
      <c r="C788" s="26" t="s">
        <v>255</v>
      </c>
      <c r="D788" s="26">
        <v>8590000.0</v>
      </c>
      <c r="F788" s="26" t="s">
        <v>2542</v>
      </c>
    </row>
    <row r="789">
      <c r="A789" s="27">
        <v>45852.0</v>
      </c>
      <c r="B789" s="26" t="s">
        <v>3288</v>
      </c>
      <c r="C789" s="26" t="s">
        <v>255</v>
      </c>
      <c r="D789" s="26">
        <v>9440000.0</v>
      </c>
      <c r="F789" s="26" t="s">
        <v>2542</v>
      </c>
    </row>
    <row r="790">
      <c r="A790" s="27">
        <v>45852.0</v>
      </c>
      <c r="B790" s="26" t="s">
        <v>2668</v>
      </c>
      <c r="C790" s="26" t="s">
        <v>255</v>
      </c>
      <c r="D790" s="26">
        <v>1188000.0</v>
      </c>
      <c r="F790" s="26" t="s">
        <v>2542</v>
      </c>
    </row>
    <row r="791">
      <c r="A791" s="27">
        <v>45852.0</v>
      </c>
      <c r="B791" s="26" t="s">
        <v>3289</v>
      </c>
      <c r="C791" s="26" t="s">
        <v>255</v>
      </c>
      <c r="D791" s="26">
        <v>1188000.0</v>
      </c>
      <c r="F791" s="26" t="s">
        <v>2542</v>
      </c>
    </row>
    <row r="792">
      <c r="A792" s="27">
        <v>45852.0</v>
      </c>
      <c r="B792" s="26" t="s">
        <v>3290</v>
      </c>
      <c r="C792" s="26" t="s">
        <v>2571</v>
      </c>
      <c r="D792" s="26">
        <v>80000.0</v>
      </c>
      <c r="F792" s="26" t="s">
        <v>2542</v>
      </c>
      <c r="G792" s="26">
        <v>641.22</v>
      </c>
    </row>
    <row r="793">
      <c r="A793" s="27">
        <v>45852.0</v>
      </c>
      <c r="B793" s="26" t="s">
        <v>3291</v>
      </c>
      <c r="C793" s="26" t="s">
        <v>2571</v>
      </c>
      <c r="D793" s="26">
        <v>2680000.0</v>
      </c>
      <c r="F793" s="26" t="s">
        <v>2542</v>
      </c>
      <c r="G793" s="26">
        <v>641.16</v>
      </c>
    </row>
    <row r="794">
      <c r="A794" s="27">
        <v>45852.0</v>
      </c>
      <c r="B794" s="26" t="s">
        <v>3292</v>
      </c>
      <c r="C794" s="26" t="s">
        <v>2561</v>
      </c>
      <c r="D794" s="26">
        <v>6500000.0</v>
      </c>
      <c r="F794" s="26" t="s">
        <v>2542</v>
      </c>
      <c r="G794" s="26">
        <v>331.0</v>
      </c>
    </row>
    <row r="795">
      <c r="A795" s="27">
        <v>45850.0</v>
      </c>
      <c r="B795" s="26" t="s">
        <v>3293</v>
      </c>
      <c r="C795" s="26" t="s">
        <v>255</v>
      </c>
      <c r="D795" s="26">
        <v>9623625.0</v>
      </c>
      <c r="F795" s="26" t="s">
        <v>2542</v>
      </c>
    </row>
    <row r="796">
      <c r="A796" s="27">
        <v>45849.0</v>
      </c>
      <c r="B796" s="26" t="s">
        <v>3294</v>
      </c>
      <c r="C796" s="26" t="s">
        <v>255</v>
      </c>
      <c r="D796" s="26">
        <v>1188000.0</v>
      </c>
      <c r="F796" s="26" t="s">
        <v>2542</v>
      </c>
    </row>
    <row r="797">
      <c r="A797" s="27">
        <v>45849.0</v>
      </c>
      <c r="B797" s="26" t="s">
        <v>3295</v>
      </c>
      <c r="C797" s="26" t="s">
        <v>255</v>
      </c>
      <c r="D797" s="26">
        <v>1080000.0</v>
      </c>
      <c r="F797" s="26" t="s">
        <v>2542</v>
      </c>
    </row>
    <row r="798">
      <c r="A798" s="27">
        <v>45849.0</v>
      </c>
      <c r="B798" s="26" t="s">
        <v>3296</v>
      </c>
      <c r="C798" s="26" t="s">
        <v>255</v>
      </c>
      <c r="D798" s="26">
        <v>1080000.0</v>
      </c>
      <c r="F798" s="26" t="s">
        <v>2542</v>
      </c>
    </row>
    <row r="799">
      <c r="A799" s="27">
        <v>45849.0</v>
      </c>
      <c r="B799" s="26" t="s">
        <v>3297</v>
      </c>
      <c r="C799" s="26" t="s">
        <v>255</v>
      </c>
      <c r="D799" s="26">
        <v>8558400.0</v>
      </c>
      <c r="F799" s="26" t="s">
        <v>2542</v>
      </c>
    </row>
    <row r="800">
      <c r="A800" s="27">
        <v>45849.0</v>
      </c>
      <c r="B800" s="26" t="s">
        <v>3298</v>
      </c>
      <c r="C800" s="26" t="s">
        <v>255</v>
      </c>
      <c r="D800" s="26">
        <v>7865000.0</v>
      </c>
      <c r="F800" s="26" t="s">
        <v>2542</v>
      </c>
    </row>
    <row r="801">
      <c r="A801" s="27">
        <v>45849.0</v>
      </c>
      <c r="B801" s="26" t="s">
        <v>3299</v>
      </c>
      <c r="C801" s="26" t="s">
        <v>255</v>
      </c>
      <c r="D801" s="26">
        <v>1.0785117E7</v>
      </c>
      <c r="F801" s="26" t="s">
        <v>2542</v>
      </c>
    </row>
    <row r="802">
      <c r="A802" s="27">
        <v>45849.0</v>
      </c>
      <c r="B802" s="26" t="s">
        <v>3300</v>
      </c>
      <c r="C802" s="26" t="s">
        <v>255</v>
      </c>
      <c r="D802" s="26">
        <v>1595000.0</v>
      </c>
      <c r="F802" s="26" t="s">
        <v>2542</v>
      </c>
    </row>
    <row r="803">
      <c r="A803" s="27">
        <v>45849.0</v>
      </c>
      <c r="B803" s="26" t="s">
        <v>3301</v>
      </c>
      <c r="C803" s="26" t="s">
        <v>255</v>
      </c>
      <c r="D803" s="26">
        <v>1595000.0</v>
      </c>
      <c r="F803" s="26" t="s">
        <v>2542</v>
      </c>
    </row>
    <row r="804">
      <c r="A804" s="27">
        <v>45849.0</v>
      </c>
      <c r="B804" s="26" t="s">
        <v>3302</v>
      </c>
      <c r="C804" s="26" t="s">
        <v>2571</v>
      </c>
      <c r="D804" s="26">
        <v>1069000.0</v>
      </c>
      <c r="F804" s="26" t="s">
        <v>2542</v>
      </c>
      <c r="G804" s="26">
        <v>641.22</v>
      </c>
    </row>
    <row r="805">
      <c r="A805" s="27">
        <v>45849.0</v>
      </c>
      <c r="B805" s="26" t="s">
        <v>3303</v>
      </c>
      <c r="C805" s="26" t="s">
        <v>2593</v>
      </c>
      <c r="D805" s="26">
        <v>420000.0</v>
      </c>
      <c r="F805" s="26" t="s">
        <v>2542</v>
      </c>
      <c r="G805" s="26">
        <v>6423.0</v>
      </c>
    </row>
    <row r="806">
      <c r="A806" s="27">
        <v>45849.0</v>
      </c>
      <c r="B806" s="26" t="s">
        <v>3304</v>
      </c>
      <c r="C806" s="26" t="s">
        <v>2571</v>
      </c>
      <c r="D806" s="26">
        <v>370000.0</v>
      </c>
      <c r="F806" s="26" t="s">
        <v>2542</v>
      </c>
      <c r="G806" s="26">
        <v>641.22</v>
      </c>
    </row>
    <row r="807">
      <c r="A807" s="27">
        <v>45849.0</v>
      </c>
      <c r="B807" s="26" t="s">
        <v>3305</v>
      </c>
      <c r="C807" s="26" t="s">
        <v>2593</v>
      </c>
      <c r="D807" s="26">
        <v>186000.0</v>
      </c>
      <c r="F807" s="26" t="s">
        <v>2542</v>
      </c>
      <c r="G807" s="26">
        <v>6423.0</v>
      </c>
    </row>
    <row r="808">
      <c r="A808" s="27">
        <v>45848.0</v>
      </c>
      <c r="B808" s="26" t="s">
        <v>3306</v>
      </c>
      <c r="C808" s="26" t="s">
        <v>255</v>
      </c>
      <c r="D808" s="26">
        <v>1320000.0</v>
      </c>
      <c r="F808" s="26" t="s">
        <v>2542</v>
      </c>
    </row>
    <row r="809">
      <c r="A809" s="27">
        <v>45848.0</v>
      </c>
      <c r="B809" s="26" t="s">
        <v>3307</v>
      </c>
      <c r="C809" s="26" t="s">
        <v>255</v>
      </c>
      <c r="D809" s="26">
        <v>1080000.0</v>
      </c>
      <c r="F809" s="26" t="s">
        <v>2542</v>
      </c>
    </row>
    <row r="810">
      <c r="A810" s="27">
        <v>45848.0</v>
      </c>
      <c r="B810" s="26" t="s">
        <v>3308</v>
      </c>
      <c r="C810" s="26" t="s">
        <v>255</v>
      </c>
      <c r="D810" s="26">
        <v>2380000.0</v>
      </c>
      <c r="F810" s="26" t="s">
        <v>2542</v>
      </c>
    </row>
    <row r="811">
      <c r="A811" s="27">
        <v>45848.0</v>
      </c>
      <c r="B811" s="26" t="s">
        <v>3309</v>
      </c>
      <c r="C811" s="26" t="s">
        <v>255</v>
      </c>
      <c r="D811" s="26">
        <v>4320000.0</v>
      </c>
      <c r="F811" s="26" t="s">
        <v>2542</v>
      </c>
    </row>
    <row r="812">
      <c r="A812" s="27">
        <v>45848.0</v>
      </c>
      <c r="B812" s="26" t="s">
        <v>3310</v>
      </c>
      <c r="C812" s="26" t="s">
        <v>2593</v>
      </c>
      <c r="D812" s="26">
        <v>1000000.0</v>
      </c>
      <c r="F812" s="26" t="s">
        <v>2542</v>
      </c>
      <c r="G812" s="26">
        <v>6423.0</v>
      </c>
    </row>
    <row r="813">
      <c r="A813" s="27">
        <v>45848.0</v>
      </c>
      <c r="B813" s="26" t="s">
        <v>3311</v>
      </c>
      <c r="C813" s="26" t="s">
        <v>2545</v>
      </c>
      <c r="D813" s="26">
        <v>6400000.0</v>
      </c>
      <c r="F813" s="26" t="s">
        <v>2542</v>
      </c>
      <c r="G813" s="26">
        <v>3341.0</v>
      </c>
    </row>
    <row r="814">
      <c r="A814" s="27">
        <v>45847.0</v>
      </c>
      <c r="B814" s="26" t="s">
        <v>3312</v>
      </c>
      <c r="C814" s="26" t="s">
        <v>255</v>
      </c>
      <c r="D814" s="26">
        <v>2400000.0</v>
      </c>
      <c r="F814" s="26" t="s">
        <v>2542</v>
      </c>
    </row>
    <row r="815">
      <c r="A815" s="27">
        <v>45847.0</v>
      </c>
      <c r="B815" s="26" t="s">
        <v>3313</v>
      </c>
      <c r="C815" s="26" t="s">
        <v>2545</v>
      </c>
      <c r="D815" s="26">
        <v>7600000.0</v>
      </c>
      <c r="F815" s="26" t="s">
        <v>2542</v>
      </c>
      <c r="G815" s="26">
        <v>3341.0</v>
      </c>
    </row>
    <row r="816">
      <c r="A816" s="27">
        <v>45847.0</v>
      </c>
      <c r="B816" s="26" t="s">
        <v>3314</v>
      </c>
      <c r="C816" s="26" t="s">
        <v>2545</v>
      </c>
      <c r="D816" s="26">
        <v>7047000.0</v>
      </c>
      <c r="F816" s="26" t="s">
        <v>2542</v>
      </c>
      <c r="G816" s="26">
        <v>3341.0</v>
      </c>
    </row>
    <row r="817">
      <c r="A817" s="27">
        <v>45847.0</v>
      </c>
      <c r="B817" s="26" t="s">
        <v>3315</v>
      </c>
      <c r="C817" s="26" t="s">
        <v>2545</v>
      </c>
      <c r="D817" s="26">
        <v>8200000.0</v>
      </c>
      <c r="F817" s="26" t="s">
        <v>2542</v>
      </c>
      <c r="G817" s="26">
        <v>3341.0</v>
      </c>
    </row>
    <row r="818">
      <c r="A818" s="27">
        <v>45846.0</v>
      </c>
      <c r="B818" s="26" t="s">
        <v>3316</v>
      </c>
      <c r="C818" s="26" t="s">
        <v>255</v>
      </c>
      <c r="D818" s="26">
        <v>2694482.0</v>
      </c>
      <c r="F818" s="26" t="s">
        <v>2542</v>
      </c>
    </row>
    <row r="819">
      <c r="A819" s="27">
        <v>45846.0</v>
      </c>
      <c r="B819" s="26" t="s">
        <v>3317</v>
      </c>
      <c r="C819" s="26" t="s">
        <v>255</v>
      </c>
      <c r="D819" s="26">
        <v>3828000.0</v>
      </c>
      <c r="F819" s="26" t="s">
        <v>2542</v>
      </c>
    </row>
    <row r="820">
      <c r="A820" s="27">
        <v>45846.0</v>
      </c>
      <c r="B820" s="26" t="s">
        <v>3318</v>
      </c>
      <c r="C820" s="26" t="s">
        <v>255</v>
      </c>
      <c r="D820" s="26">
        <v>2376000.0</v>
      </c>
      <c r="F820" s="26" t="s">
        <v>2542</v>
      </c>
    </row>
    <row r="821">
      <c r="A821" s="27">
        <v>45846.0</v>
      </c>
      <c r="B821" s="26" t="s">
        <v>3319</v>
      </c>
      <c r="C821" s="26" t="s">
        <v>255</v>
      </c>
      <c r="D821" s="26">
        <v>1.98345E7</v>
      </c>
      <c r="F821" s="26" t="s">
        <v>2542</v>
      </c>
    </row>
    <row r="822">
      <c r="A822" s="27">
        <v>45846.0</v>
      </c>
      <c r="B822" s="26" t="s">
        <v>3320</v>
      </c>
      <c r="C822" s="26" t="s">
        <v>255</v>
      </c>
      <c r="D822" s="26">
        <v>1450000.0</v>
      </c>
      <c r="F822" s="26" t="s">
        <v>2542</v>
      </c>
    </row>
    <row r="823">
      <c r="A823" s="27">
        <v>45846.0</v>
      </c>
      <c r="B823" s="26" t="s">
        <v>3321</v>
      </c>
      <c r="C823" s="26" t="s">
        <v>255</v>
      </c>
      <c r="D823" s="26">
        <v>475000.0</v>
      </c>
      <c r="F823" s="26" t="s">
        <v>2542</v>
      </c>
    </row>
    <row r="824">
      <c r="A824" s="27">
        <v>45846.0</v>
      </c>
      <c r="B824" s="26" t="s">
        <v>3321</v>
      </c>
      <c r="C824" s="26" t="s">
        <v>255</v>
      </c>
      <c r="D824" s="26">
        <v>386000.0</v>
      </c>
      <c r="F824" s="26" t="s">
        <v>2542</v>
      </c>
    </row>
    <row r="825">
      <c r="A825" s="27">
        <v>45846.0</v>
      </c>
      <c r="B825" s="26" t="s">
        <v>3316</v>
      </c>
      <c r="C825" s="28"/>
      <c r="D825" s="26">
        <v>2694482.0</v>
      </c>
      <c r="F825" s="26" t="s">
        <v>2542</v>
      </c>
    </row>
    <row r="826">
      <c r="A826" s="27">
        <v>45846.0</v>
      </c>
      <c r="B826" s="26" t="s">
        <v>3109</v>
      </c>
      <c r="C826" s="28"/>
      <c r="D826" s="26">
        <v>1.23E7</v>
      </c>
      <c r="F826" s="26" t="s">
        <v>2542</v>
      </c>
    </row>
    <row r="827">
      <c r="A827" s="27">
        <v>45846.0</v>
      </c>
      <c r="B827" s="26" t="s">
        <v>3322</v>
      </c>
      <c r="C827" s="26" t="s">
        <v>2583</v>
      </c>
      <c r="D827" s="26">
        <v>6500600.0</v>
      </c>
      <c r="F827" s="26" t="s">
        <v>2542</v>
      </c>
      <c r="G827" s="26">
        <v>641.27</v>
      </c>
    </row>
    <row r="828">
      <c r="A828" s="27">
        <v>45846.0</v>
      </c>
      <c r="B828" s="26" t="s">
        <v>3323</v>
      </c>
      <c r="C828" s="26" t="s">
        <v>2561</v>
      </c>
      <c r="D828" s="26">
        <v>1.6115E7</v>
      </c>
      <c r="F828" s="26" t="s">
        <v>2542</v>
      </c>
      <c r="G828" s="26">
        <v>331.0</v>
      </c>
    </row>
    <row r="829">
      <c r="A829" s="27">
        <v>45845.0</v>
      </c>
      <c r="B829" s="26" t="s">
        <v>3324</v>
      </c>
      <c r="C829" s="26" t="s">
        <v>255</v>
      </c>
      <c r="D829" s="26">
        <v>4030000.0</v>
      </c>
      <c r="F829" s="26" t="s">
        <v>2542</v>
      </c>
    </row>
    <row r="830">
      <c r="A830" s="27">
        <v>45845.0</v>
      </c>
      <c r="B830" s="26" t="s">
        <v>3325</v>
      </c>
      <c r="C830" s="26" t="s">
        <v>255</v>
      </c>
      <c r="D830" s="26">
        <v>3860000.0</v>
      </c>
      <c r="F830" s="26" t="s">
        <v>2542</v>
      </c>
    </row>
    <row r="831">
      <c r="A831" s="27">
        <v>45845.0</v>
      </c>
      <c r="B831" s="26" t="s">
        <v>3326</v>
      </c>
      <c r="C831" s="26" t="s">
        <v>255</v>
      </c>
      <c r="D831" s="26">
        <v>140000.0</v>
      </c>
      <c r="F831" s="26" t="s">
        <v>2542</v>
      </c>
    </row>
    <row r="832">
      <c r="A832" s="27">
        <v>45845.0</v>
      </c>
      <c r="B832" s="26" t="s">
        <v>3327</v>
      </c>
      <c r="C832" s="26" t="s">
        <v>255</v>
      </c>
      <c r="D832" s="26">
        <v>1.1005E7</v>
      </c>
      <c r="F832" s="26" t="s">
        <v>2542</v>
      </c>
    </row>
    <row r="833">
      <c r="A833" s="27">
        <v>45845.0</v>
      </c>
      <c r="B833" s="26" t="s">
        <v>3328</v>
      </c>
      <c r="C833" s="26" t="s">
        <v>255</v>
      </c>
      <c r="D833" s="26">
        <v>1200000.0</v>
      </c>
      <c r="F833" s="26" t="s">
        <v>2542</v>
      </c>
    </row>
    <row r="834">
      <c r="A834" s="27">
        <v>45845.0</v>
      </c>
      <c r="B834" s="26" t="s">
        <v>3329</v>
      </c>
      <c r="C834" s="26" t="s">
        <v>2545</v>
      </c>
      <c r="D834" s="26">
        <v>1.0E7</v>
      </c>
      <c r="F834" s="26" t="s">
        <v>2542</v>
      </c>
      <c r="G834" s="26">
        <v>3348.0</v>
      </c>
    </row>
    <row r="835">
      <c r="A835" s="27">
        <v>45845.0</v>
      </c>
      <c r="B835" s="26" t="s">
        <v>3330</v>
      </c>
      <c r="C835" s="26" t="s">
        <v>2545</v>
      </c>
      <c r="D835" s="26">
        <v>8000000.0</v>
      </c>
      <c r="F835" s="26" t="s">
        <v>2542</v>
      </c>
      <c r="G835" s="26">
        <v>3341.0</v>
      </c>
    </row>
    <row r="836">
      <c r="A836" s="27">
        <v>45845.0</v>
      </c>
      <c r="B836" s="26" t="s">
        <v>3331</v>
      </c>
      <c r="C836" s="26" t="s">
        <v>2561</v>
      </c>
      <c r="D836" s="26">
        <v>4960000.0</v>
      </c>
      <c r="F836" s="26" t="s">
        <v>2542</v>
      </c>
      <c r="G836" s="26">
        <v>331.0</v>
      </c>
    </row>
    <row r="837">
      <c r="A837" s="27">
        <v>45845.0</v>
      </c>
      <c r="B837" s="26" t="s">
        <v>3332</v>
      </c>
      <c r="C837" s="26" t="s">
        <v>2545</v>
      </c>
      <c r="D837" s="26">
        <v>5370000.0</v>
      </c>
      <c r="F837" s="26" t="s">
        <v>2542</v>
      </c>
      <c r="G837" s="26">
        <v>3341.0</v>
      </c>
    </row>
    <row r="838">
      <c r="A838" s="27">
        <v>45845.0</v>
      </c>
      <c r="B838" s="26" t="s">
        <v>3333</v>
      </c>
      <c r="C838" s="26" t="s">
        <v>2545</v>
      </c>
      <c r="D838" s="26">
        <v>5370000.0</v>
      </c>
      <c r="F838" s="26" t="s">
        <v>2542</v>
      </c>
      <c r="G838" s="26">
        <v>3341.0</v>
      </c>
    </row>
    <row r="839">
      <c r="A839" s="27">
        <v>45845.0</v>
      </c>
      <c r="B839" s="26" t="s">
        <v>3334</v>
      </c>
      <c r="C839" s="26" t="s">
        <v>2545</v>
      </c>
      <c r="D839" s="26">
        <v>7160000.0</v>
      </c>
      <c r="F839" s="26" t="s">
        <v>2542</v>
      </c>
      <c r="G839" s="26">
        <v>3341.0</v>
      </c>
    </row>
    <row r="840">
      <c r="A840" s="27">
        <v>45845.0</v>
      </c>
      <c r="B840" s="26" t="s">
        <v>3335</v>
      </c>
      <c r="C840" s="26" t="s">
        <v>2545</v>
      </c>
      <c r="D840" s="26">
        <v>7160000.0</v>
      </c>
      <c r="F840" s="26" t="s">
        <v>2542</v>
      </c>
      <c r="G840" s="26">
        <v>3341.0</v>
      </c>
    </row>
    <row r="841">
      <c r="A841" s="27">
        <v>45845.0</v>
      </c>
      <c r="B841" s="26" t="s">
        <v>3336</v>
      </c>
      <c r="C841" s="26" t="s">
        <v>2545</v>
      </c>
      <c r="D841" s="26">
        <v>7160000.0</v>
      </c>
      <c r="F841" s="26" t="s">
        <v>2542</v>
      </c>
      <c r="G841" s="26">
        <v>3341.0</v>
      </c>
    </row>
    <row r="842">
      <c r="A842" s="27">
        <v>45845.0</v>
      </c>
      <c r="B842" s="26" t="s">
        <v>3337</v>
      </c>
      <c r="C842" s="26" t="s">
        <v>2545</v>
      </c>
      <c r="D842" s="26">
        <v>1.9895E7</v>
      </c>
      <c r="F842" s="26" t="s">
        <v>2542</v>
      </c>
      <c r="G842" s="26">
        <v>3341.0</v>
      </c>
    </row>
    <row r="843">
      <c r="A843" s="27">
        <v>45845.0</v>
      </c>
      <c r="B843" s="26" t="s">
        <v>3338</v>
      </c>
      <c r="C843" s="26" t="s">
        <v>2545</v>
      </c>
      <c r="D843" s="26">
        <v>3.0E7</v>
      </c>
      <c r="F843" s="26" t="s">
        <v>2542</v>
      </c>
      <c r="G843" s="26">
        <v>3341.0</v>
      </c>
    </row>
    <row r="844">
      <c r="A844" s="27">
        <v>45845.0</v>
      </c>
      <c r="B844" s="26" t="s">
        <v>3339</v>
      </c>
      <c r="C844" s="26" t="s">
        <v>2561</v>
      </c>
      <c r="D844" s="26">
        <v>3.5807002E7</v>
      </c>
      <c r="F844" s="26" t="s">
        <v>2542</v>
      </c>
      <c r="G844" s="26">
        <v>331.0</v>
      </c>
    </row>
    <row r="845">
      <c r="A845" s="27">
        <v>45845.0</v>
      </c>
      <c r="B845" s="26" t="s">
        <v>3340</v>
      </c>
      <c r="C845" s="26" t="s">
        <v>2655</v>
      </c>
      <c r="D845" s="26">
        <v>2.24E7</v>
      </c>
      <c r="F845" s="26" t="s">
        <v>2542</v>
      </c>
      <c r="G845" s="26">
        <v>3383.0</v>
      </c>
    </row>
    <row r="846">
      <c r="A846" s="27">
        <v>45845.0</v>
      </c>
      <c r="B846" s="26" t="s">
        <v>3341</v>
      </c>
      <c r="C846" s="26" t="s">
        <v>2545</v>
      </c>
      <c r="D846" s="26">
        <v>4000000.0</v>
      </c>
      <c r="F846" s="26" t="s">
        <v>2542</v>
      </c>
      <c r="G846" s="26">
        <v>3341.0</v>
      </c>
    </row>
    <row r="847">
      <c r="A847" s="27">
        <v>45845.0</v>
      </c>
      <c r="B847" s="26" t="s">
        <v>3342</v>
      </c>
      <c r="C847" s="26" t="s">
        <v>2545</v>
      </c>
      <c r="D847" s="26">
        <v>3000000.0</v>
      </c>
      <c r="F847" s="26" t="s">
        <v>2542</v>
      </c>
      <c r="G847" s="26">
        <v>3341.0</v>
      </c>
    </row>
    <row r="848">
      <c r="A848" s="27">
        <v>45842.0</v>
      </c>
      <c r="B848" s="26" t="s">
        <v>2980</v>
      </c>
      <c r="C848" s="26" t="s">
        <v>255</v>
      </c>
      <c r="D848" s="26">
        <v>1080000.0</v>
      </c>
      <c r="F848" s="26" t="s">
        <v>2542</v>
      </c>
    </row>
    <row r="849">
      <c r="A849" s="27">
        <v>45842.0</v>
      </c>
      <c r="B849" s="26" t="s">
        <v>3343</v>
      </c>
      <c r="C849" s="26" t="s">
        <v>255</v>
      </c>
      <c r="D849" s="26">
        <v>8000000.0</v>
      </c>
      <c r="F849" s="26" t="s">
        <v>2542</v>
      </c>
    </row>
    <row r="850">
      <c r="A850" s="27">
        <v>45842.0</v>
      </c>
      <c r="B850" s="26" t="s">
        <v>3344</v>
      </c>
      <c r="C850" s="26" t="s">
        <v>2571</v>
      </c>
      <c r="D850" s="26">
        <v>545000.0</v>
      </c>
      <c r="F850" s="26" t="s">
        <v>2542</v>
      </c>
      <c r="G850" s="26">
        <v>641.22</v>
      </c>
    </row>
    <row r="851">
      <c r="A851" s="27">
        <v>45842.0</v>
      </c>
      <c r="B851" s="26" t="s">
        <v>3345</v>
      </c>
      <c r="C851" s="26" t="s">
        <v>2574</v>
      </c>
      <c r="D851" s="26">
        <v>5494500.0</v>
      </c>
      <c r="F851" s="26" t="s">
        <v>2542</v>
      </c>
      <c r="G851" s="26">
        <v>331.0</v>
      </c>
    </row>
    <row r="852">
      <c r="A852" s="27">
        <v>45842.0</v>
      </c>
      <c r="B852" s="26" t="s">
        <v>3346</v>
      </c>
      <c r="C852" s="26" t="s">
        <v>2561</v>
      </c>
      <c r="D852" s="26">
        <v>3.493245E7</v>
      </c>
      <c r="F852" s="26" t="s">
        <v>2542</v>
      </c>
      <c r="G852" s="26">
        <v>331.0</v>
      </c>
    </row>
    <row r="853">
      <c r="A853" s="27">
        <v>45842.0</v>
      </c>
      <c r="B853" s="26" t="s">
        <v>3122</v>
      </c>
      <c r="C853" s="26" t="s">
        <v>2563</v>
      </c>
      <c r="D853" s="26">
        <v>1152536.0</v>
      </c>
      <c r="F853" s="26" t="s">
        <v>2542</v>
      </c>
      <c r="G853" s="26">
        <v>635.0</v>
      </c>
    </row>
    <row r="854">
      <c r="A854" s="27">
        <v>45841.0</v>
      </c>
      <c r="B854" s="26" t="s">
        <v>3347</v>
      </c>
      <c r="C854" s="26" t="s">
        <v>255</v>
      </c>
      <c r="D854" s="26">
        <v>2640000.0</v>
      </c>
      <c r="F854" s="26" t="s">
        <v>2542</v>
      </c>
    </row>
    <row r="855">
      <c r="A855" s="27">
        <v>45841.0</v>
      </c>
      <c r="B855" s="26" t="s">
        <v>3348</v>
      </c>
      <c r="C855" s="26" t="s">
        <v>255</v>
      </c>
      <c r="D855" s="26">
        <v>3325000.0</v>
      </c>
      <c r="F855" s="26" t="s">
        <v>2542</v>
      </c>
    </row>
    <row r="856">
      <c r="A856" s="27">
        <v>45841.0</v>
      </c>
      <c r="B856" s="26" t="s">
        <v>3349</v>
      </c>
      <c r="C856" s="26" t="s">
        <v>255</v>
      </c>
      <c r="D856" s="26">
        <v>60000.0</v>
      </c>
      <c r="F856" s="26" t="s">
        <v>2542</v>
      </c>
    </row>
    <row r="857">
      <c r="A857" s="27">
        <v>45841.0</v>
      </c>
      <c r="B857" s="26" t="s">
        <v>3350</v>
      </c>
      <c r="C857" s="26" t="s">
        <v>255</v>
      </c>
      <c r="D857" s="26">
        <v>2805000.0</v>
      </c>
      <c r="F857" s="26" t="s">
        <v>2542</v>
      </c>
    </row>
    <row r="858">
      <c r="A858" s="27">
        <v>45841.0</v>
      </c>
      <c r="B858" s="26" t="s">
        <v>3351</v>
      </c>
      <c r="C858" s="26" t="s">
        <v>255</v>
      </c>
      <c r="D858" s="26">
        <v>9355500.0</v>
      </c>
      <c r="F858" s="26" t="s">
        <v>2542</v>
      </c>
    </row>
    <row r="859">
      <c r="A859" s="27">
        <v>45841.0</v>
      </c>
      <c r="B859" s="26" t="s">
        <v>3352</v>
      </c>
      <c r="C859" s="26" t="s">
        <v>255</v>
      </c>
      <c r="D859" s="26">
        <v>618920.0</v>
      </c>
      <c r="F859" s="26" t="s">
        <v>2542</v>
      </c>
    </row>
    <row r="860">
      <c r="A860" s="27">
        <v>45840.0</v>
      </c>
      <c r="B860" s="26" t="s">
        <v>3353</v>
      </c>
      <c r="C860" s="26" t="s">
        <v>255</v>
      </c>
      <c r="D860" s="26">
        <v>6234000.0</v>
      </c>
      <c r="F860" s="26" t="s">
        <v>2542</v>
      </c>
    </row>
    <row r="861">
      <c r="A861" s="27">
        <v>45839.0</v>
      </c>
      <c r="B861" s="26" t="s">
        <v>3354</v>
      </c>
      <c r="C861" s="26" t="s">
        <v>255</v>
      </c>
      <c r="D861" s="26">
        <v>9.0E7</v>
      </c>
      <c r="F861" s="26" t="s">
        <v>2542</v>
      </c>
    </row>
    <row r="862">
      <c r="A862" s="27">
        <v>45839.0</v>
      </c>
      <c r="B862" s="26" t="s">
        <v>3355</v>
      </c>
      <c r="C862" s="26" t="s">
        <v>255</v>
      </c>
      <c r="D862" s="26">
        <v>5808000.0</v>
      </c>
      <c r="F862" s="26" t="s">
        <v>2542</v>
      </c>
    </row>
    <row r="863">
      <c r="A863" s="27">
        <v>45839.0</v>
      </c>
      <c r="B863" s="26" t="s">
        <v>3356</v>
      </c>
      <c r="C863" s="26" t="s">
        <v>255</v>
      </c>
      <c r="D863" s="26">
        <v>1.531E7</v>
      </c>
      <c r="F863" s="26" t="s">
        <v>2542</v>
      </c>
    </row>
    <row r="864">
      <c r="A864" s="27">
        <v>45839.0</v>
      </c>
      <c r="B864" s="26" t="s">
        <v>3354</v>
      </c>
      <c r="C864" s="28"/>
      <c r="D864" s="26">
        <v>9.0E7</v>
      </c>
      <c r="F864" s="26" t="s">
        <v>2542</v>
      </c>
    </row>
    <row r="865">
      <c r="A865" s="27">
        <v>45839.0</v>
      </c>
      <c r="B865" s="26" t="s">
        <v>3357</v>
      </c>
      <c r="C865" s="26" t="s">
        <v>2764</v>
      </c>
      <c r="D865" s="26">
        <v>2458000.0</v>
      </c>
      <c r="F865" s="26" t="s">
        <v>2542</v>
      </c>
      <c r="G865" s="26">
        <v>6273.0</v>
      </c>
    </row>
    <row r="866">
      <c r="A866" s="27">
        <v>45838.0</v>
      </c>
      <c r="B866" s="26" t="s">
        <v>2543</v>
      </c>
      <c r="C866" s="26" t="s">
        <v>255</v>
      </c>
      <c r="D866" s="26">
        <v>2494.0</v>
      </c>
      <c r="F866" s="26" t="s">
        <v>2542</v>
      </c>
    </row>
    <row r="867">
      <c r="A867" s="27">
        <v>45838.0</v>
      </c>
      <c r="B867" s="26" t="s">
        <v>3358</v>
      </c>
      <c r="C867" s="26" t="s">
        <v>2561</v>
      </c>
      <c r="D867" s="26">
        <v>3616000.0</v>
      </c>
      <c r="F867" s="26" t="s">
        <v>2542</v>
      </c>
      <c r="G867" s="26">
        <v>331.0</v>
      </c>
    </row>
    <row r="868">
      <c r="A868" s="27">
        <v>45838.0</v>
      </c>
      <c r="B868" s="26" t="s">
        <v>3359</v>
      </c>
      <c r="C868" s="26" t="s">
        <v>2593</v>
      </c>
      <c r="D868" s="26">
        <v>1160185.0</v>
      </c>
      <c r="F868" s="26" t="s">
        <v>2542</v>
      </c>
      <c r="G868" s="26">
        <v>6423.0</v>
      </c>
    </row>
    <row r="869">
      <c r="A869" s="27">
        <v>45838.0</v>
      </c>
      <c r="B869" s="26" t="s">
        <v>3359</v>
      </c>
      <c r="C869" s="28"/>
      <c r="D869" s="26">
        <v>92815.0</v>
      </c>
      <c r="F869" s="26" t="s">
        <v>2542</v>
      </c>
    </row>
    <row r="870">
      <c r="A870" s="27">
        <v>45835.0</v>
      </c>
      <c r="B870" s="26" t="s">
        <v>3360</v>
      </c>
      <c r="C870" s="26" t="s">
        <v>255</v>
      </c>
      <c r="D870" s="26">
        <v>1230000.0</v>
      </c>
      <c r="F870" s="26" t="s">
        <v>2542</v>
      </c>
    </row>
    <row r="871">
      <c r="A871" s="27">
        <v>45835.0</v>
      </c>
      <c r="B871" s="26" t="s">
        <v>3010</v>
      </c>
      <c r="C871" s="26" t="s">
        <v>255</v>
      </c>
      <c r="D871" s="26">
        <v>1188000.0</v>
      </c>
      <c r="F871" s="26" t="s">
        <v>2542</v>
      </c>
    </row>
    <row r="872">
      <c r="A872" s="27">
        <v>45835.0</v>
      </c>
      <c r="B872" s="26" t="s">
        <v>3361</v>
      </c>
      <c r="C872" s="26" t="s">
        <v>255</v>
      </c>
      <c r="D872" s="26">
        <v>4278000.0</v>
      </c>
      <c r="F872" s="26" t="s">
        <v>2542</v>
      </c>
    </row>
    <row r="873">
      <c r="A873" s="27">
        <v>45835.0</v>
      </c>
      <c r="B873" s="26" t="s">
        <v>3362</v>
      </c>
      <c r="C873" s="26" t="s">
        <v>255</v>
      </c>
      <c r="D873" s="26">
        <v>2.060304E7</v>
      </c>
      <c r="F873" s="26" t="s">
        <v>2542</v>
      </c>
    </row>
    <row r="874">
      <c r="A874" s="27">
        <v>45835.0</v>
      </c>
      <c r="B874" s="26" t="s">
        <v>3363</v>
      </c>
      <c r="C874" s="26" t="s">
        <v>255</v>
      </c>
      <c r="D874" s="26">
        <v>1.387232E7</v>
      </c>
      <c r="F874" s="26" t="s">
        <v>2542</v>
      </c>
    </row>
    <row r="875">
      <c r="A875" s="27">
        <v>45834.0</v>
      </c>
      <c r="B875" s="26" t="s">
        <v>3364</v>
      </c>
      <c r="C875" s="26" t="s">
        <v>255</v>
      </c>
      <c r="D875" s="26">
        <v>1152000.0</v>
      </c>
      <c r="F875" s="26" t="s">
        <v>2542</v>
      </c>
    </row>
    <row r="876">
      <c r="A876" s="27">
        <v>45834.0</v>
      </c>
      <c r="B876" s="26" t="s">
        <v>3365</v>
      </c>
      <c r="C876" s="26" t="s">
        <v>255</v>
      </c>
      <c r="D876" s="26">
        <v>2304000.0</v>
      </c>
      <c r="F876" s="26" t="s">
        <v>2542</v>
      </c>
    </row>
    <row r="877">
      <c r="A877" s="27">
        <v>45834.0</v>
      </c>
      <c r="B877" s="26" t="s">
        <v>3366</v>
      </c>
      <c r="C877" s="26" t="s">
        <v>255</v>
      </c>
      <c r="D877" s="26">
        <v>4320000.0</v>
      </c>
      <c r="F877" s="26" t="s">
        <v>2542</v>
      </c>
    </row>
    <row r="878">
      <c r="A878" s="27">
        <v>45834.0</v>
      </c>
      <c r="B878" s="26" t="s">
        <v>3367</v>
      </c>
      <c r="C878" s="26" t="s">
        <v>255</v>
      </c>
      <c r="D878" s="26">
        <v>4379200.0</v>
      </c>
      <c r="F878" s="26" t="s">
        <v>2542</v>
      </c>
    </row>
    <row r="879">
      <c r="A879" s="27">
        <v>45834.0</v>
      </c>
      <c r="B879" s="26" t="s">
        <v>3368</v>
      </c>
      <c r="C879" s="26" t="s">
        <v>255</v>
      </c>
      <c r="D879" s="26">
        <v>3665000.0</v>
      </c>
      <c r="F879" s="26" t="s">
        <v>2542</v>
      </c>
    </row>
    <row r="880">
      <c r="A880" s="27">
        <v>45834.0</v>
      </c>
      <c r="B880" s="26" t="s">
        <v>3369</v>
      </c>
      <c r="C880" s="26" t="s">
        <v>2571</v>
      </c>
      <c r="D880" s="26">
        <v>140000.0</v>
      </c>
      <c r="F880" s="26" t="s">
        <v>2542</v>
      </c>
      <c r="G880" s="26">
        <v>641.12</v>
      </c>
    </row>
    <row r="881">
      <c r="A881" s="27">
        <v>45834.0</v>
      </c>
      <c r="B881" s="26" t="s">
        <v>3370</v>
      </c>
      <c r="C881" s="26" t="s">
        <v>2571</v>
      </c>
      <c r="D881" s="26">
        <v>527000.0</v>
      </c>
      <c r="F881" s="26" t="s">
        <v>2542</v>
      </c>
      <c r="G881" s="26">
        <v>641.22</v>
      </c>
    </row>
    <row r="882">
      <c r="A882" s="27">
        <v>45833.0</v>
      </c>
      <c r="B882" s="26" t="s">
        <v>3371</v>
      </c>
      <c r="C882" s="26" t="s">
        <v>255</v>
      </c>
      <c r="D882" s="26">
        <v>4752000.0</v>
      </c>
      <c r="F882" s="26" t="s">
        <v>2542</v>
      </c>
    </row>
    <row r="883">
      <c r="A883" s="27">
        <v>45833.0</v>
      </c>
      <c r="B883" s="26" t="s">
        <v>3372</v>
      </c>
      <c r="C883" s="26" t="s">
        <v>255</v>
      </c>
      <c r="D883" s="26">
        <v>9486250.0</v>
      </c>
      <c r="F883" s="26" t="s">
        <v>2542</v>
      </c>
    </row>
    <row r="884">
      <c r="A884" s="27">
        <v>45833.0</v>
      </c>
      <c r="B884" s="26" t="s">
        <v>3373</v>
      </c>
      <c r="C884" s="26" t="s">
        <v>255</v>
      </c>
      <c r="D884" s="26">
        <v>2900000.0</v>
      </c>
      <c r="F884" s="26" t="s">
        <v>2542</v>
      </c>
    </row>
    <row r="885">
      <c r="A885" s="27">
        <v>45833.0</v>
      </c>
      <c r="B885" s="26" t="s">
        <v>3374</v>
      </c>
      <c r="C885" s="26" t="s">
        <v>255</v>
      </c>
      <c r="D885" s="26">
        <v>2400000.0</v>
      </c>
      <c r="F885" s="26" t="s">
        <v>2542</v>
      </c>
    </row>
    <row r="886">
      <c r="A886" s="27">
        <v>45833.0</v>
      </c>
      <c r="B886" s="26" t="s">
        <v>3375</v>
      </c>
      <c r="C886" s="26" t="s">
        <v>2574</v>
      </c>
      <c r="D886" s="26">
        <v>1794000.0</v>
      </c>
      <c r="F886" s="26" t="s">
        <v>2542</v>
      </c>
      <c r="G886" s="26">
        <v>331.0</v>
      </c>
    </row>
    <row r="887">
      <c r="A887" s="27">
        <v>45833.0</v>
      </c>
      <c r="B887" s="26" t="s">
        <v>3376</v>
      </c>
      <c r="C887" s="26" t="s">
        <v>2574</v>
      </c>
      <c r="D887" s="26">
        <v>1640000.0</v>
      </c>
      <c r="F887" s="26" t="s">
        <v>2542</v>
      </c>
      <c r="G887" s="26">
        <v>331.0</v>
      </c>
    </row>
    <row r="888">
      <c r="A888" s="27">
        <v>45832.0</v>
      </c>
      <c r="B888" s="26" t="s">
        <v>2586</v>
      </c>
      <c r="C888" s="26" t="s">
        <v>255</v>
      </c>
      <c r="D888" s="26">
        <v>1825.0</v>
      </c>
      <c r="F888" s="26" t="s">
        <v>2542</v>
      </c>
    </row>
    <row r="889">
      <c r="A889" s="27">
        <v>45831.0</v>
      </c>
      <c r="B889" s="26" t="s">
        <v>3377</v>
      </c>
      <c r="C889" s="26" t="s">
        <v>255</v>
      </c>
      <c r="D889" s="26">
        <v>1450000.0</v>
      </c>
      <c r="F889" s="26" t="s">
        <v>2542</v>
      </c>
    </row>
    <row r="890">
      <c r="A890" s="27">
        <v>45831.0</v>
      </c>
      <c r="B890" s="26" t="s">
        <v>3378</v>
      </c>
      <c r="C890" s="26" t="s">
        <v>255</v>
      </c>
      <c r="D890" s="26">
        <v>1.253E7</v>
      </c>
      <c r="F890" s="26" t="s">
        <v>2542</v>
      </c>
    </row>
    <row r="891">
      <c r="A891" s="27">
        <v>45831.0</v>
      </c>
      <c r="B891" s="26" t="s">
        <v>2611</v>
      </c>
      <c r="C891" s="26" t="s">
        <v>255</v>
      </c>
      <c r="D891" s="26">
        <v>1188000.0</v>
      </c>
      <c r="F891" s="26" t="s">
        <v>2542</v>
      </c>
    </row>
    <row r="892">
      <c r="A892" s="27">
        <v>45831.0</v>
      </c>
      <c r="B892" s="26" t="s">
        <v>3059</v>
      </c>
      <c r="C892" s="26" t="s">
        <v>255</v>
      </c>
      <c r="D892" s="26">
        <v>6000000.0</v>
      </c>
      <c r="F892" s="26" t="s">
        <v>2542</v>
      </c>
    </row>
    <row r="893">
      <c r="A893" s="27">
        <v>45831.0</v>
      </c>
      <c r="B893" s="26" t="s">
        <v>3379</v>
      </c>
      <c r="C893" s="26" t="s">
        <v>2561</v>
      </c>
      <c r="D893" s="26">
        <v>4100000.0</v>
      </c>
      <c r="F893" s="26" t="s">
        <v>2542</v>
      </c>
      <c r="G893" s="26">
        <v>331.0</v>
      </c>
    </row>
    <row r="894">
      <c r="A894" s="27">
        <v>45829.0</v>
      </c>
      <c r="B894" s="26" t="s">
        <v>3380</v>
      </c>
      <c r="C894" s="26" t="s">
        <v>255</v>
      </c>
      <c r="D894" s="26">
        <v>2160000.0</v>
      </c>
      <c r="F894" s="26" t="s">
        <v>2542</v>
      </c>
    </row>
    <row r="895">
      <c r="A895" s="27">
        <v>45829.0</v>
      </c>
      <c r="B895" s="26" t="s">
        <v>3381</v>
      </c>
      <c r="C895" s="26" t="s">
        <v>255</v>
      </c>
      <c r="D895" s="26">
        <v>1790000.0</v>
      </c>
      <c r="F895" s="26" t="s">
        <v>2542</v>
      </c>
    </row>
    <row r="896">
      <c r="A896" s="27">
        <v>45829.0</v>
      </c>
      <c r="B896" s="26" t="s">
        <v>3382</v>
      </c>
      <c r="C896" s="26" t="s">
        <v>255</v>
      </c>
      <c r="D896" s="26">
        <v>6720000.0</v>
      </c>
      <c r="F896" s="26" t="s">
        <v>2542</v>
      </c>
    </row>
    <row r="897">
      <c r="A897" s="27">
        <v>45829.0</v>
      </c>
      <c r="B897" s="26" t="s">
        <v>3383</v>
      </c>
      <c r="C897" s="26" t="s">
        <v>255</v>
      </c>
      <c r="D897" s="26">
        <v>3597000.0</v>
      </c>
      <c r="F897" s="26" t="s">
        <v>2542</v>
      </c>
    </row>
    <row r="898">
      <c r="A898" s="27">
        <v>45829.0</v>
      </c>
      <c r="B898" s="26" t="s">
        <v>3383</v>
      </c>
      <c r="C898" s="26" t="s">
        <v>255</v>
      </c>
      <c r="D898" s="26">
        <v>4246000.0</v>
      </c>
      <c r="F898" s="26" t="s">
        <v>2542</v>
      </c>
    </row>
    <row r="899">
      <c r="A899" s="27">
        <v>45829.0</v>
      </c>
      <c r="B899" s="26" t="s">
        <v>3384</v>
      </c>
      <c r="C899" s="26" t="s">
        <v>255</v>
      </c>
      <c r="D899" s="26">
        <v>7330000.0</v>
      </c>
      <c r="F899" s="26" t="s">
        <v>2542</v>
      </c>
    </row>
    <row r="900">
      <c r="A900" s="27">
        <v>45829.0</v>
      </c>
      <c r="B900" s="26" t="s">
        <v>3385</v>
      </c>
      <c r="C900" s="26" t="s">
        <v>2583</v>
      </c>
      <c r="D900" s="26">
        <v>1430000.0</v>
      </c>
      <c r="F900" s="26" t="s">
        <v>2542</v>
      </c>
      <c r="G900" s="26">
        <v>641.13</v>
      </c>
    </row>
    <row r="901">
      <c r="A901" s="27">
        <v>45829.0</v>
      </c>
      <c r="B901" s="26" t="s">
        <v>3386</v>
      </c>
      <c r="C901" s="26" t="s">
        <v>2561</v>
      </c>
      <c r="D901" s="26">
        <v>8900000.0</v>
      </c>
      <c r="F901" s="26" t="s">
        <v>2542</v>
      </c>
      <c r="G901" s="26">
        <v>331.0</v>
      </c>
    </row>
    <row r="902">
      <c r="A902" s="27">
        <v>45829.0</v>
      </c>
      <c r="B902" s="26" t="s">
        <v>3387</v>
      </c>
      <c r="C902" s="26" t="s">
        <v>2571</v>
      </c>
      <c r="D902" s="26">
        <v>35000.0</v>
      </c>
      <c r="F902" s="26" t="s">
        <v>2542</v>
      </c>
      <c r="G902" s="26">
        <v>641.22</v>
      </c>
    </row>
    <row r="903">
      <c r="A903" s="27">
        <v>45829.0</v>
      </c>
      <c r="B903" s="26" t="s">
        <v>3388</v>
      </c>
      <c r="C903" s="26" t="s">
        <v>2561</v>
      </c>
      <c r="D903" s="26">
        <v>250000.0</v>
      </c>
      <c r="F903" s="26" t="s">
        <v>2542</v>
      </c>
      <c r="G903" s="26">
        <v>331.0</v>
      </c>
    </row>
    <row r="904">
      <c r="A904" s="27">
        <v>45828.0</v>
      </c>
      <c r="B904" s="26" t="s">
        <v>3216</v>
      </c>
      <c r="C904" s="26" t="s">
        <v>255</v>
      </c>
      <c r="D904" s="26">
        <v>1391500.0</v>
      </c>
      <c r="F904" s="26" t="s">
        <v>2542</v>
      </c>
    </row>
    <row r="905">
      <c r="A905" s="27">
        <v>45828.0</v>
      </c>
      <c r="B905" s="26" t="s">
        <v>3389</v>
      </c>
      <c r="C905" s="26" t="s">
        <v>2571</v>
      </c>
      <c r="D905" s="26">
        <v>140000.0</v>
      </c>
      <c r="F905" s="26" t="s">
        <v>2542</v>
      </c>
      <c r="G905" s="26">
        <v>641.22</v>
      </c>
    </row>
    <row r="906">
      <c r="A906" s="27">
        <v>45828.0</v>
      </c>
      <c r="B906" s="26" t="s">
        <v>3390</v>
      </c>
      <c r="C906" s="26" t="s">
        <v>2561</v>
      </c>
      <c r="D906" s="26">
        <v>600000.0</v>
      </c>
      <c r="F906" s="26" t="s">
        <v>2542</v>
      </c>
      <c r="G906" s="26">
        <v>6428.0</v>
      </c>
    </row>
    <row r="907">
      <c r="A907" s="27">
        <v>45827.0</v>
      </c>
      <c r="B907" s="26" t="s">
        <v>3391</v>
      </c>
      <c r="C907" s="26" t="s">
        <v>255</v>
      </c>
      <c r="D907" s="26">
        <v>3190000.0</v>
      </c>
      <c r="F907" s="26" t="s">
        <v>2542</v>
      </c>
    </row>
    <row r="908">
      <c r="A908" s="27">
        <v>45827.0</v>
      </c>
      <c r="B908" s="26" t="s">
        <v>2645</v>
      </c>
      <c r="C908" s="26" t="s">
        <v>2571</v>
      </c>
      <c r="D908" s="26">
        <v>155000.0</v>
      </c>
      <c r="F908" s="26" t="s">
        <v>2542</v>
      </c>
      <c r="G908" s="26">
        <v>641.22</v>
      </c>
    </row>
    <row r="909">
      <c r="A909" s="27">
        <v>45827.0</v>
      </c>
      <c r="B909" s="26" t="s">
        <v>3392</v>
      </c>
      <c r="C909" s="26" t="s">
        <v>2561</v>
      </c>
      <c r="D909" s="26">
        <v>250000.0</v>
      </c>
      <c r="F909" s="26" t="s">
        <v>2542</v>
      </c>
      <c r="G909" s="26">
        <v>331.0</v>
      </c>
    </row>
    <row r="910">
      <c r="A910" s="27">
        <v>45826.0</v>
      </c>
      <c r="B910" s="26" t="s">
        <v>3109</v>
      </c>
      <c r="C910" s="28"/>
      <c r="D910" s="26">
        <v>5.0E7</v>
      </c>
      <c r="F910" s="26" t="s">
        <v>2542</v>
      </c>
    </row>
    <row r="911">
      <c r="A911" s="27">
        <v>45826.0</v>
      </c>
      <c r="B911" s="26" t="s">
        <v>3393</v>
      </c>
      <c r="C911" s="26" t="s">
        <v>2561</v>
      </c>
      <c r="D911" s="26">
        <v>4354560.0</v>
      </c>
      <c r="F911" s="26" t="s">
        <v>2542</v>
      </c>
      <c r="G911" s="26">
        <v>331.0</v>
      </c>
    </row>
    <row r="912">
      <c r="A912" s="27">
        <v>45825.0</v>
      </c>
      <c r="B912" s="26" t="s">
        <v>3394</v>
      </c>
      <c r="C912" s="26" t="s">
        <v>2561</v>
      </c>
      <c r="D912" s="26">
        <v>3510000.0</v>
      </c>
      <c r="F912" s="26" t="s">
        <v>2542</v>
      </c>
      <c r="G912" s="26">
        <v>331.0</v>
      </c>
    </row>
    <row r="913">
      <c r="A913" s="27">
        <v>45824.0</v>
      </c>
      <c r="B913" s="26" t="s">
        <v>3395</v>
      </c>
      <c r="C913" s="26" t="s">
        <v>255</v>
      </c>
      <c r="D913" s="26">
        <v>2160000.0</v>
      </c>
      <c r="F913" s="26" t="s">
        <v>2542</v>
      </c>
    </row>
    <row r="914">
      <c r="A914" s="27">
        <v>45824.0</v>
      </c>
      <c r="B914" s="26" t="s">
        <v>3396</v>
      </c>
      <c r="C914" s="26" t="s">
        <v>255</v>
      </c>
      <c r="D914" s="26">
        <v>1.2595E7</v>
      </c>
      <c r="F914" s="26" t="s">
        <v>2542</v>
      </c>
    </row>
    <row r="915">
      <c r="A915" s="27">
        <v>45824.0</v>
      </c>
      <c r="B915" s="26" t="s">
        <v>3397</v>
      </c>
      <c r="C915" s="26" t="s">
        <v>255</v>
      </c>
      <c r="D915" s="26">
        <v>4680000.0</v>
      </c>
      <c r="F915" s="26" t="s">
        <v>2542</v>
      </c>
    </row>
    <row r="916">
      <c r="A916" s="27">
        <v>45824.0</v>
      </c>
      <c r="B916" s="26" t="s">
        <v>3398</v>
      </c>
      <c r="C916" s="26" t="s">
        <v>2571</v>
      </c>
      <c r="D916" s="26">
        <v>556000.0</v>
      </c>
      <c r="F916" s="26" t="s">
        <v>2542</v>
      </c>
      <c r="G916" s="26">
        <v>641.22</v>
      </c>
    </row>
    <row r="917">
      <c r="A917" s="27">
        <v>45823.0</v>
      </c>
      <c r="B917" s="26" t="s">
        <v>3399</v>
      </c>
      <c r="C917" s="26" t="s">
        <v>255</v>
      </c>
      <c r="D917" s="26">
        <v>1380000.0</v>
      </c>
      <c r="F917" s="26" t="s">
        <v>2542</v>
      </c>
    </row>
    <row r="918">
      <c r="A918" s="27">
        <v>45823.0</v>
      </c>
      <c r="B918" s="26" t="s">
        <v>3400</v>
      </c>
      <c r="C918" s="26" t="s">
        <v>255</v>
      </c>
      <c r="D918" s="26">
        <v>3.2455702E7</v>
      </c>
      <c r="F918" s="26" t="s">
        <v>2542</v>
      </c>
    </row>
    <row r="919">
      <c r="A919" s="27">
        <v>45821.0</v>
      </c>
      <c r="B919" s="26" t="s">
        <v>3401</v>
      </c>
      <c r="C919" s="26" t="s">
        <v>255</v>
      </c>
      <c r="D919" s="26">
        <v>1875000.0</v>
      </c>
      <c r="F919" s="26" t="s">
        <v>2542</v>
      </c>
    </row>
    <row r="920">
      <c r="A920" s="27">
        <v>45821.0</v>
      </c>
      <c r="B920" s="26" t="s">
        <v>3402</v>
      </c>
      <c r="C920" s="26" t="s">
        <v>255</v>
      </c>
      <c r="D920" s="26">
        <v>1600000.0</v>
      </c>
      <c r="F920" s="26" t="s">
        <v>2542</v>
      </c>
    </row>
    <row r="921">
      <c r="A921" s="27">
        <v>45821.0</v>
      </c>
      <c r="B921" s="26" t="s">
        <v>3403</v>
      </c>
      <c r="C921" s="26" t="s">
        <v>255</v>
      </c>
      <c r="D921" s="26">
        <v>9828000.0</v>
      </c>
      <c r="F921" s="26" t="s">
        <v>2542</v>
      </c>
    </row>
    <row r="922">
      <c r="A922" s="27">
        <v>45821.0</v>
      </c>
      <c r="B922" s="26" t="s">
        <v>3404</v>
      </c>
      <c r="C922" s="26" t="s">
        <v>255</v>
      </c>
      <c r="D922" s="26">
        <v>1080000.0</v>
      </c>
      <c r="F922" s="26" t="s">
        <v>2542</v>
      </c>
    </row>
    <row r="923">
      <c r="A923" s="27">
        <v>45821.0</v>
      </c>
      <c r="B923" s="26" t="s">
        <v>3405</v>
      </c>
      <c r="C923" s="26" t="s">
        <v>255</v>
      </c>
      <c r="D923" s="26">
        <v>5400000.0</v>
      </c>
      <c r="F923" s="26" t="s">
        <v>2542</v>
      </c>
    </row>
    <row r="924">
      <c r="A924" s="27">
        <v>45821.0</v>
      </c>
      <c r="B924" s="26" t="s">
        <v>3406</v>
      </c>
      <c r="C924" s="26" t="s">
        <v>2764</v>
      </c>
      <c r="D924" s="26">
        <v>4500000.0</v>
      </c>
      <c r="F924" s="26" t="s">
        <v>2542</v>
      </c>
      <c r="G924" s="26">
        <v>6273.0</v>
      </c>
    </row>
    <row r="925">
      <c r="A925" s="27">
        <v>45821.0</v>
      </c>
      <c r="B925" s="26" t="s">
        <v>3407</v>
      </c>
      <c r="C925" s="26" t="s">
        <v>2545</v>
      </c>
      <c r="D925" s="26">
        <v>1.236E7</v>
      </c>
      <c r="F925" s="26" t="s">
        <v>2542</v>
      </c>
      <c r="G925" s="26">
        <v>3341.0</v>
      </c>
    </row>
    <row r="926">
      <c r="A926" s="27">
        <v>45820.0</v>
      </c>
      <c r="B926" s="26" t="s">
        <v>3408</v>
      </c>
      <c r="C926" s="26" t="s">
        <v>2593</v>
      </c>
      <c r="D926" s="26">
        <v>321000.0</v>
      </c>
      <c r="F926" s="26" t="s">
        <v>2542</v>
      </c>
      <c r="G926" s="26">
        <v>6423.0</v>
      </c>
    </row>
    <row r="927">
      <c r="A927" s="27">
        <v>45820.0</v>
      </c>
      <c r="B927" s="26" t="s">
        <v>3409</v>
      </c>
      <c r="C927" s="26" t="s">
        <v>2561</v>
      </c>
      <c r="D927" s="26">
        <v>598.7</v>
      </c>
      <c r="F927" s="26" t="s">
        <v>2542</v>
      </c>
      <c r="G927" s="26">
        <v>632.2</v>
      </c>
    </row>
    <row r="928">
      <c r="A928" s="27">
        <v>45820.0</v>
      </c>
      <c r="B928" s="26" t="s">
        <v>3409</v>
      </c>
      <c r="C928" s="28"/>
      <c r="D928" s="26">
        <v>48106.0</v>
      </c>
      <c r="F928" s="26" t="s">
        <v>2542</v>
      </c>
    </row>
    <row r="929">
      <c r="A929" s="27">
        <v>45820.0</v>
      </c>
      <c r="B929" s="26" t="s">
        <v>3410</v>
      </c>
      <c r="C929" s="26" t="s">
        <v>2764</v>
      </c>
      <c r="D929" s="26">
        <v>2000000.0</v>
      </c>
      <c r="F929" s="26" t="s">
        <v>2542</v>
      </c>
      <c r="G929" s="26">
        <v>6273.0</v>
      </c>
    </row>
    <row r="930">
      <c r="A930" s="27">
        <v>45819.0</v>
      </c>
      <c r="B930" s="26" t="s">
        <v>3411</v>
      </c>
      <c r="C930" s="26" t="s">
        <v>255</v>
      </c>
      <c r="D930" s="26">
        <v>9720000.0</v>
      </c>
      <c r="F930" s="26" t="s">
        <v>2542</v>
      </c>
    </row>
    <row r="931">
      <c r="A931" s="27">
        <v>45819.0</v>
      </c>
      <c r="B931" s="26" t="s">
        <v>3412</v>
      </c>
      <c r="C931" s="26" t="s">
        <v>255</v>
      </c>
      <c r="D931" s="26">
        <v>3240000.0</v>
      </c>
      <c r="F931" s="26" t="s">
        <v>2542</v>
      </c>
    </row>
    <row r="932">
      <c r="A932" s="27">
        <v>45819.0</v>
      </c>
      <c r="B932" s="26" t="s">
        <v>3413</v>
      </c>
      <c r="C932" s="26" t="s">
        <v>255</v>
      </c>
      <c r="D932" s="26">
        <v>1200000.0</v>
      </c>
      <c r="F932" s="26" t="s">
        <v>2542</v>
      </c>
    </row>
    <row r="933">
      <c r="A933" s="27">
        <v>45819.0</v>
      </c>
      <c r="B933" s="26" t="s">
        <v>3414</v>
      </c>
      <c r="C933" s="26" t="s">
        <v>255</v>
      </c>
      <c r="D933" s="26">
        <v>2304000.0</v>
      </c>
      <c r="F933" s="26" t="s">
        <v>2542</v>
      </c>
    </row>
    <row r="934">
      <c r="A934" s="27">
        <v>45819.0</v>
      </c>
      <c r="B934" s="26" t="s">
        <v>3415</v>
      </c>
      <c r="C934" s="26" t="s">
        <v>255</v>
      </c>
      <c r="D934" s="26">
        <v>1440000.0</v>
      </c>
      <c r="F934" s="26" t="s">
        <v>2542</v>
      </c>
    </row>
    <row r="935">
      <c r="A935" s="27">
        <v>45819.0</v>
      </c>
      <c r="B935" s="26" t="s">
        <v>3416</v>
      </c>
      <c r="C935" s="26" t="s">
        <v>255</v>
      </c>
      <c r="D935" s="26">
        <v>1790000.0</v>
      </c>
      <c r="F935" s="26" t="s">
        <v>2542</v>
      </c>
    </row>
    <row r="936">
      <c r="A936" s="27">
        <v>45819.0</v>
      </c>
      <c r="B936" s="26" t="s">
        <v>3417</v>
      </c>
      <c r="C936" s="26" t="s">
        <v>255</v>
      </c>
      <c r="D936" s="26">
        <v>4320000.0</v>
      </c>
      <c r="F936" s="26" t="s">
        <v>2542</v>
      </c>
    </row>
    <row r="937">
      <c r="A937" s="27">
        <v>45819.0</v>
      </c>
      <c r="B937" s="26" t="s">
        <v>3418</v>
      </c>
      <c r="C937" s="26" t="s">
        <v>255</v>
      </c>
      <c r="D937" s="26">
        <v>1080000.0</v>
      </c>
      <c r="F937" s="26" t="s">
        <v>2542</v>
      </c>
    </row>
    <row r="938">
      <c r="A938" s="27">
        <v>45819.0</v>
      </c>
      <c r="B938" s="26" t="s">
        <v>3419</v>
      </c>
      <c r="C938" s="26" t="s">
        <v>255</v>
      </c>
      <c r="D938" s="26">
        <v>1450000.0</v>
      </c>
      <c r="F938" s="26" t="s">
        <v>2542</v>
      </c>
    </row>
    <row r="939">
      <c r="A939" s="27">
        <v>45819.0</v>
      </c>
      <c r="B939" s="26" t="s">
        <v>3420</v>
      </c>
      <c r="C939" s="26" t="s">
        <v>2583</v>
      </c>
      <c r="D939" s="26">
        <v>725000.0</v>
      </c>
      <c r="F939" s="26" t="s">
        <v>2542</v>
      </c>
      <c r="G939" s="26">
        <v>641.14</v>
      </c>
    </row>
    <row r="940">
      <c r="A940" s="27">
        <v>45819.0</v>
      </c>
      <c r="B940" s="26" t="s">
        <v>3421</v>
      </c>
      <c r="C940" s="26" t="s">
        <v>2545</v>
      </c>
      <c r="D940" s="26">
        <v>1.2E7</v>
      </c>
      <c r="F940" s="26" t="s">
        <v>2542</v>
      </c>
      <c r="G940" s="26">
        <v>3341.0</v>
      </c>
    </row>
    <row r="941">
      <c r="A941" s="27">
        <v>45819.0</v>
      </c>
      <c r="B941" s="26" t="s">
        <v>3422</v>
      </c>
      <c r="C941" s="26" t="s">
        <v>2545</v>
      </c>
      <c r="D941" s="26">
        <v>1.2E7</v>
      </c>
      <c r="F941" s="26" t="s">
        <v>2542</v>
      </c>
      <c r="G941" s="26">
        <v>3341.0</v>
      </c>
    </row>
    <row r="942">
      <c r="A942" s="27">
        <v>45819.0</v>
      </c>
      <c r="B942" s="26" t="s">
        <v>3423</v>
      </c>
      <c r="C942" s="26" t="s">
        <v>2571</v>
      </c>
      <c r="D942" s="26">
        <v>2064000.0</v>
      </c>
      <c r="F942" s="26" t="s">
        <v>2542</v>
      </c>
      <c r="G942" s="26">
        <v>641.16</v>
      </c>
    </row>
    <row r="943">
      <c r="A943" s="27">
        <v>45818.0</v>
      </c>
      <c r="B943" s="26" t="s">
        <v>3424</v>
      </c>
      <c r="C943" s="26" t="s">
        <v>255</v>
      </c>
      <c r="D943" s="26">
        <v>1.1686125E7</v>
      </c>
      <c r="F943" s="26" t="s">
        <v>2542</v>
      </c>
    </row>
    <row r="944">
      <c r="A944" s="27">
        <v>45818.0</v>
      </c>
      <c r="B944" s="26" t="s">
        <v>3425</v>
      </c>
      <c r="C944" s="26" t="s">
        <v>255</v>
      </c>
      <c r="D944" s="26">
        <v>1080000.0</v>
      </c>
      <c r="F944" s="26" t="s">
        <v>2542</v>
      </c>
    </row>
    <row r="945">
      <c r="A945" s="27">
        <v>45818.0</v>
      </c>
      <c r="B945" s="26" t="s">
        <v>3426</v>
      </c>
      <c r="C945" s="26" t="s">
        <v>255</v>
      </c>
      <c r="D945" s="26">
        <v>780000.0</v>
      </c>
      <c r="F945" s="26" t="s">
        <v>2542</v>
      </c>
    </row>
    <row r="946">
      <c r="A946" s="27">
        <v>45818.0</v>
      </c>
      <c r="B946" s="26" t="s">
        <v>3427</v>
      </c>
      <c r="C946" s="26" t="s">
        <v>255</v>
      </c>
      <c r="D946" s="26">
        <v>1140000.0</v>
      </c>
      <c r="F946" s="26" t="s">
        <v>2542</v>
      </c>
    </row>
    <row r="947">
      <c r="A947" s="27">
        <v>45818.0</v>
      </c>
      <c r="B947" s="26" t="s">
        <v>3428</v>
      </c>
      <c r="C947" s="26" t="s">
        <v>255</v>
      </c>
      <c r="D947" s="26">
        <v>3480000.0</v>
      </c>
      <c r="F947" s="26" t="s">
        <v>2542</v>
      </c>
    </row>
    <row r="948">
      <c r="A948" s="27">
        <v>45818.0</v>
      </c>
      <c r="B948" s="26" t="s">
        <v>3429</v>
      </c>
      <c r="C948" s="26" t="s">
        <v>255</v>
      </c>
      <c r="D948" s="26">
        <v>1080000.0</v>
      </c>
      <c r="F948" s="26" t="s">
        <v>2542</v>
      </c>
    </row>
    <row r="949">
      <c r="A949" s="27">
        <v>45818.0</v>
      </c>
      <c r="B949" s="26" t="s">
        <v>3109</v>
      </c>
      <c r="C949" s="28"/>
      <c r="D949" s="26">
        <v>1.0E7</v>
      </c>
      <c r="F949" s="26" t="s">
        <v>2542</v>
      </c>
    </row>
    <row r="950">
      <c r="A950" s="27">
        <v>45818.0</v>
      </c>
      <c r="B950" s="26" t="s">
        <v>3430</v>
      </c>
      <c r="C950" s="26" t="s">
        <v>2561</v>
      </c>
      <c r="D950" s="26">
        <v>3000000.0</v>
      </c>
      <c r="F950" s="26" t="s">
        <v>2542</v>
      </c>
      <c r="G950" s="26">
        <v>331.0</v>
      </c>
    </row>
    <row r="951">
      <c r="A951" s="27">
        <v>45818.0</v>
      </c>
      <c r="B951" s="26" t="s">
        <v>3431</v>
      </c>
      <c r="C951" s="26" t="s">
        <v>2583</v>
      </c>
      <c r="D951" s="26">
        <v>2058000.0</v>
      </c>
      <c r="F951" s="26" t="s">
        <v>2542</v>
      </c>
      <c r="G951" s="26">
        <v>641.27</v>
      </c>
    </row>
    <row r="952">
      <c r="A952" s="27">
        <v>45818.0</v>
      </c>
      <c r="B952" s="26" t="s">
        <v>3432</v>
      </c>
      <c r="C952" s="26" t="s">
        <v>2561</v>
      </c>
      <c r="D952" s="26">
        <v>2.3419204E7</v>
      </c>
      <c r="F952" s="26" t="s">
        <v>2542</v>
      </c>
      <c r="G952" s="26">
        <v>331.0</v>
      </c>
    </row>
    <row r="953">
      <c r="A953" s="27">
        <v>45818.0</v>
      </c>
      <c r="B953" s="26" t="s">
        <v>3433</v>
      </c>
      <c r="C953" s="26" t="s">
        <v>2593</v>
      </c>
      <c r="D953" s="26">
        <v>17712.0</v>
      </c>
      <c r="F953" s="26" t="s">
        <v>2542</v>
      </c>
      <c r="G953" s="26">
        <v>6423.0</v>
      </c>
    </row>
    <row r="954">
      <c r="A954" s="27">
        <v>45817.0</v>
      </c>
      <c r="B954" s="26" t="s">
        <v>3434</v>
      </c>
      <c r="C954" s="26" t="s">
        <v>255</v>
      </c>
      <c r="D954" s="26">
        <v>1188000.0</v>
      </c>
      <c r="F954" s="26" t="s">
        <v>2542</v>
      </c>
    </row>
    <row r="955">
      <c r="A955" s="27">
        <v>45817.0</v>
      </c>
      <c r="B955" s="26" t="s">
        <v>3435</v>
      </c>
      <c r="C955" s="26" t="s">
        <v>2574</v>
      </c>
      <c r="D955" s="26">
        <v>2282500.0</v>
      </c>
      <c r="F955" s="26" t="s">
        <v>2542</v>
      </c>
      <c r="G955" s="26">
        <v>331.0</v>
      </c>
    </row>
    <row r="956">
      <c r="A956" s="27">
        <v>45817.0</v>
      </c>
      <c r="B956" s="26" t="s">
        <v>3436</v>
      </c>
      <c r="C956" s="26" t="s">
        <v>2574</v>
      </c>
      <c r="D956" s="26">
        <v>8583300.0</v>
      </c>
      <c r="F956" s="26" t="s">
        <v>2542</v>
      </c>
      <c r="G956" s="26">
        <v>331.0</v>
      </c>
    </row>
    <row r="957">
      <c r="A957" s="27">
        <v>45816.0</v>
      </c>
      <c r="B957" s="26" t="s">
        <v>3437</v>
      </c>
      <c r="C957" s="26" t="s">
        <v>255</v>
      </c>
      <c r="D957" s="26">
        <v>3657500.0</v>
      </c>
      <c r="F957" s="26" t="s">
        <v>2542</v>
      </c>
    </row>
    <row r="958">
      <c r="A958" s="27">
        <v>45815.0</v>
      </c>
      <c r="B958" s="26" t="s">
        <v>3438</v>
      </c>
      <c r="C958" s="26" t="s">
        <v>255</v>
      </c>
      <c r="D958" s="26">
        <v>624102.0</v>
      </c>
      <c r="F958" s="26" t="s">
        <v>2542</v>
      </c>
    </row>
    <row r="959">
      <c r="A959" s="27">
        <v>45815.0</v>
      </c>
      <c r="B959" s="26" t="s">
        <v>3439</v>
      </c>
      <c r="C959" s="26" t="s">
        <v>255</v>
      </c>
      <c r="D959" s="26">
        <v>1.3808E7</v>
      </c>
      <c r="F959" s="26" t="s">
        <v>2542</v>
      </c>
    </row>
    <row r="960">
      <c r="A960" s="27">
        <v>45815.0</v>
      </c>
      <c r="B960" s="26" t="s">
        <v>3440</v>
      </c>
      <c r="C960" s="26" t="s">
        <v>255</v>
      </c>
      <c r="D960" s="26">
        <v>1500000.0</v>
      </c>
      <c r="F960" s="26" t="s">
        <v>2542</v>
      </c>
    </row>
    <row r="961">
      <c r="A961" s="27">
        <v>45815.0</v>
      </c>
      <c r="B961" s="26" t="s">
        <v>3441</v>
      </c>
      <c r="C961" s="26" t="s">
        <v>255</v>
      </c>
      <c r="D961" s="26">
        <v>1320000.0</v>
      </c>
      <c r="F961" s="26" t="s">
        <v>2542</v>
      </c>
    </row>
    <row r="962">
      <c r="A962" s="27">
        <v>45815.0</v>
      </c>
      <c r="B962" s="26" t="s">
        <v>3438</v>
      </c>
      <c r="C962" s="28"/>
      <c r="D962" s="26">
        <v>624102.0</v>
      </c>
      <c r="F962" s="26" t="s">
        <v>2542</v>
      </c>
    </row>
    <row r="963">
      <c r="A963" s="27">
        <v>45815.0</v>
      </c>
      <c r="B963" s="26" t="s">
        <v>3442</v>
      </c>
      <c r="C963" s="26" t="s">
        <v>2564</v>
      </c>
      <c r="D963" s="26" t="s">
        <v>3443</v>
      </c>
      <c r="F963" s="26" t="s">
        <v>2542</v>
      </c>
      <c r="G963" s="26">
        <v>3332.0</v>
      </c>
    </row>
    <row r="964">
      <c r="A964" s="27">
        <v>45815.0</v>
      </c>
      <c r="B964" s="26" t="s">
        <v>3444</v>
      </c>
      <c r="C964" s="26" t="s">
        <v>2564</v>
      </c>
      <c r="D964" s="26" t="s">
        <v>3445</v>
      </c>
      <c r="F964" s="26" t="s">
        <v>2542</v>
      </c>
      <c r="G964" s="26">
        <v>3332.0</v>
      </c>
    </row>
    <row r="965">
      <c r="A965" s="27">
        <v>45814.0</v>
      </c>
      <c r="B965" s="26" t="s">
        <v>3446</v>
      </c>
      <c r="C965" s="26" t="s">
        <v>255</v>
      </c>
      <c r="D965" s="26">
        <v>5930000.0</v>
      </c>
      <c r="F965" s="26" t="s">
        <v>2542</v>
      </c>
    </row>
    <row r="966">
      <c r="A966" s="27">
        <v>45814.0</v>
      </c>
      <c r="B966" s="26" t="s">
        <v>3447</v>
      </c>
      <c r="C966" s="26" t="s">
        <v>255</v>
      </c>
      <c r="D966" s="26">
        <v>1.0E7</v>
      </c>
      <c r="F966" s="26" t="s">
        <v>2542</v>
      </c>
    </row>
    <row r="967">
      <c r="A967" s="27">
        <v>45814.0</v>
      </c>
      <c r="B967" s="26" t="s">
        <v>3448</v>
      </c>
      <c r="C967" s="26" t="s">
        <v>255</v>
      </c>
      <c r="D967" s="26">
        <v>1.0E7</v>
      </c>
      <c r="F967" s="26" t="s">
        <v>2542</v>
      </c>
    </row>
    <row r="968">
      <c r="A968" s="27">
        <v>45814.0</v>
      </c>
      <c r="B968" s="26" t="s">
        <v>3449</v>
      </c>
      <c r="C968" s="26" t="s">
        <v>255</v>
      </c>
      <c r="D968" s="26">
        <v>1.55232E7</v>
      </c>
      <c r="F968" s="26" t="s">
        <v>2542</v>
      </c>
    </row>
    <row r="969">
      <c r="A969" s="27">
        <v>45814.0</v>
      </c>
      <c r="B969" s="26" t="s">
        <v>3450</v>
      </c>
      <c r="C969" s="26" t="s">
        <v>255</v>
      </c>
      <c r="D969" s="26">
        <v>4320000.0</v>
      </c>
      <c r="F969" s="26" t="s">
        <v>2542</v>
      </c>
    </row>
    <row r="970">
      <c r="A970" s="27">
        <v>45814.0</v>
      </c>
      <c r="B970" s="26" t="s">
        <v>3451</v>
      </c>
      <c r="C970" s="26" t="s">
        <v>255</v>
      </c>
      <c r="D970" s="26">
        <v>3830000.0</v>
      </c>
      <c r="F970" s="26" t="s">
        <v>2542</v>
      </c>
    </row>
    <row r="971">
      <c r="A971" s="27">
        <v>45814.0</v>
      </c>
      <c r="B971" s="26" t="s">
        <v>3452</v>
      </c>
      <c r="C971" s="26" t="s">
        <v>255</v>
      </c>
      <c r="D971" s="26">
        <v>2.3537E7</v>
      </c>
      <c r="F971" s="26" t="s">
        <v>2542</v>
      </c>
    </row>
    <row r="972">
      <c r="A972" s="27">
        <v>45814.0</v>
      </c>
      <c r="B972" s="26" t="s">
        <v>3453</v>
      </c>
      <c r="C972" s="28"/>
      <c r="D972" s="26">
        <v>2.0E7</v>
      </c>
      <c r="F972" s="26" t="s">
        <v>2542</v>
      </c>
    </row>
    <row r="973">
      <c r="A973" s="27">
        <v>45814.0</v>
      </c>
      <c r="B973" s="26" t="s">
        <v>3454</v>
      </c>
      <c r="C973" s="26" t="s">
        <v>2545</v>
      </c>
      <c r="D973" s="26">
        <v>1.56E7</v>
      </c>
      <c r="F973" s="26" t="s">
        <v>2542</v>
      </c>
      <c r="G973" s="26">
        <v>3341.0</v>
      </c>
    </row>
    <row r="974">
      <c r="A974" s="27">
        <v>45814.0</v>
      </c>
      <c r="B974" s="26" t="s">
        <v>3455</v>
      </c>
      <c r="C974" s="26" t="s">
        <v>2545</v>
      </c>
      <c r="D974" s="26">
        <v>1.536E7</v>
      </c>
      <c r="F974" s="26" t="s">
        <v>2542</v>
      </c>
      <c r="G974" s="26">
        <v>3341.0</v>
      </c>
    </row>
    <row r="975">
      <c r="A975" s="27">
        <v>45814.0</v>
      </c>
      <c r="B975" s="26" t="s">
        <v>3456</v>
      </c>
      <c r="C975" s="26" t="s">
        <v>2545</v>
      </c>
      <c r="D975" s="26">
        <v>1.116E7</v>
      </c>
      <c r="F975" s="26" t="s">
        <v>2542</v>
      </c>
      <c r="G975" s="26">
        <v>3341.0</v>
      </c>
    </row>
    <row r="976">
      <c r="A976" s="27">
        <v>45814.0</v>
      </c>
      <c r="B976" s="26" t="s">
        <v>3457</v>
      </c>
      <c r="C976" s="26" t="s">
        <v>2545</v>
      </c>
      <c r="D976" s="26">
        <v>9370000.0</v>
      </c>
      <c r="F976" s="26" t="s">
        <v>2542</v>
      </c>
      <c r="G976" s="26">
        <v>3341.0</v>
      </c>
    </row>
    <row r="977">
      <c r="A977" s="27">
        <v>45814.0</v>
      </c>
      <c r="B977" s="26" t="s">
        <v>3458</v>
      </c>
      <c r="C977" s="26" t="s">
        <v>2545</v>
      </c>
      <c r="D977" s="26">
        <v>9000000.0</v>
      </c>
      <c r="F977" s="26" t="s">
        <v>2542</v>
      </c>
      <c r="G977" s="26">
        <v>3341.0</v>
      </c>
    </row>
    <row r="978">
      <c r="A978" s="27">
        <v>45814.0</v>
      </c>
      <c r="B978" s="26" t="s">
        <v>3459</v>
      </c>
      <c r="C978" s="26" t="s">
        <v>3460</v>
      </c>
      <c r="D978" s="26">
        <v>1000000.0</v>
      </c>
      <c r="F978" s="26" t="s">
        <v>2542</v>
      </c>
      <c r="G978" s="26">
        <v>331.0</v>
      </c>
    </row>
    <row r="979">
      <c r="A979" s="27">
        <v>45814.0</v>
      </c>
      <c r="B979" s="26" t="s">
        <v>3461</v>
      </c>
      <c r="C979" s="26" t="s">
        <v>2545</v>
      </c>
      <c r="D979" s="26">
        <v>3.0E7</v>
      </c>
      <c r="F979" s="26" t="s">
        <v>2542</v>
      </c>
      <c r="G979" s="26">
        <v>3341.0</v>
      </c>
    </row>
    <row r="980">
      <c r="A980" s="27">
        <v>45814.0</v>
      </c>
      <c r="B980" s="26" t="s">
        <v>3444</v>
      </c>
      <c r="C980" s="26" t="s">
        <v>2564</v>
      </c>
      <c r="D980" s="26">
        <v>155.775</v>
      </c>
      <c r="F980" s="26" t="s">
        <v>2542</v>
      </c>
      <c r="G980" s="26">
        <v>3332.0</v>
      </c>
    </row>
    <row r="981">
      <c r="A981" s="27">
        <v>45813.0</v>
      </c>
      <c r="B981" s="26" t="s">
        <v>3462</v>
      </c>
      <c r="C981" s="26" t="s">
        <v>255</v>
      </c>
      <c r="D981" s="26">
        <v>5770000.0</v>
      </c>
      <c r="F981" s="26" t="s">
        <v>2542</v>
      </c>
    </row>
    <row r="982">
      <c r="A982" s="27">
        <v>45812.0</v>
      </c>
      <c r="B982" s="26" t="s">
        <v>3463</v>
      </c>
      <c r="C982" s="26" t="s">
        <v>255</v>
      </c>
      <c r="D982" s="26">
        <v>1450000.0</v>
      </c>
      <c r="F982" s="26" t="s">
        <v>2542</v>
      </c>
    </row>
    <row r="983">
      <c r="A983" s="27">
        <v>45812.0</v>
      </c>
      <c r="B983" s="26" t="s">
        <v>3464</v>
      </c>
      <c r="C983" s="26" t="s">
        <v>255</v>
      </c>
      <c r="D983" s="26">
        <v>1200000.0</v>
      </c>
      <c r="F983" s="26" t="s">
        <v>2542</v>
      </c>
    </row>
    <row r="984">
      <c r="A984" s="27">
        <v>45812.0</v>
      </c>
      <c r="B984" s="26" t="s">
        <v>3465</v>
      </c>
      <c r="C984" s="26" t="s">
        <v>2561</v>
      </c>
      <c r="D984" s="26">
        <v>4000000.0</v>
      </c>
      <c r="F984" s="26" t="s">
        <v>2542</v>
      </c>
      <c r="G984" s="26">
        <v>331.0</v>
      </c>
    </row>
    <row r="985">
      <c r="A985" s="27">
        <v>45811.0</v>
      </c>
      <c r="B985" s="26" t="s">
        <v>3466</v>
      </c>
      <c r="C985" s="26" t="s">
        <v>255</v>
      </c>
      <c r="D985" s="26">
        <v>2380000.0</v>
      </c>
      <c r="F985" s="26" t="s">
        <v>2542</v>
      </c>
    </row>
    <row r="986">
      <c r="A986" s="27">
        <v>45811.0</v>
      </c>
      <c r="B986" s="26" t="s">
        <v>3467</v>
      </c>
      <c r="C986" s="26" t="s">
        <v>2561</v>
      </c>
      <c r="D986" s="26">
        <v>7500000.0</v>
      </c>
      <c r="F986" s="26" t="s">
        <v>2542</v>
      </c>
      <c r="G986" s="26">
        <v>331.0</v>
      </c>
    </row>
    <row r="987">
      <c r="A987" s="27">
        <v>45811.0</v>
      </c>
      <c r="B987" s="26" t="s">
        <v>3468</v>
      </c>
      <c r="C987" s="26" t="s">
        <v>2545</v>
      </c>
      <c r="D987" s="26">
        <v>1.9895E7</v>
      </c>
      <c r="F987" s="26" t="s">
        <v>2542</v>
      </c>
      <c r="G987" s="26">
        <v>3341.0</v>
      </c>
    </row>
    <row r="988">
      <c r="A988" s="27">
        <v>45811.0</v>
      </c>
      <c r="B988" s="26" t="s">
        <v>3469</v>
      </c>
      <c r="C988" s="26" t="s">
        <v>2583</v>
      </c>
      <c r="D988" s="26">
        <v>1862000.0</v>
      </c>
      <c r="F988" s="26" t="s">
        <v>2542</v>
      </c>
      <c r="G988" s="26">
        <v>641.27</v>
      </c>
    </row>
    <row r="989">
      <c r="A989" s="27">
        <v>45811.0</v>
      </c>
      <c r="B989" s="26" t="s">
        <v>3470</v>
      </c>
      <c r="C989" s="26" t="s">
        <v>2764</v>
      </c>
      <c r="D989" s="26">
        <v>4500000.0</v>
      </c>
      <c r="F989" s="26" t="s">
        <v>2542</v>
      </c>
      <c r="G989" s="26">
        <v>6273.0</v>
      </c>
    </row>
    <row r="990">
      <c r="A990" s="27">
        <v>45811.0</v>
      </c>
      <c r="B990" s="26" t="s">
        <v>3471</v>
      </c>
      <c r="C990" s="26" t="s">
        <v>2571</v>
      </c>
      <c r="D990" s="26">
        <v>185000.0</v>
      </c>
      <c r="F990" s="26" t="s">
        <v>2542</v>
      </c>
      <c r="G990" s="26">
        <v>641.22</v>
      </c>
    </row>
    <row r="991">
      <c r="A991" s="27">
        <v>45810.0</v>
      </c>
      <c r="B991" s="26" t="s">
        <v>3472</v>
      </c>
      <c r="C991" s="26" t="s">
        <v>255</v>
      </c>
      <c r="D991" s="26">
        <v>1080000.0</v>
      </c>
      <c r="F991" s="26" t="s">
        <v>2542</v>
      </c>
    </row>
    <row r="992">
      <c r="A992" s="27">
        <v>45810.0</v>
      </c>
      <c r="B992" s="26" t="s">
        <v>3473</v>
      </c>
      <c r="C992" s="26" t="s">
        <v>255</v>
      </c>
      <c r="D992" s="26">
        <v>1080000.0</v>
      </c>
      <c r="F992" s="26" t="s">
        <v>2542</v>
      </c>
    </row>
    <row r="993">
      <c r="A993" s="27">
        <v>45810.0</v>
      </c>
      <c r="B993" s="26" t="s">
        <v>3474</v>
      </c>
      <c r="C993" s="26" t="s">
        <v>255</v>
      </c>
      <c r="D993" s="26">
        <v>2160000.0</v>
      </c>
      <c r="F993" s="26" t="s">
        <v>2542</v>
      </c>
    </row>
    <row r="994">
      <c r="A994" s="27">
        <v>45810.0</v>
      </c>
      <c r="B994" s="26" t="s">
        <v>3475</v>
      </c>
      <c r="C994" s="26" t="s">
        <v>255</v>
      </c>
      <c r="D994" s="26">
        <v>1320000.0</v>
      </c>
      <c r="F994" s="26" t="s">
        <v>2542</v>
      </c>
    </row>
    <row r="995">
      <c r="A995" s="27">
        <v>45810.0</v>
      </c>
      <c r="B995" s="26" t="s">
        <v>3476</v>
      </c>
      <c r="C995" s="26" t="s">
        <v>255</v>
      </c>
      <c r="D995" s="26">
        <v>1568000.0</v>
      </c>
      <c r="F995" s="26" t="s">
        <v>2542</v>
      </c>
    </row>
    <row r="996">
      <c r="A996" s="27">
        <v>45810.0</v>
      </c>
      <c r="B996" s="26" t="s">
        <v>3477</v>
      </c>
      <c r="C996" s="26" t="s">
        <v>255</v>
      </c>
      <c r="D996" s="26">
        <v>1593750.0</v>
      </c>
      <c r="F996" s="26" t="s">
        <v>2542</v>
      </c>
    </row>
    <row r="997">
      <c r="A997" s="27">
        <v>45810.0</v>
      </c>
      <c r="B997" s="26" t="s">
        <v>3478</v>
      </c>
      <c r="C997" s="26" t="s">
        <v>255</v>
      </c>
      <c r="D997" s="26">
        <v>7820000.0</v>
      </c>
      <c r="F997" s="26" t="s">
        <v>2542</v>
      </c>
    </row>
    <row r="998">
      <c r="A998" s="27">
        <v>45810.0</v>
      </c>
      <c r="B998" s="26" t="s">
        <v>3479</v>
      </c>
      <c r="C998" s="26" t="s">
        <v>255</v>
      </c>
      <c r="D998" s="26">
        <v>2160000.0</v>
      </c>
      <c r="F998" s="26" t="s">
        <v>2542</v>
      </c>
    </row>
    <row r="999">
      <c r="A999" s="27">
        <v>45810.0</v>
      </c>
      <c r="B999" s="26" t="s">
        <v>3480</v>
      </c>
      <c r="C999" s="26" t="s">
        <v>255</v>
      </c>
      <c r="D999" s="26">
        <v>2380000.0</v>
      </c>
      <c r="F999" s="26" t="s">
        <v>2542</v>
      </c>
    </row>
    <row r="1000">
      <c r="A1000" s="27">
        <v>45810.0</v>
      </c>
      <c r="B1000" s="26" t="s">
        <v>3481</v>
      </c>
      <c r="C1000" s="26" t="s">
        <v>255</v>
      </c>
      <c r="D1000" s="26">
        <v>1.254E7</v>
      </c>
      <c r="F1000" s="26" t="s">
        <v>2542</v>
      </c>
    </row>
    <row r="1001">
      <c r="A1001" s="27">
        <v>45810.0</v>
      </c>
      <c r="B1001" s="26" t="s">
        <v>3482</v>
      </c>
      <c r="C1001" s="26" t="s">
        <v>255</v>
      </c>
      <c r="D1001" s="26">
        <v>1188000.0</v>
      </c>
      <c r="F1001" s="26" t="s">
        <v>2542</v>
      </c>
    </row>
    <row r="1002">
      <c r="A1002" s="27">
        <v>45810.0</v>
      </c>
      <c r="B1002" s="26" t="s">
        <v>3483</v>
      </c>
      <c r="C1002" s="26" t="s">
        <v>2583</v>
      </c>
      <c r="D1002" s="26">
        <v>1000000.0</v>
      </c>
      <c r="F1002" s="26" t="s">
        <v>2542</v>
      </c>
      <c r="G1002" s="26">
        <v>641.13</v>
      </c>
    </row>
    <row r="1003">
      <c r="A1003" s="27">
        <v>45808.0</v>
      </c>
      <c r="B1003" s="26" t="s">
        <v>2543</v>
      </c>
      <c r="C1003" s="26" t="s">
        <v>255</v>
      </c>
      <c r="D1003" s="26">
        <v>692.0</v>
      </c>
      <c r="F1003" s="26" t="s">
        <v>2542</v>
      </c>
    </row>
    <row r="1004">
      <c r="A1004" s="27">
        <v>45807.0</v>
      </c>
      <c r="B1004" s="26" t="s">
        <v>3484</v>
      </c>
      <c r="C1004" s="26" t="s">
        <v>255</v>
      </c>
      <c r="D1004" s="26">
        <v>1450000.0</v>
      </c>
      <c r="F1004" s="26" t="s">
        <v>2542</v>
      </c>
    </row>
    <row r="1005">
      <c r="A1005" s="27">
        <v>45807.0</v>
      </c>
      <c r="B1005" s="26" t="s">
        <v>3485</v>
      </c>
      <c r="C1005" s="26" t="s">
        <v>2583</v>
      </c>
      <c r="D1005" s="26">
        <v>339000.0</v>
      </c>
      <c r="F1005" s="26" t="s">
        <v>2542</v>
      </c>
      <c r="G1005" s="26">
        <v>641.37</v>
      </c>
    </row>
    <row r="1006">
      <c r="A1006" s="27">
        <v>45806.0</v>
      </c>
      <c r="B1006" s="26" t="s">
        <v>3486</v>
      </c>
      <c r="C1006" s="26" t="s">
        <v>255</v>
      </c>
      <c r="D1006" s="26">
        <v>4775000.0</v>
      </c>
      <c r="F1006" s="26" t="s">
        <v>2542</v>
      </c>
    </row>
    <row r="1007">
      <c r="A1007" s="27">
        <v>45806.0</v>
      </c>
      <c r="B1007" s="26" t="s">
        <v>3487</v>
      </c>
      <c r="C1007" s="26" t="s">
        <v>255</v>
      </c>
      <c r="D1007" s="26">
        <v>1080000.0</v>
      </c>
      <c r="F1007" s="26" t="s">
        <v>2542</v>
      </c>
    </row>
    <row r="1008">
      <c r="A1008" s="27">
        <v>45806.0</v>
      </c>
      <c r="B1008" s="26" t="s">
        <v>3488</v>
      </c>
      <c r="C1008" s="26" t="s">
        <v>2571</v>
      </c>
      <c r="D1008" s="26">
        <v>600000.0</v>
      </c>
      <c r="F1008" s="26" t="s">
        <v>2542</v>
      </c>
      <c r="G1008" s="26">
        <v>641.22</v>
      </c>
    </row>
    <row r="1009">
      <c r="A1009" s="27">
        <v>45806.0</v>
      </c>
      <c r="B1009" s="26" t="s">
        <v>3489</v>
      </c>
      <c r="C1009" s="26" t="s">
        <v>2583</v>
      </c>
      <c r="D1009" s="26">
        <v>2083000.0</v>
      </c>
      <c r="F1009" s="26" t="s">
        <v>2542</v>
      </c>
      <c r="G1009" s="26">
        <v>641.27</v>
      </c>
    </row>
    <row r="1010">
      <c r="A1010" s="27">
        <v>45805.0</v>
      </c>
      <c r="B1010" s="26" t="s">
        <v>3490</v>
      </c>
      <c r="C1010" s="26" t="s">
        <v>255</v>
      </c>
      <c r="D1010" s="26">
        <v>8950000.0</v>
      </c>
      <c r="F1010" s="26" t="s">
        <v>2542</v>
      </c>
    </row>
    <row r="1011">
      <c r="A1011" s="27">
        <v>45805.0</v>
      </c>
      <c r="B1011" s="26" t="s">
        <v>3491</v>
      </c>
      <c r="C1011" s="26" t="s">
        <v>2583</v>
      </c>
      <c r="D1011" s="26">
        <v>8126000.0</v>
      </c>
      <c r="F1011" s="26" t="s">
        <v>2542</v>
      </c>
      <c r="G1011" s="26">
        <v>641.37</v>
      </c>
    </row>
    <row r="1012">
      <c r="A1012" s="27">
        <v>45804.0</v>
      </c>
      <c r="B1012" s="26" t="s">
        <v>3492</v>
      </c>
      <c r="C1012" s="26" t="s">
        <v>255</v>
      </c>
      <c r="D1012" s="26">
        <v>3.733216E7</v>
      </c>
      <c r="F1012" s="26" t="s">
        <v>2542</v>
      </c>
    </row>
    <row r="1013">
      <c r="A1013" s="27">
        <v>45804.0</v>
      </c>
      <c r="B1013" s="26" t="s">
        <v>3493</v>
      </c>
      <c r="C1013" s="26" t="s">
        <v>255</v>
      </c>
      <c r="D1013" s="26">
        <v>7128000.0</v>
      </c>
      <c r="F1013" s="26" t="s">
        <v>2542</v>
      </c>
    </row>
    <row r="1014">
      <c r="A1014" s="27">
        <v>45804.0</v>
      </c>
      <c r="B1014" s="26" t="s">
        <v>3494</v>
      </c>
      <c r="C1014" s="26" t="s">
        <v>2561</v>
      </c>
      <c r="D1014" s="26">
        <v>5.82471E7</v>
      </c>
      <c r="F1014" s="26" t="s">
        <v>2542</v>
      </c>
      <c r="G1014" s="26">
        <v>331.0</v>
      </c>
    </row>
    <row r="1015">
      <c r="A1015" s="27">
        <v>45803.0</v>
      </c>
      <c r="B1015" s="26" t="s">
        <v>3495</v>
      </c>
      <c r="C1015" s="26" t="s">
        <v>255</v>
      </c>
      <c r="D1015" s="26">
        <v>7415000.0</v>
      </c>
      <c r="F1015" s="26" t="s">
        <v>2542</v>
      </c>
    </row>
    <row r="1016">
      <c r="A1016" s="27">
        <v>45803.0</v>
      </c>
      <c r="B1016" s="26" t="s">
        <v>3496</v>
      </c>
      <c r="C1016" s="26" t="s">
        <v>255</v>
      </c>
      <c r="D1016" s="26">
        <v>2160000.0</v>
      </c>
      <c r="F1016" s="26" t="s">
        <v>2542</v>
      </c>
    </row>
    <row r="1017">
      <c r="A1017" s="27">
        <v>45803.0</v>
      </c>
      <c r="B1017" s="26" t="s">
        <v>3497</v>
      </c>
      <c r="C1017" s="26" t="s">
        <v>255</v>
      </c>
      <c r="D1017" s="26">
        <v>1568000.0</v>
      </c>
      <c r="F1017" s="26" t="s">
        <v>2542</v>
      </c>
    </row>
    <row r="1018">
      <c r="A1018" s="27">
        <v>45803.0</v>
      </c>
      <c r="B1018" s="26" t="s">
        <v>3498</v>
      </c>
      <c r="C1018" s="26" t="s">
        <v>255</v>
      </c>
      <c r="D1018" s="26">
        <v>2160000.0</v>
      </c>
      <c r="F1018" s="26" t="s">
        <v>2542</v>
      </c>
    </row>
    <row r="1019">
      <c r="A1019" s="27">
        <v>45803.0</v>
      </c>
      <c r="B1019" s="26" t="s">
        <v>3499</v>
      </c>
      <c r="C1019" s="26" t="s">
        <v>255</v>
      </c>
      <c r="D1019" s="26">
        <v>1295000.0</v>
      </c>
      <c r="F1019" s="26" t="s">
        <v>2542</v>
      </c>
    </row>
    <row r="1020">
      <c r="A1020" s="27">
        <v>45803.0</v>
      </c>
      <c r="B1020" s="26" t="s">
        <v>3500</v>
      </c>
      <c r="C1020" s="26" t="s">
        <v>255</v>
      </c>
      <c r="D1020" s="26">
        <v>2232000.0</v>
      </c>
      <c r="F1020" s="26" t="s">
        <v>2542</v>
      </c>
    </row>
    <row r="1021">
      <c r="A1021" s="27">
        <v>45803.0</v>
      </c>
      <c r="B1021" s="26" t="s">
        <v>3501</v>
      </c>
      <c r="C1021" s="26" t="s">
        <v>255</v>
      </c>
      <c r="D1021" s="26">
        <v>2160000.0</v>
      </c>
      <c r="F1021" s="26" t="s">
        <v>2542</v>
      </c>
    </row>
    <row r="1022">
      <c r="A1022" s="27">
        <v>45803.0</v>
      </c>
      <c r="B1022" s="26" t="s">
        <v>3502</v>
      </c>
      <c r="C1022" s="26" t="s">
        <v>255</v>
      </c>
      <c r="D1022" s="26">
        <v>2900000.0</v>
      </c>
      <c r="F1022" s="26" t="s">
        <v>2542</v>
      </c>
    </row>
    <row r="1023">
      <c r="A1023" s="27">
        <v>45803.0</v>
      </c>
      <c r="B1023" s="26" t="s">
        <v>3503</v>
      </c>
      <c r="C1023" s="26" t="s">
        <v>255</v>
      </c>
      <c r="D1023" s="26">
        <v>4450583.0</v>
      </c>
      <c r="F1023" s="26" t="s">
        <v>2542</v>
      </c>
    </row>
    <row r="1024">
      <c r="A1024" s="27">
        <v>45803.0</v>
      </c>
      <c r="B1024" s="26" t="s">
        <v>3504</v>
      </c>
      <c r="C1024" s="26" t="s">
        <v>2574</v>
      </c>
      <c r="D1024" s="26">
        <v>6724080.0</v>
      </c>
      <c r="F1024" s="26" t="s">
        <v>2542</v>
      </c>
      <c r="G1024" s="26">
        <v>331.0</v>
      </c>
    </row>
    <row r="1025">
      <c r="A1025" s="27">
        <v>45803.0</v>
      </c>
      <c r="B1025" s="26" t="s">
        <v>3505</v>
      </c>
      <c r="C1025" s="26" t="s">
        <v>2571</v>
      </c>
      <c r="D1025" s="26">
        <v>1440000.0</v>
      </c>
      <c r="F1025" s="26" t="s">
        <v>2542</v>
      </c>
      <c r="G1025" s="26">
        <v>641.16</v>
      </c>
    </row>
    <row r="1026">
      <c r="A1026" s="27">
        <v>45803.0</v>
      </c>
      <c r="B1026" s="26" t="s">
        <v>3506</v>
      </c>
      <c r="C1026" s="26" t="s">
        <v>2561</v>
      </c>
      <c r="D1026" s="26">
        <v>9505980.0</v>
      </c>
      <c r="F1026" s="26" t="s">
        <v>2542</v>
      </c>
      <c r="G1026" s="26">
        <v>331.0</v>
      </c>
    </row>
    <row r="1027">
      <c r="A1027" s="27">
        <v>45803.0</v>
      </c>
      <c r="B1027" s="26" t="s">
        <v>3507</v>
      </c>
      <c r="C1027" s="26" t="s">
        <v>2571</v>
      </c>
      <c r="D1027" s="26">
        <v>160000.0</v>
      </c>
      <c r="F1027" s="26" t="s">
        <v>2542</v>
      </c>
      <c r="G1027" s="26">
        <v>641.22</v>
      </c>
    </row>
    <row r="1028">
      <c r="A1028" s="27">
        <v>45802.0</v>
      </c>
      <c r="B1028" s="26" t="s">
        <v>3508</v>
      </c>
      <c r="C1028" s="26" t="s">
        <v>255</v>
      </c>
      <c r="D1028" s="26">
        <v>2.614384E7</v>
      </c>
      <c r="F1028" s="26" t="s">
        <v>2542</v>
      </c>
    </row>
    <row r="1029">
      <c r="A1029" s="27">
        <v>45801.0</v>
      </c>
      <c r="B1029" s="26" t="s">
        <v>2586</v>
      </c>
      <c r="C1029" s="26" t="s">
        <v>255</v>
      </c>
      <c r="D1029" s="26">
        <v>1405.0</v>
      </c>
      <c r="F1029" s="26" t="s">
        <v>2542</v>
      </c>
    </row>
    <row r="1030">
      <c r="A1030" s="27">
        <v>45800.0</v>
      </c>
      <c r="B1030" s="26" t="s">
        <v>3509</v>
      </c>
      <c r="C1030" s="26" t="s">
        <v>2764</v>
      </c>
      <c r="D1030" s="26">
        <v>8850000.0</v>
      </c>
      <c r="F1030" s="26" t="s">
        <v>2542</v>
      </c>
      <c r="G1030" s="26">
        <v>6273.0</v>
      </c>
    </row>
    <row r="1031">
      <c r="A1031" s="27">
        <v>45800.0</v>
      </c>
      <c r="B1031" s="26" t="s">
        <v>3510</v>
      </c>
      <c r="C1031" s="26" t="s">
        <v>2571</v>
      </c>
      <c r="D1031" s="26">
        <v>885000.0</v>
      </c>
      <c r="F1031" s="26" t="s">
        <v>2542</v>
      </c>
      <c r="G1031" s="26">
        <v>641.22</v>
      </c>
    </row>
    <row r="1032">
      <c r="A1032" s="27">
        <v>45800.0</v>
      </c>
      <c r="B1032" s="26" t="s">
        <v>3511</v>
      </c>
      <c r="C1032" s="26" t="s">
        <v>2561</v>
      </c>
      <c r="D1032" s="26">
        <v>1150000.0</v>
      </c>
      <c r="F1032" s="26" t="s">
        <v>2542</v>
      </c>
      <c r="G1032" s="26">
        <v>331.0</v>
      </c>
    </row>
    <row r="1033">
      <c r="A1033" s="27">
        <v>45799.0</v>
      </c>
      <c r="B1033" s="26" t="s">
        <v>3512</v>
      </c>
      <c r="C1033" s="26" t="s">
        <v>255</v>
      </c>
      <c r="D1033" s="26">
        <v>6380000.0</v>
      </c>
      <c r="F1033" s="26" t="s">
        <v>2542</v>
      </c>
    </row>
    <row r="1034">
      <c r="A1034" s="27">
        <v>45799.0</v>
      </c>
      <c r="B1034" s="26" t="s">
        <v>2968</v>
      </c>
      <c r="C1034" s="26" t="s">
        <v>255</v>
      </c>
      <c r="D1034" s="26">
        <v>1080000.0</v>
      </c>
      <c r="F1034" s="26" t="s">
        <v>2542</v>
      </c>
    </row>
    <row r="1035">
      <c r="A1035" s="27">
        <v>45799.0</v>
      </c>
      <c r="B1035" s="26" t="s">
        <v>3513</v>
      </c>
      <c r="C1035" s="26" t="s">
        <v>255</v>
      </c>
      <c r="D1035" s="26">
        <v>1188000.0</v>
      </c>
      <c r="F1035" s="26" t="s">
        <v>2542</v>
      </c>
    </row>
    <row r="1036">
      <c r="A1036" s="27">
        <v>45799.0</v>
      </c>
      <c r="B1036" s="26" t="s">
        <v>3514</v>
      </c>
      <c r="C1036" s="26" t="s">
        <v>2561</v>
      </c>
      <c r="D1036" s="26">
        <v>2630340.0</v>
      </c>
      <c r="F1036" s="26" t="s">
        <v>2542</v>
      </c>
      <c r="G1036" s="26">
        <v>331.0</v>
      </c>
    </row>
    <row r="1037">
      <c r="A1037" s="27">
        <v>45799.0</v>
      </c>
      <c r="B1037" s="26" t="s">
        <v>3515</v>
      </c>
      <c r="C1037" s="26" t="s">
        <v>2571</v>
      </c>
      <c r="D1037" s="26">
        <v>2220000.0</v>
      </c>
      <c r="F1037" s="26" t="s">
        <v>2542</v>
      </c>
      <c r="G1037" s="26">
        <v>641.16</v>
      </c>
    </row>
    <row r="1038">
      <c r="A1038" s="27">
        <v>45799.0</v>
      </c>
      <c r="B1038" s="26" t="s">
        <v>3516</v>
      </c>
      <c r="C1038" s="26" t="s">
        <v>2561</v>
      </c>
      <c r="D1038" s="26">
        <v>5208000.0</v>
      </c>
      <c r="F1038" s="26" t="s">
        <v>2542</v>
      </c>
      <c r="G1038" s="26">
        <v>331.0</v>
      </c>
    </row>
    <row r="1039">
      <c r="A1039" s="27">
        <v>45797.0</v>
      </c>
      <c r="B1039" s="26" t="s">
        <v>3517</v>
      </c>
      <c r="C1039" s="26" t="s">
        <v>255</v>
      </c>
      <c r="D1039" s="26">
        <v>5000000.0</v>
      </c>
      <c r="F1039" s="26" t="s">
        <v>2542</v>
      </c>
    </row>
    <row r="1040">
      <c r="A1040" s="27">
        <v>45797.0</v>
      </c>
      <c r="B1040" s="26" t="s">
        <v>3518</v>
      </c>
      <c r="C1040" s="26" t="s">
        <v>255</v>
      </c>
      <c r="D1040" s="26">
        <v>4320000.0</v>
      </c>
      <c r="F1040" s="26" t="s">
        <v>2542</v>
      </c>
    </row>
    <row r="1041">
      <c r="A1041" s="27">
        <v>45797.0</v>
      </c>
      <c r="B1041" s="26" t="s">
        <v>3519</v>
      </c>
      <c r="C1041" s="26" t="s">
        <v>255</v>
      </c>
      <c r="D1041" s="26">
        <v>1080000.0</v>
      </c>
      <c r="F1041" s="26" t="s">
        <v>2542</v>
      </c>
    </row>
    <row r="1042">
      <c r="A1042" s="27">
        <v>45797.0</v>
      </c>
      <c r="B1042" s="26" t="s">
        <v>3520</v>
      </c>
      <c r="C1042" s="26" t="s">
        <v>255</v>
      </c>
      <c r="D1042" s="26">
        <v>4320000.0</v>
      </c>
      <c r="F1042" s="26" t="s">
        <v>2542</v>
      </c>
    </row>
    <row r="1043">
      <c r="A1043" s="27">
        <v>45797.0</v>
      </c>
      <c r="B1043" s="26" t="s">
        <v>3521</v>
      </c>
      <c r="C1043" s="26" t="s">
        <v>255</v>
      </c>
      <c r="D1043" s="26">
        <v>1790000.0</v>
      </c>
      <c r="F1043" s="26" t="s">
        <v>2542</v>
      </c>
    </row>
    <row r="1044">
      <c r="A1044" s="27">
        <v>45797.0</v>
      </c>
      <c r="B1044" s="26" t="s">
        <v>3522</v>
      </c>
      <c r="C1044" s="26" t="s">
        <v>255</v>
      </c>
      <c r="D1044" s="26">
        <v>4320000.0</v>
      </c>
      <c r="F1044" s="26" t="s">
        <v>2542</v>
      </c>
    </row>
    <row r="1045">
      <c r="A1045" s="27">
        <v>45797.0</v>
      </c>
      <c r="B1045" s="26" t="s">
        <v>3517</v>
      </c>
      <c r="C1045" s="28"/>
      <c r="D1045" s="26">
        <v>5000000.0</v>
      </c>
      <c r="F1045" s="26" t="s">
        <v>2542</v>
      </c>
    </row>
    <row r="1046">
      <c r="A1046" s="27">
        <v>45797.0</v>
      </c>
      <c r="B1046" s="26" t="s">
        <v>3523</v>
      </c>
      <c r="C1046" s="26" t="s">
        <v>2571</v>
      </c>
      <c r="D1046" s="26">
        <v>1800000.0</v>
      </c>
      <c r="F1046" s="26" t="s">
        <v>2542</v>
      </c>
      <c r="G1046" s="26">
        <v>641.16</v>
      </c>
    </row>
    <row r="1047">
      <c r="A1047" s="27">
        <v>45797.0</v>
      </c>
      <c r="B1047" s="26" t="s">
        <v>3524</v>
      </c>
      <c r="C1047" s="26" t="s">
        <v>2564</v>
      </c>
      <c r="D1047" s="26">
        <v>96.526</v>
      </c>
      <c r="F1047" s="26" t="s">
        <v>2542</v>
      </c>
      <c r="G1047" s="26">
        <v>6425.0</v>
      </c>
    </row>
    <row r="1048">
      <c r="A1048" s="27">
        <v>45797.0</v>
      </c>
      <c r="B1048" s="26" t="s">
        <v>3444</v>
      </c>
      <c r="C1048" s="26" t="s">
        <v>2564</v>
      </c>
      <c r="D1048" s="26" t="s">
        <v>3525</v>
      </c>
      <c r="F1048" s="26" t="s">
        <v>2542</v>
      </c>
      <c r="G1048" s="26">
        <v>3332.0</v>
      </c>
    </row>
    <row r="1049">
      <c r="A1049" s="27">
        <v>45797.0</v>
      </c>
      <c r="B1049" s="26" t="s">
        <v>3444</v>
      </c>
      <c r="C1049" s="26" t="s">
        <v>2564</v>
      </c>
      <c r="D1049" s="26" t="s">
        <v>3526</v>
      </c>
      <c r="F1049" s="26" t="s">
        <v>2542</v>
      </c>
      <c r="G1049" s="26">
        <v>3332.0</v>
      </c>
    </row>
    <row r="1050">
      <c r="A1050" s="27">
        <v>45796.0</v>
      </c>
      <c r="B1050" s="26" t="s">
        <v>3527</v>
      </c>
      <c r="C1050" s="26" t="s">
        <v>2571</v>
      </c>
      <c r="D1050" s="26">
        <v>418000.0</v>
      </c>
      <c r="F1050" s="26" t="s">
        <v>2542</v>
      </c>
      <c r="G1050" s="26">
        <v>641.22</v>
      </c>
    </row>
    <row r="1051">
      <c r="A1051" s="27">
        <v>45793.0</v>
      </c>
      <c r="B1051" s="26" t="s">
        <v>3528</v>
      </c>
      <c r="C1051" s="26" t="s">
        <v>255</v>
      </c>
      <c r="D1051" s="26">
        <v>1595000.0</v>
      </c>
      <c r="F1051" s="26" t="s">
        <v>2542</v>
      </c>
    </row>
    <row r="1052">
      <c r="A1052" s="27">
        <v>45793.0</v>
      </c>
      <c r="B1052" s="26" t="s">
        <v>3529</v>
      </c>
      <c r="C1052" s="26" t="s">
        <v>255</v>
      </c>
      <c r="D1052" s="26">
        <v>1595000.0</v>
      </c>
      <c r="F1052" s="26" t="s">
        <v>2542</v>
      </c>
    </row>
    <row r="1053">
      <c r="A1053" s="27">
        <v>45793.0</v>
      </c>
      <c r="B1053" s="26" t="s">
        <v>3530</v>
      </c>
      <c r="C1053" s="26" t="s">
        <v>255</v>
      </c>
      <c r="D1053" s="26">
        <v>7700000.0</v>
      </c>
      <c r="F1053" s="26" t="s">
        <v>2542</v>
      </c>
    </row>
    <row r="1054">
      <c r="A1054" s="27">
        <v>45793.0</v>
      </c>
      <c r="B1054" s="26" t="s">
        <v>3531</v>
      </c>
      <c r="C1054" s="26" t="s">
        <v>255</v>
      </c>
      <c r="D1054" s="26">
        <v>5060000.0</v>
      </c>
      <c r="F1054" s="26" t="s">
        <v>2542</v>
      </c>
    </row>
    <row r="1055">
      <c r="A1055" s="27">
        <v>45793.0</v>
      </c>
      <c r="B1055" s="26" t="s">
        <v>3532</v>
      </c>
      <c r="C1055" s="26" t="s">
        <v>255</v>
      </c>
      <c r="D1055" s="26">
        <v>1595000.0</v>
      </c>
      <c r="F1055" s="26" t="s">
        <v>2542</v>
      </c>
    </row>
    <row r="1056">
      <c r="A1056" s="27">
        <v>45793.0</v>
      </c>
      <c r="B1056" s="26" t="s">
        <v>3533</v>
      </c>
      <c r="C1056" s="26" t="s">
        <v>2561</v>
      </c>
      <c r="D1056" s="26">
        <v>2906000.0</v>
      </c>
      <c r="F1056" s="26" t="s">
        <v>2542</v>
      </c>
      <c r="G1056" s="26">
        <v>331.0</v>
      </c>
    </row>
    <row r="1057">
      <c r="A1057" s="27">
        <v>45792.0</v>
      </c>
      <c r="B1057" s="26" t="s">
        <v>3534</v>
      </c>
      <c r="C1057" s="26" t="s">
        <v>255</v>
      </c>
      <c r="D1057" s="26">
        <v>950000.0</v>
      </c>
      <c r="F1057" s="26" t="s">
        <v>2542</v>
      </c>
    </row>
    <row r="1058">
      <c r="A1058" s="27">
        <v>45792.0</v>
      </c>
      <c r="B1058" s="26" t="s">
        <v>3535</v>
      </c>
      <c r="C1058" s="26" t="s">
        <v>255</v>
      </c>
      <c r="D1058" s="26">
        <v>2880000.0</v>
      </c>
      <c r="F1058" s="26" t="s">
        <v>2542</v>
      </c>
    </row>
    <row r="1059">
      <c r="A1059" s="27">
        <v>45792.0</v>
      </c>
      <c r="B1059" s="26" t="s">
        <v>3536</v>
      </c>
      <c r="C1059" s="26" t="s">
        <v>255</v>
      </c>
      <c r="D1059" s="26">
        <v>5040000.0</v>
      </c>
      <c r="F1059" s="26" t="s">
        <v>2542</v>
      </c>
    </row>
    <row r="1060">
      <c r="A1060" s="27">
        <v>45792.0</v>
      </c>
      <c r="B1060" s="26" t="s">
        <v>3537</v>
      </c>
      <c r="C1060" s="26" t="s">
        <v>2593</v>
      </c>
      <c r="D1060" s="26">
        <v>1500000.0</v>
      </c>
      <c r="F1060" s="26" t="s">
        <v>2542</v>
      </c>
      <c r="G1060" s="26">
        <v>6423.0</v>
      </c>
    </row>
    <row r="1061">
      <c r="A1061" s="27">
        <v>45792.0</v>
      </c>
      <c r="B1061" s="26" t="s">
        <v>3538</v>
      </c>
      <c r="C1061" s="26" t="s">
        <v>2561</v>
      </c>
      <c r="D1061" s="26">
        <v>320000.0</v>
      </c>
      <c r="F1061" s="26" t="s">
        <v>2542</v>
      </c>
      <c r="G1061" s="26">
        <v>331.0</v>
      </c>
    </row>
    <row r="1062">
      <c r="A1062" s="27">
        <v>45791.0</v>
      </c>
      <c r="B1062" s="26" t="s">
        <v>3539</v>
      </c>
      <c r="C1062" s="26" t="s">
        <v>2561</v>
      </c>
      <c r="D1062" s="26">
        <v>2000000.0</v>
      </c>
      <c r="F1062" s="26" t="s">
        <v>2542</v>
      </c>
      <c r="G1062" s="26">
        <v>331.0</v>
      </c>
    </row>
    <row r="1063">
      <c r="A1063" s="27">
        <v>45790.0</v>
      </c>
      <c r="B1063" s="26" t="s">
        <v>3540</v>
      </c>
      <c r="C1063" s="26" t="s">
        <v>255</v>
      </c>
      <c r="D1063" s="26">
        <v>2380000.0</v>
      </c>
      <c r="F1063" s="26" t="s">
        <v>2542</v>
      </c>
    </row>
    <row r="1064">
      <c r="A1064" s="27">
        <v>45790.0</v>
      </c>
      <c r="B1064" s="26" t="s">
        <v>3541</v>
      </c>
      <c r="C1064" s="26" t="s">
        <v>255</v>
      </c>
      <c r="D1064" s="26">
        <v>2160000.0</v>
      </c>
      <c r="F1064" s="26" t="s">
        <v>2542</v>
      </c>
    </row>
    <row r="1065">
      <c r="A1065" s="27">
        <v>45790.0</v>
      </c>
      <c r="B1065" s="26" t="s">
        <v>3542</v>
      </c>
      <c r="C1065" s="26" t="s">
        <v>255</v>
      </c>
      <c r="D1065" s="26">
        <v>1.0091125E7</v>
      </c>
      <c r="F1065" s="26" t="s">
        <v>2542</v>
      </c>
    </row>
    <row r="1066">
      <c r="A1066" s="27">
        <v>45790.0</v>
      </c>
      <c r="B1066" s="26" t="s">
        <v>3543</v>
      </c>
      <c r="C1066" s="26" t="s">
        <v>2574</v>
      </c>
      <c r="D1066" s="26">
        <v>9430388.0</v>
      </c>
      <c r="F1066" s="26" t="s">
        <v>2542</v>
      </c>
      <c r="G1066" s="26">
        <v>331.0</v>
      </c>
    </row>
    <row r="1067">
      <c r="A1067" s="27">
        <v>45790.0</v>
      </c>
      <c r="B1067" s="26" t="s">
        <v>3544</v>
      </c>
      <c r="C1067" s="26" t="s">
        <v>2593</v>
      </c>
      <c r="D1067" s="26">
        <v>438000.0</v>
      </c>
      <c r="F1067" s="26" t="s">
        <v>2542</v>
      </c>
      <c r="G1067" s="26">
        <v>6423.0</v>
      </c>
    </row>
    <row r="1068">
      <c r="A1068" s="27">
        <v>45790.0</v>
      </c>
      <c r="B1068" s="26" t="s">
        <v>3545</v>
      </c>
      <c r="C1068" s="26" t="s">
        <v>2561</v>
      </c>
      <c r="D1068" s="26">
        <v>1200000.0</v>
      </c>
      <c r="F1068" s="26" t="s">
        <v>2542</v>
      </c>
      <c r="G1068" s="26">
        <v>331.0</v>
      </c>
    </row>
    <row r="1069">
      <c r="A1069" s="27">
        <v>45790.0</v>
      </c>
      <c r="B1069" s="26" t="s">
        <v>3546</v>
      </c>
      <c r="C1069" s="26" t="s">
        <v>2545</v>
      </c>
      <c r="D1069" s="26">
        <v>697500.0</v>
      </c>
      <c r="F1069" s="26" t="s">
        <v>2542</v>
      </c>
      <c r="G1069" s="26">
        <v>3341.0</v>
      </c>
    </row>
    <row r="1070">
      <c r="A1070" s="27">
        <v>45790.0</v>
      </c>
      <c r="B1070" s="26" t="s">
        <v>3547</v>
      </c>
      <c r="C1070" s="26" t="s">
        <v>2545</v>
      </c>
      <c r="D1070" s="26">
        <v>1.0E7</v>
      </c>
      <c r="F1070" s="26" t="s">
        <v>2542</v>
      </c>
      <c r="G1070" s="26">
        <v>3341.0</v>
      </c>
    </row>
    <row r="1071">
      <c r="A1071" s="27">
        <v>45790.0</v>
      </c>
      <c r="B1071" s="26" t="s">
        <v>3548</v>
      </c>
      <c r="C1071" s="26" t="s">
        <v>2561</v>
      </c>
      <c r="D1071" s="26">
        <v>95000.0</v>
      </c>
      <c r="F1071" s="26" t="s">
        <v>2542</v>
      </c>
      <c r="G1071" s="26">
        <v>331.0</v>
      </c>
    </row>
    <row r="1072">
      <c r="A1072" s="27">
        <v>45789.0</v>
      </c>
      <c r="B1072" s="26" t="s">
        <v>3549</v>
      </c>
      <c r="C1072" s="26" t="s">
        <v>255</v>
      </c>
      <c r="D1072" s="26">
        <v>2400000.0</v>
      </c>
      <c r="F1072" s="26" t="s">
        <v>2542</v>
      </c>
    </row>
    <row r="1073">
      <c r="A1073" s="27">
        <v>45789.0</v>
      </c>
      <c r="B1073" s="26" t="s">
        <v>3550</v>
      </c>
      <c r="C1073" s="26" t="s">
        <v>255</v>
      </c>
      <c r="D1073" s="26">
        <v>3.2753E7</v>
      </c>
      <c r="F1073" s="26" t="s">
        <v>2542</v>
      </c>
    </row>
    <row r="1074">
      <c r="A1074" s="27">
        <v>45789.0</v>
      </c>
      <c r="B1074" s="26" t="s">
        <v>3551</v>
      </c>
      <c r="C1074" s="26" t="s">
        <v>255</v>
      </c>
      <c r="D1074" s="26">
        <v>6360000.0</v>
      </c>
      <c r="F1074" s="26" t="s">
        <v>2542</v>
      </c>
    </row>
    <row r="1075">
      <c r="A1075" s="27">
        <v>45789.0</v>
      </c>
      <c r="B1075" s="26" t="s">
        <v>3552</v>
      </c>
      <c r="C1075" s="26" t="s">
        <v>255</v>
      </c>
      <c r="D1075" s="26">
        <v>1080000.0</v>
      </c>
      <c r="F1075" s="26" t="s">
        <v>2542</v>
      </c>
    </row>
    <row r="1076">
      <c r="A1076" s="27">
        <v>45789.0</v>
      </c>
      <c r="B1076" s="26" t="s">
        <v>3553</v>
      </c>
      <c r="C1076" s="26" t="s">
        <v>255</v>
      </c>
      <c r="D1076" s="26">
        <v>2376000.0</v>
      </c>
      <c r="F1076" s="26" t="s">
        <v>2542</v>
      </c>
    </row>
    <row r="1077">
      <c r="A1077" s="27">
        <v>45789.0</v>
      </c>
      <c r="B1077" s="26" t="s">
        <v>3453</v>
      </c>
      <c r="C1077" s="28"/>
      <c r="D1077" s="26">
        <v>1.0E7</v>
      </c>
      <c r="F1077" s="26" t="s">
        <v>2542</v>
      </c>
    </row>
    <row r="1078">
      <c r="A1078" s="27">
        <v>45789.0</v>
      </c>
      <c r="B1078" s="26" t="s">
        <v>3554</v>
      </c>
      <c r="C1078" s="26" t="s">
        <v>2574</v>
      </c>
      <c r="D1078" s="26">
        <v>1738000.0</v>
      </c>
      <c r="F1078" s="26" t="s">
        <v>2542</v>
      </c>
      <c r="G1078" s="26">
        <v>331.0</v>
      </c>
    </row>
    <row r="1079">
      <c r="A1079" s="27">
        <v>45789.0</v>
      </c>
      <c r="B1079" s="26" t="s">
        <v>3555</v>
      </c>
      <c r="C1079" s="26" t="s">
        <v>2561</v>
      </c>
      <c r="D1079" s="26">
        <v>2.133432E7</v>
      </c>
      <c r="F1079" s="26" t="s">
        <v>2542</v>
      </c>
      <c r="G1079" s="26">
        <v>331.0</v>
      </c>
    </row>
    <row r="1080">
      <c r="A1080" s="27">
        <v>45789.0</v>
      </c>
      <c r="B1080" s="26" t="s">
        <v>3556</v>
      </c>
      <c r="C1080" s="26" t="s">
        <v>2574</v>
      </c>
      <c r="D1080" s="26">
        <v>2301000.0</v>
      </c>
      <c r="F1080" s="26" t="s">
        <v>2542</v>
      </c>
      <c r="G1080" s="26">
        <v>331.0</v>
      </c>
    </row>
    <row r="1081">
      <c r="A1081" s="27">
        <v>45789.0</v>
      </c>
      <c r="B1081" s="26" t="s">
        <v>3557</v>
      </c>
      <c r="C1081" s="26" t="s">
        <v>2581</v>
      </c>
      <c r="D1081" s="26">
        <v>320000.0</v>
      </c>
      <c r="F1081" s="26" t="s">
        <v>2542</v>
      </c>
      <c r="G1081" s="26">
        <v>6422.0</v>
      </c>
    </row>
    <row r="1082">
      <c r="A1082" s="27">
        <v>45789.0</v>
      </c>
      <c r="B1082" s="26" t="s">
        <v>3558</v>
      </c>
      <c r="C1082" s="26" t="s">
        <v>2564</v>
      </c>
      <c r="D1082" s="26">
        <v>53.708</v>
      </c>
      <c r="F1082" s="26" t="s">
        <v>2542</v>
      </c>
      <c r="G1082" s="26">
        <v>6425.0</v>
      </c>
    </row>
    <row r="1083">
      <c r="A1083" s="27">
        <v>45789.0</v>
      </c>
      <c r="B1083" s="26" t="s">
        <v>3558</v>
      </c>
      <c r="C1083" s="26" t="s">
        <v>2655</v>
      </c>
      <c r="D1083" s="26">
        <v>2.24E7</v>
      </c>
      <c r="F1083" s="26" t="s">
        <v>2542</v>
      </c>
      <c r="G1083" s="26">
        <v>3383.0</v>
      </c>
    </row>
    <row r="1084">
      <c r="A1084" s="27">
        <v>45787.0</v>
      </c>
      <c r="B1084" s="26" t="s">
        <v>3559</v>
      </c>
      <c r="C1084" s="26" t="s">
        <v>255</v>
      </c>
      <c r="D1084" s="26">
        <v>1200000.0</v>
      </c>
      <c r="F1084" s="26" t="s">
        <v>2542</v>
      </c>
    </row>
    <row r="1085">
      <c r="A1085" s="27">
        <v>45787.0</v>
      </c>
      <c r="B1085" s="26" t="s">
        <v>3560</v>
      </c>
      <c r="C1085" s="26" t="s">
        <v>255</v>
      </c>
      <c r="D1085" s="26">
        <v>4775000.0</v>
      </c>
      <c r="F1085" s="26" t="s">
        <v>2542</v>
      </c>
    </row>
    <row r="1086">
      <c r="A1086" s="27">
        <v>45786.0</v>
      </c>
      <c r="B1086" s="26" t="s">
        <v>3561</v>
      </c>
      <c r="C1086" s="26" t="s">
        <v>255</v>
      </c>
      <c r="D1086" s="26">
        <v>8000000.0</v>
      </c>
      <c r="F1086" s="26" t="s">
        <v>2542</v>
      </c>
    </row>
    <row r="1087">
      <c r="A1087" s="27">
        <v>45786.0</v>
      </c>
      <c r="B1087" s="26" t="s">
        <v>3562</v>
      </c>
      <c r="C1087" s="26" t="s">
        <v>255</v>
      </c>
      <c r="D1087" s="26">
        <v>1080000.0</v>
      </c>
      <c r="F1087" s="26" t="s">
        <v>2542</v>
      </c>
    </row>
    <row r="1088">
      <c r="A1088" s="27">
        <v>45786.0</v>
      </c>
      <c r="B1088" s="26" t="s">
        <v>3561</v>
      </c>
      <c r="C1088" s="28"/>
      <c r="D1088" s="26">
        <v>8000000.0</v>
      </c>
      <c r="F1088" s="26" t="s">
        <v>2542</v>
      </c>
    </row>
    <row r="1089">
      <c r="A1089" s="27">
        <v>45786.0</v>
      </c>
      <c r="B1089" s="26" t="s">
        <v>3563</v>
      </c>
      <c r="C1089" s="26" t="s">
        <v>2764</v>
      </c>
      <c r="D1089" s="26">
        <v>3419000.0</v>
      </c>
      <c r="F1089" s="26" t="s">
        <v>2542</v>
      </c>
      <c r="G1089" s="26">
        <v>6273.0</v>
      </c>
    </row>
    <row r="1090">
      <c r="A1090" s="27">
        <v>45786.0</v>
      </c>
      <c r="B1090" s="26" t="s">
        <v>3564</v>
      </c>
      <c r="C1090" s="26" t="s">
        <v>2545</v>
      </c>
      <c r="D1090" s="26">
        <v>7000000.0</v>
      </c>
      <c r="F1090" s="26" t="s">
        <v>2542</v>
      </c>
      <c r="G1090" s="26">
        <v>3341.0</v>
      </c>
    </row>
    <row r="1091">
      <c r="A1091" s="27">
        <v>45786.0</v>
      </c>
      <c r="B1091" s="26" t="s">
        <v>3565</v>
      </c>
      <c r="C1091" s="26" t="s">
        <v>2545</v>
      </c>
      <c r="D1091" s="26">
        <v>7000000.0</v>
      </c>
      <c r="F1091" s="26" t="s">
        <v>2542</v>
      </c>
      <c r="G1091" s="26">
        <v>3341.0</v>
      </c>
    </row>
    <row r="1092">
      <c r="A1092" s="27">
        <v>45786.0</v>
      </c>
      <c r="B1092" s="26" t="s">
        <v>3566</v>
      </c>
      <c r="C1092" s="26" t="s">
        <v>2593</v>
      </c>
      <c r="D1092" s="26">
        <v>507898.0</v>
      </c>
      <c r="F1092" s="26" t="s">
        <v>2542</v>
      </c>
      <c r="G1092" s="26">
        <v>6423.0</v>
      </c>
    </row>
    <row r="1093">
      <c r="A1093" s="27">
        <v>45786.0</v>
      </c>
      <c r="B1093" s="26" t="s">
        <v>3567</v>
      </c>
      <c r="C1093" s="26" t="s">
        <v>2561</v>
      </c>
      <c r="D1093" s="26">
        <v>6820000.0</v>
      </c>
      <c r="F1093" s="26" t="s">
        <v>2542</v>
      </c>
      <c r="G1093" s="26">
        <v>331.0</v>
      </c>
    </row>
    <row r="1094">
      <c r="A1094" s="27">
        <v>45786.0</v>
      </c>
      <c r="B1094" s="26" t="s">
        <v>3568</v>
      </c>
      <c r="C1094" s="26" t="s">
        <v>2564</v>
      </c>
      <c r="D1094" s="26">
        <v>1.0</v>
      </c>
      <c r="F1094" s="26" t="s">
        <v>2542</v>
      </c>
      <c r="G1094" s="26">
        <v>3335.0</v>
      </c>
    </row>
    <row r="1095">
      <c r="A1095" s="27">
        <v>45786.0</v>
      </c>
      <c r="B1095" s="26" t="s">
        <v>3569</v>
      </c>
      <c r="C1095" s="26" t="s">
        <v>2581</v>
      </c>
      <c r="D1095" s="26">
        <v>650000.0</v>
      </c>
      <c r="F1095" s="26" t="s">
        <v>2542</v>
      </c>
      <c r="G1095" s="26">
        <v>6426.0</v>
      </c>
    </row>
    <row r="1096">
      <c r="A1096" s="27">
        <v>45785.0</v>
      </c>
      <c r="B1096" s="26" t="s">
        <v>3517</v>
      </c>
      <c r="C1096" s="26" t="s">
        <v>255</v>
      </c>
      <c r="D1096" s="26">
        <v>1.0E7</v>
      </c>
      <c r="F1096" s="26" t="s">
        <v>2542</v>
      </c>
    </row>
    <row r="1097">
      <c r="A1097" s="27">
        <v>45785.0</v>
      </c>
      <c r="B1097" s="26" t="s">
        <v>3570</v>
      </c>
      <c r="C1097" s="26" t="s">
        <v>255</v>
      </c>
      <c r="D1097" s="26">
        <v>1188000.0</v>
      </c>
      <c r="F1097" s="26" t="s">
        <v>2542</v>
      </c>
    </row>
    <row r="1098">
      <c r="A1098" s="27">
        <v>45785.0</v>
      </c>
      <c r="B1098" s="26" t="s">
        <v>3517</v>
      </c>
      <c r="C1098" s="28"/>
      <c r="D1098" s="26">
        <v>1.0E7</v>
      </c>
      <c r="F1098" s="26" t="s">
        <v>2542</v>
      </c>
    </row>
    <row r="1099">
      <c r="A1099" s="27">
        <v>45785.0</v>
      </c>
      <c r="B1099" s="26" t="s">
        <v>3571</v>
      </c>
      <c r="C1099" s="26" t="s">
        <v>2561</v>
      </c>
      <c r="D1099" s="26">
        <v>7800000.0</v>
      </c>
      <c r="F1099" s="26" t="s">
        <v>2542</v>
      </c>
      <c r="G1099" s="26">
        <v>331.0</v>
      </c>
    </row>
    <row r="1100">
      <c r="A1100" s="27">
        <v>45785.0</v>
      </c>
      <c r="B1100" s="26" t="s">
        <v>3572</v>
      </c>
      <c r="C1100" s="26" t="s">
        <v>2764</v>
      </c>
      <c r="D1100" s="26">
        <v>530000.0</v>
      </c>
      <c r="F1100" s="26" t="s">
        <v>2542</v>
      </c>
      <c r="G1100" s="26">
        <v>6273.0</v>
      </c>
    </row>
    <row r="1101">
      <c r="A1101" s="27">
        <v>45784.0</v>
      </c>
      <c r="B1101" s="26" t="s">
        <v>3573</v>
      </c>
      <c r="C1101" s="26" t="s">
        <v>255</v>
      </c>
      <c r="D1101" s="26">
        <v>1.3808E7</v>
      </c>
      <c r="F1101" s="26" t="s">
        <v>2542</v>
      </c>
    </row>
    <row r="1102">
      <c r="A1102" s="27">
        <v>45784.0</v>
      </c>
      <c r="B1102" s="26" t="s">
        <v>3574</v>
      </c>
      <c r="C1102" s="26" t="s">
        <v>255</v>
      </c>
      <c r="D1102" s="26">
        <v>8325000.0</v>
      </c>
      <c r="F1102" s="26" t="s">
        <v>2542</v>
      </c>
    </row>
    <row r="1103">
      <c r="A1103" s="27">
        <v>45784.0</v>
      </c>
      <c r="B1103" s="26" t="s">
        <v>3575</v>
      </c>
      <c r="C1103" s="26" t="s">
        <v>255</v>
      </c>
      <c r="D1103" s="26">
        <v>2376000.0</v>
      </c>
      <c r="F1103" s="26" t="s">
        <v>2542</v>
      </c>
    </row>
    <row r="1104">
      <c r="A1104" s="27">
        <v>45784.0</v>
      </c>
      <c r="B1104" s="26" t="s">
        <v>3576</v>
      </c>
      <c r="C1104" s="26" t="s">
        <v>255</v>
      </c>
      <c r="D1104" s="26">
        <v>3657500.0</v>
      </c>
      <c r="F1104" s="26" t="s">
        <v>2542</v>
      </c>
    </row>
    <row r="1105">
      <c r="A1105" s="27">
        <v>45784.0</v>
      </c>
      <c r="B1105" s="26" t="s">
        <v>3577</v>
      </c>
      <c r="C1105" s="26" t="s">
        <v>255</v>
      </c>
      <c r="D1105" s="26">
        <v>1080000.0</v>
      </c>
      <c r="F1105" s="26" t="s">
        <v>2542</v>
      </c>
    </row>
    <row r="1106">
      <c r="A1106" s="27">
        <v>45784.0</v>
      </c>
      <c r="B1106" s="26" t="s">
        <v>3578</v>
      </c>
      <c r="C1106" s="26" t="s">
        <v>2545</v>
      </c>
      <c r="D1106" s="26">
        <v>2.0E7</v>
      </c>
      <c r="F1106" s="26" t="s">
        <v>2542</v>
      </c>
      <c r="G1106" s="26">
        <v>3341.0</v>
      </c>
    </row>
    <row r="1107">
      <c r="A1107" s="27">
        <v>45784.0</v>
      </c>
      <c r="B1107" s="26" t="s">
        <v>3579</v>
      </c>
      <c r="C1107" s="26" t="s">
        <v>2545</v>
      </c>
      <c r="D1107" s="26">
        <v>1000000.0</v>
      </c>
      <c r="F1107" s="26" t="s">
        <v>2542</v>
      </c>
      <c r="G1107" s="26">
        <v>3341.0</v>
      </c>
    </row>
    <row r="1108">
      <c r="A1108" s="27">
        <v>45784.0</v>
      </c>
      <c r="B1108" s="26" t="s">
        <v>3580</v>
      </c>
      <c r="C1108" s="26" t="s">
        <v>2561</v>
      </c>
      <c r="D1108" s="26">
        <v>2750000.0</v>
      </c>
      <c r="F1108" s="26" t="s">
        <v>2542</v>
      </c>
      <c r="G1108" s="26">
        <v>331.0</v>
      </c>
    </row>
    <row r="1109">
      <c r="A1109" s="27">
        <v>45784.0</v>
      </c>
      <c r="B1109" s="26" t="s">
        <v>3581</v>
      </c>
      <c r="C1109" s="26" t="s">
        <v>2593</v>
      </c>
      <c r="D1109" s="26">
        <v>143000.0</v>
      </c>
      <c r="F1109" s="26" t="s">
        <v>2542</v>
      </c>
      <c r="G1109" s="26">
        <v>6423.0</v>
      </c>
    </row>
    <row r="1110">
      <c r="A1110" s="27">
        <v>45783.0</v>
      </c>
      <c r="B1110" s="26" t="s">
        <v>3582</v>
      </c>
      <c r="C1110" s="26" t="s">
        <v>255</v>
      </c>
      <c r="D1110" s="26">
        <v>2330000.0</v>
      </c>
      <c r="F1110" s="26" t="s">
        <v>2542</v>
      </c>
    </row>
    <row r="1111">
      <c r="A1111" s="27">
        <v>45783.0</v>
      </c>
      <c r="B1111" s="26" t="s">
        <v>3583</v>
      </c>
      <c r="C1111" s="26" t="s">
        <v>255</v>
      </c>
      <c r="D1111" s="26">
        <v>1.359E7</v>
      </c>
      <c r="F1111" s="26" t="s">
        <v>2542</v>
      </c>
    </row>
    <row r="1112">
      <c r="A1112" s="27">
        <v>45783.0</v>
      </c>
      <c r="B1112" s="26" t="s">
        <v>3584</v>
      </c>
      <c r="C1112" s="26" t="s">
        <v>255</v>
      </c>
      <c r="D1112" s="26">
        <v>3580000.0</v>
      </c>
      <c r="F1112" s="26" t="s">
        <v>2542</v>
      </c>
    </row>
    <row r="1113">
      <c r="A1113" s="27">
        <v>45783.0</v>
      </c>
      <c r="B1113" s="26" t="s">
        <v>3585</v>
      </c>
      <c r="C1113" s="26" t="s">
        <v>255</v>
      </c>
      <c r="D1113" s="26">
        <v>1.154E7</v>
      </c>
      <c r="F1113" s="26" t="s">
        <v>2542</v>
      </c>
    </row>
    <row r="1114">
      <c r="A1114" s="27">
        <v>45783.0</v>
      </c>
      <c r="B1114" s="26" t="s">
        <v>3586</v>
      </c>
      <c r="C1114" s="26" t="s">
        <v>255</v>
      </c>
      <c r="D1114" s="26">
        <v>1320000.0</v>
      </c>
      <c r="F1114" s="26" t="s">
        <v>2542</v>
      </c>
    </row>
    <row r="1115">
      <c r="A1115" s="27">
        <v>45783.0</v>
      </c>
      <c r="B1115" s="26" t="s">
        <v>3587</v>
      </c>
      <c r="C1115" s="26" t="s">
        <v>255</v>
      </c>
      <c r="D1115" s="26">
        <v>1080000.0</v>
      </c>
      <c r="F1115" s="26" t="s">
        <v>2542</v>
      </c>
    </row>
    <row r="1116">
      <c r="A1116" s="27">
        <v>45783.0</v>
      </c>
      <c r="B1116" s="26" t="s">
        <v>3588</v>
      </c>
      <c r="C1116" s="26" t="s">
        <v>255</v>
      </c>
      <c r="D1116" s="26">
        <v>9408000.0</v>
      </c>
      <c r="F1116" s="26" t="s">
        <v>2542</v>
      </c>
    </row>
    <row r="1117">
      <c r="A1117" s="27">
        <v>45783.0</v>
      </c>
      <c r="B1117" s="26" t="s">
        <v>3589</v>
      </c>
      <c r="C1117" s="26" t="s">
        <v>255</v>
      </c>
      <c r="D1117" s="26">
        <v>1140000.0</v>
      </c>
      <c r="F1117" s="26" t="s">
        <v>2542</v>
      </c>
    </row>
    <row r="1118">
      <c r="A1118" s="27">
        <v>45783.0</v>
      </c>
      <c r="B1118" s="26" t="s">
        <v>3590</v>
      </c>
      <c r="C1118" s="26" t="s">
        <v>255</v>
      </c>
      <c r="D1118" s="26">
        <v>4320000.0</v>
      </c>
      <c r="F1118" s="26" t="s">
        <v>2542</v>
      </c>
    </row>
    <row r="1119">
      <c r="A1119" s="27">
        <v>45783.0</v>
      </c>
      <c r="B1119" s="26" t="s">
        <v>3591</v>
      </c>
      <c r="C1119" s="26" t="s">
        <v>255</v>
      </c>
      <c r="D1119" s="26">
        <v>1110000.0</v>
      </c>
      <c r="F1119" s="26" t="s">
        <v>2542</v>
      </c>
    </row>
    <row r="1120">
      <c r="A1120" s="27">
        <v>45783.0</v>
      </c>
      <c r="B1120" s="26" t="s">
        <v>3592</v>
      </c>
      <c r="C1120" s="26" t="s">
        <v>255</v>
      </c>
      <c r="D1120" s="26">
        <v>1440000.0</v>
      </c>
      <c r="F1120" s="26" t="s">
        <v>2542</v>
      </c>
    </row>
    <row r="1121">
      <c r="A1121" s="27">
        <v>45783.0</v>
      </c>
      <c r="B1121" s="26" t="s">
        <v>3593</v>
      </c>
      <c r="C1121" s="26" t="s">
        <v>255</v>
      </c>
      <c r="D1121" s="26">
        <v>1568000.0</v>
      </c>
      <c r="F1121" s="26" t="s">
        <v>2542</v>
      </c>
    </row>
    <row r="1122">
      <c r="A1122" s="27">
        <v>45783.0</v>
      </c>
      <c r="B1122" s="26" t="s">
        <v>3594</v>
      </c>
      <c r="C1122" s="26" t="s">
        <v>2545</v>
      </c>
      <c r="D1122" s="26">
        <v>1.8895E7</v>
      </c>
      <c r="F1122" s="26" t="s">
        <v>2542</v>
      </c>
      <c r="G1122" s="26">
        <v>3341.0</v>
      </c>
    </row>
    <row r="1123">
      <c r="A1123" s="27">
        <v>45783.0</v>
      </c>
      <c r="B1123" s="26" t="s">
        <v>3595</v>
      </c>
      <c r="C1123" s="26" t="s">
        <v>2545</v>
      </c>
      <c r="D1123" s="26">
        <v>1.0925E7</v>
      </c>
      <c r="F1123" s="26" t="s">
        <v>2542</v>
      </c>
      <c r="G1123" s="26">
        <v>3341.0</v>
      </c>
    </row>
    <row r="1124">
      <c r="A1124" s="27">
        <v>45783.0</v>
      </c>
      <c r="B1124" s="26" t="s">
        <v>3596</v>
      </c>
      <c r="C1124" s="26" t="s">
        <v>2545</v>
      </c>
      <c r="D1124" s="26">
        <v>5578400.0</v>
      </c>
      <c r="F1124" s="26" t="s">
        <v>2542</v>
      </c>
      <c r="G1124" s="26">
        <v>3341.0</v>
      </c>
    </row>
    <row r="1125">
      <c r="A1125" s="27">
        <v>45783.0</v>
      </c>
      <c r="B1125" s="26" t="s">
        <v>3597</v>
      </c>
      <c r="C1125" s="26" t="s">
        <v>2545</v>
      </c>
      <c r="D1125" s="26">
        <v>5187500.0</v>
      </c>
      <c r="F1125" s="26" t="s">
        <v>2542</v>
      </c>
      <c r="G1125" s="26">
        <v>3341.0</v>
      </c>
    </row>
    <row r="1126">
      <c r="A1126" s="27">
        <v>45783.0</v>
      </c>
      <c r="B1126" s="26" t="s">
        <v>3598</v>
      </c>
      <c r="C1126" s="26" t="s">
        <v>2545</v>
      </c>
      <c r="D1126" s="26">
        <v>6160000.0</v>
      </c>
      <c r="F1126" s="26" t="s">
        <v>2542</v>
      </c>
      <c r="G1126" s="26">
        <v>3341.0</v>
      </c>
    </row>
    <row r="1127">
      <c r="A1127" s="27">
        <v>45783.0</v>
      </c>
      <c r="B1127" s="26" t="s">
        <v>3599</v>
      </c>
      <c r="C1127" s="26" t="s">
        <v>2545</v>
      </c>
      <c r="D1127" s="26">
        <v>7360000.0</v>
      </c>
      <c r="F1127" s="26" t="s">
        <v>2542</v>
      </c>
      <c r="G1127" s="26">
        <v>3341.0</v>
      </c>
    </row>
    <row r="1128">
      <c r="A1128" s="27">
        <v>45783.0</v>
      </c>
      <c r="B1128" s="26" t="s">
        <v>3600</v>
      </c>
      <c r="C1128" s="26" t="s">
        <v>2571</v>
      </c>
      <c r="D1128" s="26">
        <v>970000.0</v>
      </c>
      <c r="F1128" s="26" t="s">
        <v>2542</v>
      </c>
      <c r="G1128" s="26">
        <v>641.16</v>
      </c>
    </row>
    <row r="1129">
      <c r="A1129" s="27">
        <v>45782.0</v>
      </c>
      <c r="B1129" s="26" t="s">
        <v>3601</v>
      </c>
      <c r="C1129" s="26" t="s">
        <v>255</v>
      </c>
      <c r="D1129" s="26">
        <v>2181940.0</v>
      </c>
      <c r="F1129" s="26" t="s">
        <v>2542</v>
      </c>
    </row>
    <row r="1130">
      <c r="A1130" s="27">
        <v>45782.0</v>
      </c>
      <c r="B1130" s="26" t="s">
        <v>3517</v>
      </c>
      <c r="C1130" s="26" t="s">
        <v>255</v>
      </c>
      <c r="D1130" s="26">
        <v>3.0E7</v>
      </c>
      <c r="F1130" s="26" t="s">
        <v>2542</v>
      </c>
    </row>
    <row r="1131">
      <c r="A1131" s="27">
        <v>45782.0</v>
      </c>
      <c r="B1131" s="26" t="s">
        <v>3602</v>
      </c>
      <c r="C1131" s="26" t="s">
        <v>255</v>
      </c>
      <c r="D1131" s="26">
        <v>6000000.0</v>
      </c>
      <c r="F1131" s="26" t="s">
        <v>2542</v>
      </c>
    </row>
    <row r="1132">
      <c r="A1132" s="27">
        <v>45782.0</v>
      </c>
      <c r="B1132" s="26" t="s">
        <v>3603</v>
      </c>
      <c r="C1132" s="26" t="s">
        <v>255</v>
      </c>
      <c r="D1132" s="26">
        <v>3.9214948E7</v>
      </c>
      <c r="F1132" s="26" t="s">
        <v>2542</v>
      </c>
    </row>
    <row r="1133">
      <c r="A1133" s="27">
        <v>45782.0</v>
      </c>
      <c r="B1133" s="26" t="s">
        <v>3601</v>
      </c>
      <c r="C1133" s="28"/>
      <c r="D1133" s="26">
        <v>2181940.0</v>
      </c>
      <c r="F1133" s="26" t="s">
        <v>2542</v>
      </c>
    </row>
    <row r="1134">
      <c r="A1134" s="27">
        <v>45782.0</v>
      </c>
      <c r="B1134" s="26" t="s">
        <v>3517</v>
      </c>
      <c r="C1134" s="28"/>
      <c r="D1134" s="26">
        <v>3.0E7</v>
      </c>
      <c r="F1134" s="26" t="s">
        <v>2542</v>
      </c>
    </row>
    <row r="1135">
      <c r="A1135" s="27">
        <v>45782.0</v>
      </c>
      <c r="B1135" s="26" t="s">
        <v>3604</v>
      </c>
      <c r="C1135" s="26" t="s">
        <v>2561</v>
      </c>
      <c r="D1135" s="26">
        <v>3.3877516E7</v>
      </c>
      <c r="F1135" s="26" t="s">
        <v>2542</v>
      </c>
      <c r="G1135" s="26">
        <v>331.0</v>
      </c>
    </row>
    <row r="1136">
      <c r="A1136" s="27">
        <v>45781.0</v>
      </c>
      <c r="B1136" s="26" t="s">
        <v>3605</v>
      </c>
      <c r="C1136" s="26" t="s">
        <v>255</v>
      </c>
      <c r="D1136" s="26">
        <v>726000.0</v>
      </c>
      <c r="F1136" s="26" t="s">
        <v>2542</v>
      </c>
    </row>
    <row r="1137">
      <c r="A1137" s="27">
        <v>45781.0</v>
      </c>
      <c r="B1137" s="26" t="s">
        <v>3606</v>
      </c>
      <c r="C1137" s="26" t="s">
        <v>255</v>
      </c>
      <c r="D1137" s="26">
        <v>726000.0</v>
      </c>
      <c r="F1137" s="26" t="s">
        <v>2542</v>
      </c>
    </row>
    <row r="1138">
      <c r="A1138" s="27">
        <v>45781.0</v>
      </c>
      <c r="B1138" s="26" t="s">
        <v>3607</v>
      </c>
      <c r="C1138" s="26" t="s">
        <v>255</v>
      </c>
      <c r="D1138" s="26">
        <v>3449600.0</v>
      </c>
      <c r="F1138" s="26" t="s">
        <v>2542</v>
      </c>
    </row>
    <row r="1139">
      <c r="A1139" s="27">
        <v>45780.0</v>
      </c>
      <c r="B1139" s="26" t="s">
        <v>3608</v>
      </c>
      <c r="C1139" s="26" t="s">
        <v>255</v>
      </c>
      <c r="D1139" s="26">
        <v>3610000.0</v>
      </c>
      <c r="F1139" s="26" t="s">
        <v>2542</v>
      </c>
    </row>
    <row r="1140">
      <c r="A1140" s="27">
        <v>45780.0</v>
      </c>
      <c r="B1140" s="26" t="s">
        <v>3609</v>
      </c>
      <c r="C1140" s="26" t="s">
        <v>255</v>
      </c>
      <c r="D1140" s="26">
        <v>2380000.0</v>
      </c>
      <c r="F1140" s="26" t="s">
        <v>2542</v>
      </c>
    </row>
    <row r="1141">
      <c r="A1141" s="27">
        <v>45780.0</v>
      </c>
      <c r="B1141" s="26" t="s">
        <v>3610</v>
      </c>
      <c r="C1141" s="26" t="s">
        <v>255</v>
      </c>
      <c r="D1141" s="26">
        <v>1320000.0</v>
      </c>
      <c r="F1141" s="26" t="s">
        <v>2542</v>
      </c>
    </row>
    <row r="1142">
      <c r="A1142" s="27">
        <v>45780.0</v>
      </c>
      <c r="B1142" s="26" t="s">
        <v>3611</v>
      </c>
      <c r="C1142" s="26" t="s">
        <v>255</v>
      </c>
      <c r="D1142" s="26">
        <v>5925000.0</v>
      </c>
      <c r="F1142" s="26" t="s">
        <v>2542</v>
      </c>
    </row>
    <row r="1143">
      <c r="A1143" s="27">
        <v>45780.0</v>
      </c>
      <c r="B1143" s="26" t="s">
        <v>3612</v>
      </c>
      <c r="C1143" s="26" t="s">
        <v>255</v>
      </c>
      <c r="D1143" s="26">
        <v>1.016E7</v>
      </c>
      <c r="F1143" s="26" t="s">
        <v>2542</v>
      </c>
    </row>
    <row r="1144">
      <c r="A1144" s="27">
        <v>45779.0</v>
      </c>
      <c r="B1144" s="26" t="s">
        <v>3613</v>
      </c>
      <c r="C1144" s="26" t="s">
        <v>255</v>
      </c>
      <c r="D1144" s="26">
        <v>1320000.0</v>
      </c>
      <c r="F1144" s="26" t="s">
        <v>2542</v>
      </c>
    </row>
    <row r="1145">
      <c r="A1145" s="27">
        <v>45778.0</v>
      </c>
      <c r="B1145" s="26" t="s">
        <v>3614</v>
      </c>
      <c r="C1145" s="26" t="s">
        <v>2545</v>
      </c>
      <c r="D1145" s="26">
        <v>1.0E7</v>
      </c>
      <c r="F1145" s="26" t="s">
        <v>2542</v>
      </c>
      <c r="G1145" s="26">
        <v>3341.0</v>
      </c>
    </row>
    <row r="1146">
      <c r="A1146" s="27">
        <v>45776.0</v>
      </c>
      <c r="B1146" s="26" t="s">
        <v>2745</v>
      </c>
      <c r="C1146" s="26" t="s">
        <v>255</v>
      </c>
      <c r="D1146" s="26">
        <v>5500000.0</v>
      </c>
      <c r="F1146" s="26" t="s">
        <v>2542</v>
      </c>
    </row>
    <row r="1147">
      <c r="A1147" s="27">
        <v>45776.0</v>
      </c>
      <c r="B1147" s="26" t="s">
        <v>3615</v>
      </c>
      <c r="C1147" s="26" t="s">
        <v>255</v>
      </c>
      <c r="D1147" s="26">
        <v>1865000.0</v>
      </c>
      <c r="F1147" s="26" t="s">
        <v>2542</v>
      </c>
    </row>
    <row r="1148">
      <c r="A1148" s="27">
        <v>45776.0</v>
      </c>
      <c r="B1148" s="26" t="s">
        <v>3616</v>
      </c>
      <c r="C1148" s="26" t="s">
        <v>255</v>
      </c>
      <c r="D1148" s="26">
        <v>270000.0</v>
      </c>
      <c r="F1148" s="26" t="s">
        <v>2542</v>
      </c>
    </row>
    <row r="1149">
      <c r="A1149" s="27">
        <v>45776.0</v>
      </c>
      <c r="B1149" s="26" t="s">
        <v>3617</v>
      </c>
      <c r="C1149" s="26" t="s">
        <v>255</v>
      </c>
      <c r="D1149" s="26">
        <v>2000000.0</v>
      </c>
      <c r="F1149" s="26" t="s">
        <v>2542</v>
      </c>
    </row>
    <row r="1150">
      <c r="A1150" s="27">
        <v>45776.0</v>
      </c>
      <c r="B1150" s="26" t="s">
        <v>2543</v>
      </c>
      <c r="C1150" s="26" t="s">
        <v>255</v>
      </c>
      <c r="D1150" s="26">
        <v>2164.0</v>
      </c>
      <c r="F1150" s="26" t="s">
        <v>2542</v>
      </c>
    </row>
    <row r="1151">
      <c r="A1151" s="27">
        <v>45776.0</v>
      </c>
      <c r="B1151" s="26" t="s">
        <v>3618</v>
      </c>
      <c r="C1151" s="26" t="s">
        <v>255</v>
      </c>
      <c r="D1151" s="26">
        <v>1080000.0</v>
      </c>
      <c r="F1151" s="26" t="s">
        <v>2542</v>
      </c>
    </row>
    <row r="1152">
      <c r="A1152" s="27">
        <v>45776.0</v>
      </c>
      <c r="B1152" s="26" t="s">
        <v>3619</v>
      </c>
      <c r="C1152" s="26" t="s">
        <v>3620</v>
      </c>
      <c r="D1152" s="26">
        <v>2691000.0</v>
      </c>
      <c r="F1152" s="26" t="s">
        <v>2542</v>
      </c>
      <c r="G1152" s="26">
        <v>6428.0</v>
      </c>
    </row>
    <row r="1153">
      <c r="A1153" s="27">
        <v>45776.0</v>
      </c>
      <c r="B1153" s="26" t="s">
        <v>3621</v>
      </c>
      <c r="C1153" s="26" t="s">
        <v>2545</v>
      </c>
      <c r="D1153" s="26">
        <v>5000000.0</v>
      </c>
      <c r="F1153" s="26" t="s">
        <v>2542</v>
      </c>
      <c r="G1153" s="26">
        <v>3341.0</v>
      </c>
    </row>
    <row r="1154">
      <c r="A1154" s="27">
        <v>45776.0</v>
      </c>
      <c r="B1154" s="26" t="s">
        <v>3622</v>
      </c>
      <c r="C1154" s="26" t="s">
        <v>2545</v>
      </c>
      <c r="D1154" s="26">
        <v>5000000.0</v>
      </c>
      <c r="F1154" s="26" t="s">
        <v>2542</v>
      </c>
      <c r="G1154" s="26">
        <v>3341.0</v>
      </c>
    </row>
    <row r="1155">
      <c r="A1155" s="27">
        <v>45776.0</v>
      </c>
      <c r="B1155" s="26" t="s">
        <v>3623</v>
      </c>
      <c r="C1155" s="26" t="s">
        <v>2545</v>
      </c>
      <c r="D1155" s="26">
        <v>5000000.0</v>
      </c>
      <c r="F1155" s="26" t="s">
        <v>2542</v>
      </c>
      <c r="G1155" s="26">
        <v>3341.0</v>
      </c>
    </row>
    <row r="1156">
      <c r="A1156" s="27">
        <v>45776.0</v>
      </c>
      <c r="B1156" s="26" t="s">
        <v>3624</v>
      </c>
      <c r="C1156" s="26" t="s">
        <v>2545</v>
      </c>
      <c r="D1156" s="26">
        <v>5000000.0</v>
      </c>
      <c r="F1156" s="26" t="s">
        <v>2542</v>
      </c>
      <c r="G1156" s="26">
        <v>3341.0</v>
      </c>
    </row>
    <row r="1157">
      <c r="A1157" s="27">
        <v>45776.0</v>
      </c>
      <c r="B1157" s="26" t="s">
        <v>3625</v>
      </c>
      <c r="C1157" s="26" t="s">
        <v>3620</v>
      </c>
      <c r="D1157" s="26">
        <v>500000.0</v>
      </c>
      <c r="F1157" s="26" t="s">
        <v>2542</v>
      </c>
      <c r="G1157" s="26">
        <v>6428.0</v>
      </c>
    </row>
    <row r="1158">
      <c r="A1158" s="27">
        <v>45776.0</v>
      </c>
      <c r="B1158" s="26" t="s">
        <v>3626</v>
      </c>
      <c r="C1158" s="26" t="s">
        <v>3620</v>
      </c>
      <c r="D1158" s="26">
        <v>500000.0</v>
      </c>
      <c r="F1158" s="26" t="s">
        <v>2542</v>
      </c>
      <c r="G1158" s="26">
        <v>6428.0</v>
      </c>
    </row>
    <row r="1159">
      <c r="A1159" s="27">
        <v>45776.0</v>
      </c>
      <c r="B1159" s="26" t="s">
        <v>3627</v>
      </c>
      <c r="C1159" s="26" t="s">
        <v>2545</v>
      </c>
      <c r="D1159" s="26">
        <v>4000000.0</v>
      </c>
      <c r="F1159" s="26" t="s">
        <v>2542</v>
      </c>
      <c r="G1159" s="26">
        <v>3341.0</v>
      </c>
    </row>
    <row r="1160">
      <c r="A1160" s="27">
        <v>45776.0</v>
      </c>
      <c r="B1160" s="26" t="s">
        <v>3628</v>
      </c>
      <c r="C1160" s="26" t="s">
        <v>2545</v>
      </c>
      <c r="D1160" s="26">
        <v>4000000.0</v>
      </c>
      <c r="F1160" s="26" t="s">
        <v>2542</v>
      </c>
      <c r="G1160" s="26">
        <v>3341.0</v>
      </c>
    </row>
    <row r="1161">
      <c r="A1161" s="27">
        <v>45776.0</v>
      </c>
      <c r="B1161" s="26" t="s">
        <v>3629</v>
      </c>
      <c r="C1161" s="26" t="s">
        <v>2545</v>
      </c>
      <c r="D1161" s="26">
        <v>5000000.0</v>
      </c>
      <c r="F1161" s="26" t="s">
        <v>2542</v>
      </c>
      <c r="G1161" s="26">
        <v>3341.0</v>
      </c>
    </row>
    <row r="1162">
      <c r="A1162" s="27">
        <v>45776.0</v>
      </c>
      <c r="B1162" s="26" t="s">
        <v>3630</v>
      </c>
      <c r="C1162" s="26" t="s">
        <v>2545</v>
      </c>
      <c r="D1162" s="26">
        <v>5000000.0</v>
      </c>
      <c r="F1162" s="26" t="s">
        <v>2542</v>
      </c>
      <c r="G1162" s="26">
        <v>3341.0</v>
      </c>
    </row>
    <row r="1163">
      <c r="A1163" s="27">
        <v>45776.0</v>
      </c>
      <c r="B1163" s="26" t="s">
        <v>3631</v>
      </c>
      <c r="C1163" s="26" t="s">
        <v>2545</v>
      </c>
      <c r="D1163" s="26">
        <v>5000000.0</v>
      </c>
      <c r="F1163" s="26" t="s">
        <v>2542</v>
      </c>
      <c r="G1163" s="26">
        <v>3341.0</v>
      </c>
    </row>
    <row r="1164">
      <c r="A1164" s="27">
        <v>45776.0</v>
      </c>
      <c r="B1164" s="26" t="s">
        <v>3632</v>
      </c>
      <c r="C1164" s="26" t="s">
        <v>2545</v>
      </c>
      <c r="D1164" s="26">
        <v>1500000.0</v>
      </c>
      <c r="F1164" s="26" t="s">
        <v>2542</v>
      </c>
      <c r="G1164" s="26">
        <v>3341.0</v>
      </c>
    </row>
    <row r="1165">
      <c r="A1165" s="27">
        <v>45776.0</v>
      </c>
      <c r="B1165" s="26" t="s">
        <v>3633</v>
      </c>
      <c r="C1165" s="26" t="s">
        <v>2571</v>
      </c>
      <c r="D1165" s="26">
        <v>389000.0</v>
      </c>
      <c r="F1165" s="26" t="s">
        <v>2542</v>
      </c>
      <c r="G1165" s="26">
        <v>641.22</v>
      </c>
    </row>
    <row r="1166">
      <c r="A1166" s="27">
        <v>45775.0</v>
      </c>
      <c r="B1166" s="26" t="s">
        <v>3634</v>
      </c>
      <c r="C1166" s="26" t="s">
        <v>2764</v>
      </c>
      <c r="D1166" s="26">
        <v>1200000.0</v>
      </c>
      <c r="F1166" s="26" t="s">
        <v>2542</v>
      </c>
      <c r="G1166" s="26">
        <v>6273.0</v>
      </c>
    </row>
    <row r="1167">
      <c r="A1167" s="27">
        <v>45775.0</v>
      </c>
      <c r="B1167" s="26" t="s">
        <v>3635</v>
      </c>
      <c r="C1167" s="26" t="s">
        <v>2583</v>
      </c>
      <c r="D1167" s="26">
        <v>2288000.0</v>
      </c>
      <c r="F1167" s="26" t="s">
        <v>2542</v>
      </c>
      <c r="G1167" s="26">
        <v>641.13</v>
      </c>
    </row>
    <row r="1168">
      <c r="A1168" s="27">
        <v>45775.0</v>
      </c>
      <c r="B1168" s="26" t="s">
        <v>3636</v>
      </c>
      <c r="C1168" s="26" t="s">
        <v>3620</v>
      </c>
      <c r="D1168" s="26">
        <v>1000000.0</v>
      </c>
      <c r="F1168" s="26" t="s">
        <v>2542</v>
      </c>
      <c r="G1168" s="26">
        <v>6428.0</v>
      </c>
    </row>
    <row r="1169">
      <c r="A1169" s="27">
        <v>45775.0</v>
      </c>
      <c r="B1169" s="26" t="s">
        <v>3637</v>
      </c>
      <c r="C1169" s="26" t="s">
        <v>3620</v>
      </c>
      <c r="D1169" s="26">
        <v>500000.0</v>
      </c>
      <c r="F1169" s="26" t="s">
        <v>2542</v>
      </c>
      <c r="G1169" s="26">
        <v>6428.0</v>
      </c>
    </row>
    <row r="1170">
      <c r="A1170" s="27">
        <v>45775.0</v>
      </c>
      <c r="B1170" s="26" t="s">
        <v>3638</v>
      </c>
      <c r="C1170" s="26" t="s">
        <v>3620</v>
      </c>
      <c r="D1170" s="26">
        <v>500000.0</v>
      </c>
      <c r="F1170" s="26" t="s">
        <v>2542</v>
      </c>
      <c r="G1170" s="26">
        <v>6428.0</v>
      </c>
    </row>
    <row r="1171">
      <c r="A1171" s="27">
        <v>45775.0</v>
      </c>
      <c r="B1171" s="26" t="s">
        <v>3639</v>
      </c>
      <c r="C1171" s="26" t="s">
        <v>3620</v>
      </c>
      <c r="D1171" s="26">
        <v>500000.0</v>
      </c>
      <c r="F1171" s="26" t="s">
        <v>2542</v>
      </c>
      <c r="G1171" s="26">
        <v>6428.0</v>
      </c>
    </row>
    <row r="1172">
      <c r="A1172" s="27">
        <v>45775.0</v>
      </c>
      <c r="B1172" s="26" t="s">
        <v>3640</v>
      </c>
      <c r="C1172" s="26" t="s">
        <v>3620</v>
      </c>
      <c r="D1172" s="26">
        <v>1000000.0</v>
      </c>
      <c r="F1172" s="26" t="s">
        <v>2542</v>
      </c>
      <c r="G1172" s="26">
        <v>6428.0</v>
      </c>
    </row>
    <row r="1173">
      <c r="A1173" s="27">
        <v>45775.0</v>
      </c>
      <c r="B1173" s="26" t="s">
        <v>3641</v>
      </c>
      <c r="C1173" s="26" t="s">
        <v>3620</v>
      </c>
      <c r="D1173" s="26">
        <v>300000.0</v>
      </c>
      <c r="F1173" s="26" t="s">
        <v>2542</v>
      </c>
      <c r="G1173" s="26">
        <v>6428.0</v>
      </c>
    </row>
    <row r="1174">
      <c r="A1174" s="27">
        <v>45775.0</v>
      </c>
      <c r="B1174" s="26" t="s">
        <v>3642</v>
      </c>
      <c r="C1174" s="26" t="s">
        <v>3620</v>
      </c>
      <c r="D1174" s="26">
        <v>300000.0</v>
      </c>
      <c r="F1174" s="26" t="s">
        <v>2542</v>
      </c>
      <c r="G1174" s="26">
        <v>6428.0</v>
      </c>
    </row>
    <row r="1175">
      <c r="A1175" s="27">
        <v>45773.0</v>
      </c>
      <c r="B1175" s="26" t="s">
        <v>3643</v>
      </c>
      <c r="C1175" s="26" t="s">
        <v>255</v>
      </c>
      <c r="D1175" s="26">
        <v>2160000.0</v>
      </c>
      <c r="F1175" s="26" t="s">
        <v>2542</v>
      </c>
    </row>
    <row r="1176">
      <c r="A1176" s="27">
        <v>45772.0</v>
      </c>
      <c r="B1176" s="26" t="s">
        <v>3644</v>
      </c>
      <c r="C1176" s="26" t="s">
        <v>255</v>
      </c>
      <c r="D1176" s="26">
        <v>3665000.0</v>
      </c>
      <c r="F1176" s="26" t="s">
        <v>2542</v>
      </c>
    </row>
    <row r="1177">
      <c r="A1177" s="27">
        <v>45772.0</v>
      </c>
      <c r="B1177" s="26" t="s">
        <v>3645</v>
      </c>
      <c r="C1177" s="26" t="s">
        <v>255</v>
      </c>
      <c r="D1177" s="26">
        <v>4752000.0</v>
      </c>
      <c r="F1177" s="26" t="s">
        <v>2542</v>
      </c>
    </row>
    <row r="1178">
      <c r="A1178" s="27">
        <v>45772.0</v>
      </c>
      <c r="B1178" s="26" t="s">
        <v>3646</v>
      </c>
      <c r="C1178" s="26" t="s">
        <v>2574</v>
      </c>
      <c r="D1178" s="26">
        <v>1.364148E7</v>
      </c>
      <c r="F1178" s="26" t="s">
        <v>2542</v>
      </c>
      <c r="G1178" s="26">
        <v>331.0</v>
      </c>
    </row>
    <row r="1179">
      <c r="A1179" s="27">
        <v>45772.0</v>
      </c>
      <c r="B1179" s="26" t="s">
        <v>3647</v>
      </c>
      <c r="C1179" s="26" t="s">
        <v>2583</v>
      </c>
      <c r="D1179" s="26">
        <v>2054000.0</v>
      </c>
      <c r="F1179" s="26" t="s">
        <v>2542</v>
      </c>
      <c r="G1179" s="26">
        <v>641.13</v>
      </c>
    </row>
    <row r="1180">
      <c r="A1180" s="27">
        <v>45772.0</v>
      </c>
      <c r="B1180" s="26" t="s">
        <v>3648</v>
      </c>
      <c r="C1180" s="26" t="s">
        <v>2571</v>
      </c>
      <c r="D1180" s="26">
        <v>250000.0</v>
      </c>
      <c r="F1180" s="26" t="s">
        <v>2542</v>
      </c>
      <c r="G1180" s="26">
        <v>641.22</v>
      </c>
    </row>
    <row r="1181">
      <c r="A1181" s="27">
        <v>45771.0</v>
      </c>
      <c r="B1181" s="26" t="s">
        <v>2586</v>
      </c>
      <c r="C1181" s="26" t="s">
        <v>255</v>
      </c>
      <c r="D1181" s="26">
        <v>5791.0</v>
      </c>
      <c r="F1181" s="26" t="s">
        <v>2542</v>
      </c>
    </row>
    <row r="1182">
      <c r="A1182" s="27">
        <v>45771.0</v>
      </c>
      <c r="B1182" s="26" t="s">
        <v>3649</v>
      </c>
      <c r="C1182" s="26" t="s">
        <v>255</v>
      </c>
      <c r="D1182" s="26">
        <v>1.091E7</v>
      </c>
      <c r="F1182" s="26" t="s">
        <v>2542</v>
      </c>
    </row>
    <row r="1183">
      <c r="A1183" s="27">
        <v>45771.0</v>
      </c>
      <c r="B1183" s="26" t="s">
        <v>3650</v>
      </c>
      <c r="C1183" s="26" t="s">
        <v>255</v>
      </c>
      <c r="D1183" s="26">
        <v>2.4988957E7</v>
      </c>
      <c r="F1183" s="26" t="s">
        <v>2542</v>
      </c>
    </row>
    <row r="1184">
      <c r="A1184" s="27">
        <v>45771.0</v>
      </c>
      <c r="B1184" s="26" t="s">
        <v>3651</v>
      </c>
      <c r="C1184" s="26" t="s">
        <v>2561</v>
      </c>
      <c r="D1184" s="26">
        <v>4465000.0</v>
      </c>
      <c r="F1184" s="26" t="s">
        <v>2542</v>
      </c>
      <c r="G1184" s="26">
        <v>331.0</v>
      </c>
    </row>
    <row r="1185">
      <c r="A1185" s="27">
        <v>45771.0</v>
      </c>
      <c r="B1185" s="26" t="s">
        <v>3652</v>
      </c>
      <c r="C1185" s="26" t="s">
        <v>2561</v>
      </c>
      <c r="D1185" s="26">
        <v>567000.0</v>
      </c>
      <c r="F1185" s="26" t="s">
        <v>2542</v>
      </c>
      <c r="G1185" s="26">
        <v>331.0</v>
      </c>
    </row>
    <row r="1186">
      <c r="A1186" s="27">
        <v>45770.0</v>
      </c>
      <c r="B1186" s="26" t="s">
        <v>3653</v>
      </c>
      <c r="C1186" s="26" t="s">
        <v>255</v>
      </c>
      <c r="D1186" s="26">
        <v>6380000.0</v>
      </c>
      <c r="F1186" s="26" t="s">
        <v>2542</v>
      </c>
    </row>
    <row r="1187">
      <c r="A1187" s="27">
        <v>45770.0</v>
      </c>
      <c r="B1187" s="26" t="s">
        <v>3216</v>
      </c>
      <c r="C1187" s="26" t="s">
        <v>255</v>
      </c>
      <c r="D1187" s="26">
        <v>2310000.0</v>
      </c>
      <c r="F1187" s="26" t="s">
        <v>2542</v>
      </c>
    </row>
    <row r="1188">
      <c r="A1188" s="27">
        <v>45769.0</v>
      </c>
      <c r="B1188" s="26" t="s">
        <v>3654</v>
      </c>
      <c r="C1188" s="26" t="s">
        <v>255</v>
      </c>
      <c r="D1188" s="26">
        <v>3240000.0</v>
      </c>
      <c r="F1188" s="26" t="s">
        <v>2542</v>
      </c>
    </row>
    <row r="1189">
      <c r="A1189" s="27">
        <v>45769.0</v>
      </c>
      <c r="B1189" s="26" t="s">
        <v>3655</v>
      </c>
      <c r="C1189" s="26" t="s">
        <v>255</v>
      </c>
      <c r="D1189" s="26">
        <v>1480000.0</v>
      </c>
      <c r="F1189" s="26" t="s">
        <v>2542</v>
      </c>
    </row>
    <row r="1190">
      <c r="A1190" s="27">
        <v>45769.0</v>
      </c>
      <c r="B1190" s="26" t="s">
        <v>3656</v>
      </c>
      <c r="C1190" s="26" t="s">
        <v>2561</v>
      </c>
      <c r="D1190" s="26">
        <v>228000.0</v>
      </c>
      <c r="F1190" s="26" t="s">
        <v>2542</v>
      </c>
      <c r="G1190" s="26">
        <v>331.0</v>
      </c>
    </row>
    <row r="1191">
      <c r="A1191" s="27">
        <v>45768.0</v>
      </c>
      <c r="B1191" s="26" t="s">
        <v>3657</v>
      </c>
      <c r="C1191" s="26" t="s">
        <v>255</v>
      </c>
      <c r="D1191" s="26">
        <v>3564000.0</v>
      </c>
      <c r="F1191" s="26" t="s">
        <v>2542</v>
      </c>
    </row>
    <row r="1192">
      <c r="A1192" s="27">
        <v>45768.0</v>
      </c>
      <c r="B1192" s="26" t="s">
        <v>3658</v>
      </c>
      <c r="C1192" s="26" t="s">
        <v>255</v>
      </c>
      <c r="D1192" s="26">
        <v>4320000.0</v>
      </c>
      <c r="F1192" s="26" t="s">
        <v>2542</v>
      </c>
    </row>
    <row r="1193">
      <c r="A1193" s="27">
        <v>45768.0</v>
      </c>
      <c r="B1193" s="26" t="s">
        <v>3659</v>
      </c>
      <c r="C1193" s="26" t="s">
        <v>255</v>
      </c>
      <c r="D1193" s="26">
        <v>3480000.0</v>
      </c>
      <c r="F1193" s="26" t="s">
        <v>2542</v>
      </c>
    </row>
    <row r="1194">
      <c r="A1194" s="27">
        <v>45768.0</v>
      </c>
      <c r="B1194" s="26" t="s">
        <v>3660</v>
      </c>
      <c r="C1194" s="26" t="s">
        <v>255</v>
      </c>
      <c r="D1194" s="26">
        <v>1568000.0</v>
      </c>
      <c r="F1194" s="26" t="s">
        <v>2542</v>
      </c>
    </row>
    <row r="1195">
      <c r="A1195" s="27">
        <v>45768.0</v>
      </c>
      <c r="B1195" s="26" t="s">
        <v>3661</v>
      </c>
      <c r="C1195" s="26" t="s">
        <v>255</v>
      </c>
      <c r="D1195" s="26">
        <v>1080000.0</v>
      </c>
      <c r="F1195" s="26" t="s">
        <v>2542</v>
      </c>
    </row>
    <row r="1196">
      <c r="A1196" s="27">
        <v>45768.0</v>
      </c>
      <c r="B1196" s="26" t="s">
        <v>3662</v>
      </c>
      <c r="C1196" s="26" t="s">
        <v>255</v>
      </c>
      <c r="D1196" s="26">
        <v>1080000.0</v>
      </c>
      <c r="F1196" s="26" t="s">
        <v>2542</v>
      </c>
    </row>
    <row r="1197">
      <c r="A1197" s="27">
        <v>45768.0</v>
      </c>
      <c r="B1197" s="26" t="s">
        <v>3663</v>
      </c>
      <c r="C1197" s="26" t="s">
        <v>255</v>
      </c>
      <c r="D1197" s="26">
        <v>1.009E7</v>
      </c>
      <c r="F1197" s="26" t="s">
        <v>2542</v>
      </c>
    </row>
    <row r="1198">
      <c r="A1198" s="27">
        <v>45768.0</v>
      </c>
      <c r="B1198" s="26" t="s">
        <v>3664</v>
      </c>
      <c r="C1198" s="26" t="s">
        <v>2583</v>
      </c>
      <c r="D1198" s="26">
        <v>4195000.0</v>
      </c>
      <c r="F1198" s="26" t="s">
        <v>2542</v>
      </c>
      <c r="G1198" s="26">
        <v>641.14</v>
      </c>
    </row>
    <row r="1199">
      <c r="A1199" s="27">
        <v>45768.0</v>
      </c>
      <c r="B1199" s="26" t="s">
        <v>3665</v>
      </c>
      <c r="C1199" s="26" t="s">
        <v>2561</v>
      </c>
      <c r="D1199" s="26">
        <v>2.076E7</v>
      </c>
      <c r="F1199" s="26" t="s">
        <v>2542</v>
      </c>
      <c r="G1199" s="26">
        <v>331.0</v>
      </c>
    </row>
    <row r="1200">
      <c r="A1200" s="27">
        <v>45766.0</v>
      </c>
      <c r="B1200" s="26" t="s">
        <v>3666</v>
      </c>
      <c r="C1200" s="26" t="s">
        <v>255</v>
      </c>
      <c r="D1200" s="26">
        <v>1875000.0</v>
      </c>
      <c r="F1200" s="26" t="s">
        <v>2542</v>
      </c>
    </row>
    <row r="1201">
      <c r="A1201" s="27">
        <v>45765.0</v>
      </c>
      <c r="B1201" s="26" t="s">
        <v>3667</v>
      </c>
      <c r="C1201" s="28"/>
      <c r="D1201" s="26">
        <v>2827000.0</v>
      </c>
      <c r="F1201" s="26" t="s">
        <v>2542</v>
      </c>
      <c r="G1201" s="26">
        <v>5113.0</v>
      </c>
    </row>
    <row r="1202">
      <c r="A1202" s="27">
        <v>45765.0</v>
      </c>
      <c r="B1202" s="26" t="s">
        <v>3668</v>
      </c>
      <c r="C1202" s="26" t="s">
        <v>2574</v>
      </c>
      <c r="D1202" s="26">
        <v>6260760.0</v>
      </c>
      <c r="F1202" s="26" t="s">
        <v>2542</v>
      </c>
      <c r="G1202" s="26">
        <v>331.0</v>
      </c>
    </row>
    <row r="1203">
      <c r="A1203" s="27">
        <v>45765.0</v>
      </c>
      <c r="B1203" s="26" t="s">
        <v>3669</v>
      </c>
      <c r="C1203" s="26" t="s">
        <v>2574</v>
      </c>
      <c r="D1203" s="26">
        <v>4100760.0</v>
      </c>
      <c r="F1203" s="26" t="s">
        <v>2542</v>
      </c>
      <c r="G1203" s="26">
        <v>331.0</v>
      </c>
    </row>
    <row r="1204">
      <c r="A1204" s="27">
        <v>45765.0</v>
      </c>
      <c r="B1204" s="26" t="s">
        <v>3670</v>
      </c>
      <c r="C1204" s="26" t="s">
        <v>2561</v>
      </c>
      <c r="D1204" s="26">
        <v>3.0E7</v>
      </c>
      <c r="F1204" s="26" t="s">
        <v>2542</v>
      </c>
      <c r="G1204" s="26">
        <v>331.0</v>
      </c>
    </row>
    <row r="1205">
      <c r="A1205" s="27">
        <v>45765.0</v>
      </c>
      <c r="B1205" s="26" t="s">
        <v>3671</v>
      </c>
      <c r="C1205" s="26" t="s">
        <v>2764</v>
      </c>
      <c r="D1205" s="26">
        <v>204000.0</v>
      </c>
      <c r="F1205" s="26" t="s">
        <v>2542</v>
      </c>
      <c r="G1205" s="26">
        <v>6273.0</v>
      </c>
    </row>
    <row r="1206">
      <c r="A1206" s="27">
        <v>45764.0</v>
      </c>
      <c r="B1206" s="26" t="s">
        <v>3672</v>
      </c>
      <c r="C1206" s="26" t="s">
        <v>255</v>
      </c>
      <c r="D1206" s="26">
        <v>2.5E8</v>
      </c>
      <c r="F1206" s="26" t="s">
        <v>2542</v>
      </c>
    </row>
    <row r="1207">
      <c r="A1207" s="27">
        <v>45764.0</v>
      </c>
      <c r="B1207" s="26" t="s">
        <v>3673</v>
      </c>
      <c r="C1207" s="26" t="s">
        <v>255</v>
      </c>
      <c r="D1207" s="26">
        <v>1.76733761E8</v>
      </c>
      <c r="F1207" s="26" t="s">
        <v>2542</v>
      </c>
    </row>
    <row r="1208">
      <c r="A1208" s="27">
        <v>45764.0</v>
      </c>
      <c r="B1208" s="26" t="s">
        <v>3672</v>
      </c>
      <c r="C1208" s="28"/>
      <c r="D1208" s="26">
        <v>2.5E8</v>
      </c>
      <c r="F1208" s="26" t="s">
        <v>2542</v>
      </c>
    </row>
    <row r="1209">
      <c r="A1209" s="27">
        <v>45764.0</v>
      </c>
      <c r="B1209" s="26" t="s">
        <v>3674</v>
      </c>
      <c r="C1209" s="26" t="s">
        <v>2581</v>
      </c>
      <c r="D1209" s="26">
        <v>7600000.0</v>
      </c>
      <c r="F1209" s="26" t="s">
        <v>2542</v>
      </c>
      <c r="G1209" s="26">
        <v>6422.0</v>
      </c>
    </row>
    <row r="1210">
      <c r="A1210" s="27">
        <v>45764.0</v>
      </c>
      <c r="B1210" s="26" t="s">
        <v>3675</v>
      </c>
      <c r="C1210" s="26" t="s">
        <v>2581</v>
      </c>
      <c r="D1210" s="26">
        <v>7000000.0</v>
      </c>
      <c r="F1210" s="26" t="s">
        <v>2542</v>
      </c>
      <c r="G1210" s="26">
        <v>6422.0</v>
      </c>
    </row>
    <row r="1211">
      <c r="A1211" s="27">
        <v>45764.0</v>
      </c>
      <c r="B1211" s="26" t="s">
        <v>3675</v>
      </c>
      <c r="C1211" s="28"/>
      <c r="D1211" s="26">
        <v>350000.0</v>
      </c>
      <c r="F1211" s="26" t="s">
        <v>2542</v>
      </c>
    </row>
    <row r="1212">
      <c r="A1212" s="27">
        <v>45764.0</v>
      </c>
      <c r="B1212" s="26" t="s">
        <v>3676</v>
      </c>
      <c r="C1212" s="26" t="s">
        <v>2583</v>
      </c>
      <c r="D1212" s="26">
        <v>1081840.0</v>
      </c>
      <c r="F1212" s="26" t="s">
        <v>2542</v>
      </c>
      <c r="G1212" s="26">
        <v>641.13</v>
      </c>
    </row>
    <row r="1213">
      <c r="A1213" s="27">
        <v>45764.0</v>
      </c>
      <c r="B1213" s="26" t="s">
        <v>3677</v>
      </c>
      <c r="C1213" s="26" t="s">
        <v>2561</v>
      </c>
      <c r="D1213" s="26">
        <v>2.28259548E8</v>
      </c>
      <c r="F1213" s="26" t="s">
        <v>2542</v>
      </c>
      <c r="G1213" s="26">
        <v>331.0</v>
      </c>
    </row>
    <row r="1214">
      <c r="A1214" s="27">
        <v>45764.0</v>
      </c>
      <c r="B1214" s="26" t="s">
        <v>3678</v>
      </c>
      <c r="C1214" s="26" t="s">
        <v>2564</v>
      </c>
      <c r="D1214" s="26" t="s">
        <v>3679</v>
      </c>
      <c r="F1214" s="26" t="s">
        <v>2542</v>
      </c>
      <c r="G1214" s="26">
        <v>3332.0</v>
      </c>
    </row>
    <row r="1215">
      <c r="A1215" s="27">
        <v>45764.0</v>
      </c>
      <c r="B1215" s="26" t="s">
        <v>3680</v>
      </c>
      <c r="C1215" s="26" t="s">
        <v>2564</v>
      </c>
      <c r="D1215" s="26" t="s">
        <v>3681</v>
      </c>
      <c r="F1215" s="26" t="s">
        <v>2542</v>
      </c>
      <c r="G1215" s="26">
        <v>3332.0</v>
      </c>
    </row>
    <row r="1216">
      <c r="A1216" s="27">
        <v>45764.0</v>
      </c>
      <c r="B1216" s="26" t="s">
        <v>3682</v>
      </c>
      <c r="C1216" s="26" t="s">
        <v>2561</v>
      </c>
      <c r="D1216" s="26">
        <v>328000.0</v>
      </c>
      <c r="F1216" s="26" t="s">
        <v>2542</v>
      </c>
      <c r="G1216" s="26">
        <v>331.0</v>
      </c>
    </row>
    <row r="1217">
      <c r="A1217" s="27">
        <v>45764.0</v>
      </c>
      <c r="B1217" s="26" t="s">
        <v>3683</v>
      </c>
      <c r="C1217" s="26" t="s">
        <v>2561</v>
      </c>
      <c r="D1217" s="26">
        <v>129000.0</v>
      </c>
      <c r="F1217" s="26" t="s">
        <v>2542</v>
      </c>
      <c r="G1217" s="26">
        <v>331.0</v>
      </c>
    </row>
    <row r="1218">
      <c r="A1218" s="27">
        <v>45763.0</v>
      </c>
      <c r="B1218" s="26" t="s">
        <v>3684</v>
      </c>
      <c r="C1218" s="26" t="s">
        <v>255</v>
      </c>
      <c r="D1218" s="26">
        <v>5907000.0</v>
      </c>
      <c r="F1218" s="26" t="s">
        <v>2542</v>
      </c>
    </row>
    <row r="1219">
      <c r="A1219" s="27">
        <v>45763.0</v>
      </c>
      <c r="B1219" s="26" t="s">
        <v>3685</v>
      </c>
      <c r="C1219" s="26" t="s">
        <v>255</v>
      </c>
      <c r="D1219" s="26">
        <v>1440000.0</v>
      </c>
      <c r="F1219" s="26" t="s">
        <v>2542</v>
      </c>
    </row>
    <row r="1220">
      <c r="A1220" s="27">
        <v>45763.0</v>
      </c>
      <c r="B1220" s="26" t="s">
        <v>3686</v>
      </c>
      <c r="C1220" s="26" t="s">
        <v>2571</v>
      </c>
      <c r="D1220" s="26">
        <v>2480000.0</v>
      </c>
      <c r="F1220" s="26" t="s">
        <v>2542</v>
      </c>
      <c r="G1220" s="26">
        <v>641.16</v>
      </c>
    </row>
    <row r="1221">
      <c r="A1221" s="27">
        <v>45763.0</v>
      </c>
      <c r="B1221" s="26" t="s">
        <v>3687</v>
      </c>
      <c r="C1221" s="26" t="s">
        <v>2561</v>
      </c>
      <c r="D1221" s="26">
        <v>122000.0</v>
      </c>
      <c r="F1221" s="26" t="s">
        <v>2542</v>
      </c>
      <c r="G1221" s="26">
        <v>331.0</v>
      </c>
    </row>
    <row r="1222">
      <c r="A1222" s="27">
        <v>45762.0</v>
      </c>
      <c r="B1222" s="26" t="s">
        <v>3688</v>
      </c>
      <c r="C1222" s="26" t="s">
        <v>255</v>
      </c>
      <c r="D1222" s="26">
        <v>1.42048E7</v>
      </c>
      <c r="F1222" s="26" t="s">
        <v>2542</v>
      </c>
    </row>
    <row r="1223">
      <c r="A1223" s="27">
        <v>45762.0</v>
      </c>
      <c r="B1223" s="26" t="s">
        <v>3689</v>
      </c>
      <c r="C1223" s="26" t="s">
        <v>255</v>
      </c>
      <c r="D1223" s="26">
        <v>7090000.0</v>
      </c>
      <c r="F1223" s="26" t="s">
        <v>2542</v>
      </c>
    </row>
    <row r="1224">
      <c r="A1224" s="27">
        <v>45762.0</v>
      </c>
      <c r="B1224" s="26" t="s">
        <v>3690</v>
      </c>
      <c r="C1224" s="28"/>
      <c r="D1224" s="26">
        <v>640000.0</v>
      </c>
      <c r="F1224" s="26" t="s">
        <v>2542</v>
      </c>
    </row>
    <row r="1225">
      <c r="A1225" s="27">
        <v>45762.0</v>
      </c>
      <c r="B1225" s="26" t="s">
        <v>3690</v>
      </c>
      <c r="C1225" s="26" t="s">
        <v>2581</v>
      </c>
      <c r="D1225" s="26">
        <v>8000000.0</v>
      </c>
      <c r="F1225" s="26" t="s">
        <v>2542</v>
      </c>
      <c r="G1225" s="26">
        <v>6422.0</v>
      </c>
    </row>
    <row r="1226">
      <c r="A1226" s="27">
        <v>45762.0</v>
      </c>
      <c r="B1226" s="26" t="s">
        <v>3691</v>
      </c>
      <c r="C1226" s="26" t="s">
        <v>2583</v>
      </c>
      <c r="D1226" s="26">
        <v>5907000.0</v>
      </c>
      <c r="F1226" s="26" t="s">
        <v>2542</v>
      </c>
      <c r="G1226" s="26">
        <v>641.13</v>
      </c>
    </row>
    <row r="1227">
      <c r="A1227" s="27">
        <v>45762.0</v>
      </c>
      <c r="B1227" s="26" t="s">
        <v>3692</v>
      </c>
      <c r="C1227" s="26" t="s">
        <v>2561</v>
      </c>
      <c r="D1227" s="26">
        <v>5000000.0</v>
      </c>
      <c r="F1227" s="26" t="s">
        <v>2542</v>
      </c>
      <c r="G1227" s="26">
        <v>331.0</v>
      </c>
    </row>
    <row r="1228">
      <c r="A1228" s="27">
        <v>45762.0</v>
      </c>
      <c r="B1228" s="26" t="s">
        <v>3693</v>
      </c>
      <c r="C1228" s="26" t="s">
        <v>2583</v>
      </c>
      <c r="D1228" s="26">
        <v>3672818.0</v>
      </c>
      <c r="F1228" s="26" t="s">
        <v>2542</v>
      </c>
      <c r="G1228" s="26">
        <v>641.13</v>
      </c>
    </row>
    <row r="1229">
      <c r="A1229" s="27">
        <v>45762.0</v>
      </c>
      <c r="B1229" s="26" t="s">
        <v>3694</v>
      </c>
      <c r="C1229" s="26" t="s">
        <v>2561</v>
      </c>
      <c r="D1229" s="26">
        <v>6720000.0</v>
      </c>
      <c r="F1229" s="26" t="s">
        <v>2542</v>
      </c>
      <c r="G1229" s="26">
        <v>331.0</v>
      </c>
    </row>
    <row r="1230">
      <c r="A1230" s="27">
        <v>45761.0</v>
      </c>
      <c r="B1230" s="26" t="s">
        <v>3695</v>
      </c>
      <c r="C1230" s="26" t="s">
        <v>255</v>
      </c>
      <c r="D1230" s="26">
        <v>2900000.0</v>
      </c>
      <c r="F1230" s="26" t="s">
        <v>2542</v>
      </c>
    </row>
    <row r="1231">
      <c r="A1231" s="27">
        <v>45761.0</v>
      </c>
      <c r="B1231" s="26" t="s">
        <v>3696</v>
      </c>
      <c r="C1231" s="26" t="s">
        <v>255</v>
      </c>
      <c r="D1231" s="26">
        <v>2160000.0</v>
      </c>
      <c r="F1231" s="26" t="s">
        <v>2542</v>
      </c>
    </row>
    <row r="1232">
      <c r="A1232" s="27">
        <v>45761.0</v>
      </c>
      <c r="B1232" s="26" t="s">
        <v>3697</v>
      </c>
      <c r="C1232" s="26" t="s">
        <v>2545</v>
      </c>
      <c r="D1232" s="26">
        <v>2525300.0</v>
      </c>
      <c r="F1232" s="26" t="s">
        <v>2542</v>
      </c>
      <c r="G1232" s="26">
        <v>3348.0</v>
      </c>
    </row>
    <row r="1233">
      <c r="A1233" s="27">
        <v>45761.0</v>
      </c>
      <c r="B1233" s="26" t="s">
        <v>3698</v>
      </c>
      <c r="C1233" s="26" t="s">
        <v>2545</v>
      </c>
      <c r="D1233" s="26">
        <v>5114500.0</v>
      </c>
      <c r="F1233" s="26" t="s">
        <v>2542</v>
      </c>
      <c r="G1233" s="26">
        <v>3348.0</v>
      </c>
    </row>
    <row r="1234">
      <c r="A1234" s="27">
        <v>45761.0</v>
      </c>
      <c r="B1234" s="26" t="s">
        <v>3699</v>
      </c>
      <c r="C1234" s="26" t="s">
        <v>2571</v>
      </c>
      <c r="D1234" s="26">
        <v>5609833.0</v>
      </c>
      <c r="F1234" s="26" t="s">
        <v>2542</v>
      </c>
      <c r="G1234" s="26">
        <v>641.12</v>
      </c>
    </row>
    <row r="1235">
      <c r="A1235" s="27">
        <v>45761.0</v>
      </c>
      <c r="B1235" s="26" t="s">
        <v>3700</v>
      </c>
      <c r="C1235" s="26" t="s">
        <v>2764</v>
      </c>
      <c r="D1235" s="26">
        <v>2500000.0</v>
      </c>
      <c r="F1235" s="26" t="s">
        <v>2542</v>
      </c>
      <c r="G1235" s="26">
        <v>6273.0</v>
      </c>
    </row>
    <row r="1236">
      <c r="A1236" s="27">
        <v>45761.0</v>
      </c>
      <c r="B1236" s="26" t="s">
        <v>3701</v>
      </c>
      <c r="C1236" s="26" t="s">
        <v>2545</v>
      </c>
      <c r="D1236" s="26">
        <v>1.47E7</v>
      </c>
      <c r="F1236" s="26" t="s">
        <v>2542</v>
      </c>
      <c r="G1236" s="26">
        <v>3341.0</v>
      </c>
    </row>
    <row r="1237">
      <c r="A1237" s="27">
        <v>45761.0</v>
      </c>
      <c r="B1237" s="26" t="s">
        <v>3702</v>
      </c>
      <c r="C1237" s="26" t="s">
        <v>2571</v>
      </c>
      <c r="D1237" s="26">
        <v>590000.0</v>
      </c>
      <c r="F1237" s="26" t="s">
        <v>2542</v>
      </c>
      <c r="G1237" s="26">
        <v>641.22</v>
      </c>
    </row>
    <row r="1238">
      <c r="A1238" s="27">
        <v>45761.0</v>
      </c>
      <c r="B1238" s="26" t="s">
        <v>3703</v>
      </c>
      <c r="C1238" s="26" t="s">
        <v>2561</v>
      </c>
      <c r="D1238" s="26">
        <v>780.0</v>
      </c>
      <c r="F1238" s="26" t="s">
        <v>2542</v>
      </c>
      <c r="G1238" s="26">
        <v>632.1</v>
      </c>
    </row>
    <row r="1239">
      <c r="A1239" s="27">
        <v>45759.0</v>
      </c>
      <c r="B1239" s="26" t="s">
        <v>3704</v>
      </c>
      <c r="C1239" s="26" t="s">
        <v>255</v>
      </c>
      <c r="D1239" s="26">
        <v>5280000.0</v>
      </c>
      <c r="F1239" s="26" t="s">
        <v>2542</v>
      </c>
    </row>
    <row r="1240">
      <c r="A1240" s="27">
        <v>45759.0</v>
      </c>
      <c r="B1240" s="26" t="s">
        <v>3705</v>
      </c>
      <c r="C1240" s="26" t="s">
        <v>255</v>
      </c>
      <c r="D1240" s="26">
        <v>7660000.0</v>
      </c>
      <c r="F1240" s="26" t="s">
        <v>2542</v>
      </c>
    </row>
    <row r="1241">
      <c r="A1241" s="27">
        <v>45758.0</v>
      </c>
      <c r="B1241" s="26" t="s">
        <v>3574</v>
      </c>
      <c r="C1241" s="26" t="s">
        <v>255</v>
      </c>
      <c r="D1241" s="26">
        <v>9160000.0</v>
      </c>
      <c r="F1241" s="26" t="s">
        <v>2542</v>
      </c>
    </row>
    <row r="1242">
      <c r="A1242" s="27">
        <v>45758.0</v>
      </c>
      <c r="B1242" s="26" t="s">
        <v>3063</v>
      </c>
      <c r="C1242" s="26" t="s">
        <v>255</v>
      </c>
      <c r="D1242" s="26">
        <v>918000.0</v>
      </c>
      <c r="F1242" s="26" t="s">
        <v>2542</v>
      </c>
    </row>
    <row r="1243">
      <c r="A1243" s="27">
        <v>45758.0</v>
      </c>
      <c r="B1243" s="26" t="s">
        <v>3706</v>
      </c>
      <c r="C1243" s="26" t="s">
        <v>255</v>
      </c>
      <c r="D1243" s="26">
        <v>1.207375E7</v>
      </c>
      <c r="F1243" s="26" t="s">
        <v>2542</v>
      </c>
    </row>
    <row r="1244">
      <c r="A1244" s="27">
        <v>45758.0</v>
      </c>
      <c r="B1244" s="26" t="s">
        <v>3707</v>
      </c>
      <c r="C1244" s="26" t="s">
        <v>255</v>
      </c>
      <c r="D1244" s="26">
        <v>6380000.0</v>
      </c>
      <c r="F1244" s="26" t="s">
        <v>2542</v>
      </c>
    </row>
    <row r="1245">
      <c r="A1245" s="27">
        <v>45758.0</v>
      </c>
      <c r="B1245" s="26" t="s">
        <v>3708</v>
      </c>
      <c r="C1245" s="26" t="s">
        <v>255</v>
      </c>
      <c r="D1245" s="26">
        <v>9697908.0</v>
      </c>
      <c r="F1245" s="26" t="s">
        <v>2542</v>
      </c>
    </row>
    <row r="1246">
      <c r="A1246" s="27">
        <v>45758.0</v>
      </c>
      <c r="B1246" s="26" t="s">
        <v>3709</v>
      </c>
      <c r="C1246" s="26" t="s">
        <v>255</v>
      </c>
      <c r="D1246" s="26">
        <v>1595000.0</v>
      </c>
      <c r="F1246" s="26" t="s">
        <v>2542</v>
      </c>
    </row>
    <row r="1247">
      <c r="A1247" s="27">
        <v>45758.0</v>
      </c>
      <c r="B1247" s="26" t="s">
        <v>3710</v>
      </c>
      <c r="C1247" s="26" t="s">
        <v>255</v>
      </c>
      <c r="D1247" s="26">
        <v>1595000.0</v>
      </c>
      <c r="F1247" s="26" t="s">
        <v>2542</v>
      </c>
    </row>
    <row r="1248">
      <c r="A1248" s="27">
        <v>45758.0</v>
      </c>
      <c r="B1248" s="26" t="s">
        <v>3711</v>
      </c>
      <c r="C1248" s="26" t="s">
        <v>2571</v>
      </c>
      <c r="D1248" s="26">
        <v>560000.0</v>
      </c>
      <c r="F1248" s="26" t="s">
        <v>2542</v>
      </c>
      <c r="G1248" s="26">
        <v>641.12</v>
      </c>
    </row>
    <row r="1249">
      <c r="A1249" s="27">
        <v>45758.0</v>
      </c>
      <c r="B1249" s="26" t="s">
        <v>3712</v>
      </c>
      <c r="C1249" s="26" t="s">
        <v>2561</v>
      </c>
      <c r="D1249" s="26">
        <v>3060000.0</v>
      </c>
      <c r="F1249" s="26" t="s">
        <v>2542</v>
      </c>
      <c r="G1249" s="26">
        <v>331.0</v>
      </c>
    </row>
    <row r="1250">
      <c r="A1250" s="27">
        <v>45757.0</v>
      </c>
      <c r="B1250" s="26" t="s">
        <v>3713</v>
      </c>
      <c r="C1250" s="26" t="s">
        <v>255</v>
      </c>
      <c r="D1250" s="26">
        <v>7650000.0</v>
      </c>
      <c r="F1250" s="26" t="s">
        <v>2542</v>
      </c>
    </row>
    <row r="1251">
      <c r="A1251" s="27">
        <v>45757.0</v>
      </c>
      <c r="B1251" s="26" t="s">
        <v>3714</v>
      </c>
      <c r="C1251" s="26" t="s">
        <v>255</v>
      </c>
      <c r="D1251" s="26">
        <v>4320000.0</v>
      </c>
      <c r="F1251" s="26" t="s">
        <v>2542</v>
      </c>
    </row>
    <row r="1252">
      <c r="A1252" s="27">
        <v>45757.0</v>
      </c>
      <c r="B1252" s="26" t="s">
        <v>3715</v>
      </c>
      <c r="C1252" s="26" t="s">
        <v>255</v>
      </c>
      <c r="D1252" s="26">
        <v>3240000.0</v>
      </c>
      <c r="F1252" s="26" t="s">
        <v>2542</v>
      </c>
    </row>
    <row r="1253">
      <c r="A1253" s="27">
        <v>45757.0</v>
      </c>
      <c r="B1253" s="26" t="s">
        <v>3716</v>
      </c>
      <c r="C1253" s="26" t="s">
        <v>255</v>
      </c>
      <c r="D1253" s="26">
        <v>7560000.0</v>
      </c>
      <c r="F1253" s="26" t="s">
        <v>2542</v>
      </c>
    </row>
    <row r="1254">
      <c r="A1254" s="27">
        <v>45757.0</v>
      </c>
      <c r="B1254" s="26" t="s">
        <v>3717</v>
      </c>
      <c r="C1254" s="26" t="s">
        <v>255</v>
      </c>
      <c r="D1254" s="26">
        <v>8808000.0</v>
      </c>
      <c r="F1254" s="26" t="s">
        <v>2542</v>
      </c>
    </row>
    <row r="1255">
      <c r="A1255" s="27">
        <v>45757.0</v>
      </c>
      <c r="B1255" s="26" t="s">
        <v>3718</v>
      </c>
      <c r="C1255" s="26" t="s">
        <v>255</v>
      </c>
      <c r="D1255" s="26">
        <v>414180.0</v>
      </c>
      <c r="F1255" s="26" t="s">
        <v>2542</v>
      </c>
    </row>
    <row r="1256">
      <c r="A1256" s="27">
        <v>45757.0</v>
      </c>
      <c r="B1256" s="26" t="s">
        <v>3719</v>
      </c>
      <c r="C1256" s="26" t="s">
        <v>255</v>
      </c>
      <c r="D1256" s="26">
        <v>2948000.0</v>
      </c>
      <c r="F1256" s="26" t="s">
        <v>2542</v>
      </c>
    </row>
    <row r="1257">
      <c r="A1257" s="27">
        <v>45757.0</v>
      </c>
      <c r="B1257" s="26" t="s">
        <v>3720</v>
      </c>
      <c r="C1257" s="26" t="s">
        <v>255</v>
      </c>
      <c r="D1257" s="26">
        <v>3060000.0</v>
      </c>
      <c r="F1257" s="26" t="s">
        <v>2542</v>
      </c>
    </row>
    <row r="1258">
      <c r="A1258" s="27">
        <v>45757.0</v>
      </c>
      <c r="B1258" s="26" t="s">
        <v>3721</v>
      </c>
      <c r="C1258" s="26" t="s">
        <v>255</v>
      </c>
      <c r="D1258" s="26">
        <v>3480000.0</v>
      </c>
      <c r="F1258" s="26" t="s">
        <v>2542</v>
      </c>
    </row>
    <row r="1259">
      <c r="A1259" s="27">
        <v>45757.0</v>
      </c>
      <c r="B1259" s="26" t="s">
        <v>3722</v>
      </c>
      <c r="C1259" s="26" t="s">
        <v>255</v>
      </c>
      <c r="D1259" s="26">
        <v>1232500.0</v>
      </c>
      <c r="F1259" s="26" t="s">
        <v>2542</v>
      </c>
    </row>
    <row r="1260">
      <c r="A1260" s="27">
        <v>45757.0</v>
      </c>
      <c r="B1260" s="26" t="s">
        <v>3723</v>
      </c>
      <c r="C1260" s="26" t="s">
        <v>2764</v>
      </c>
      <c r="D1260" s="26">
        <v>818000.0</v>
      </c>
      <c r="F1260" s="26" t="s">
        <v>2542</v>
      </c>
      <c r="G1260" s="26">
        <v>6273.0</v>
      </c>
    </row>
    <row r="1261">
      <c r="A1261" s="27">
        <v>45757.0</v>
      </c>
      <c r="B1261" s="26" t="s">
        <v>3723</v>
      </c>
      <c r="C1261" s="28"/>
      <c r="D1261" s="26">
        <v>65440.0</v>
      </c>
      <c r="F1261" s="26" t="s">
        <v>2542</v>
      </c>
    </row>
    <row r="1262">
      <c r="A1262" s="27">
        <v>45757.0</v>
      </c>
      <c r="B1262" s="26" t="s">
        <v>3724</v>
      </c>
      <c r="C1262" s="26" t="s">
        <v>2561</v>
      </c>
      <c r="D1262" s="26">
        <v>5000000.0</v>
      </c>
      <c r="F1262" s="26" t="s">
        <v>2542</v>
      </c>
      <c r="G1262" s="26">
        <v>331.0</v>
      </c>
    </row>
    <row r="1263">
      <c r="A1263" s="27">
        <v>45757.0</v>
      </c>
      <c r="B1263" s="26" t="s">
        <v>3725</v>
      </c>
      <c r="C1263" s="26" t="s">
        <v>2593</v>
      </c>
      <c r="D1263" s="26">
        <v>318120.0</v>
      </c>
      <c r="F1263" s="26" t="s">
        <v>2542</v>
      </c>
      <c r="G1263" s="26">
        <v>6423.0</v>
      </c>
    </row>
    <row r="1264">
      <c r="A1264" s="27">
        <v>45757.0</v>
      </c>
      <c r="B1264" s="26" t="s">
        <v>3726</v>
      </c>
      <c r="C1264" s="28"/>
      <c r="D1264" s="26">
        <v>1647000.0</v>
      </c>
      <c r="F1264" s="26" t="s">
        <v>2542</v>
      </c>
    </row>
    <row r="1265">
      <c r="A1265" s="27">
        <v>45757.0</v>
      </c>
      <c r="B1265" s="26" t="s">
        <v>3727</v>
      </c>
      <c r="C1265" s="28"/>
      <c r="D1265" s="26">
        <v>1080000.0</v>
      </c>
      <c r="F1265" s="26" t="s">
        <v>2542</v>
      </c>
    </row>
    <row r="1266">
      <c r="A1266" s="27">
        <v>45757.0</v>
      </c>
      <c r="B1266" s="26" t="s">
        <v>3728</v>
      </c>
      <c r="C1266" s="28"/>
      <c r="D1266" s="26">
        <v>209000.0</v>
      </c>
      <c r="F1266" s="26" t="s">
        <v>2542</v>
      </c>
    </row>
    <row r="1267">
      <c r="A1267" s="27">
        <v>45756.0</v>
      </c>
      <c r="B1267" s="26" t="s">
        <v>3729</v>
      </c>
      <c r="C1267" s="26" t="s">
        <v>255</v>
      </c>
      <c r="D1267" s="26">
        <v>1010224.0</v>
      </c>
      <c r="F1267" s="26" t="s">
        <v>2542</v>
      </c>
    </row>
    <row r="1268">
      <c r="A1268" s="27">
        <v>45756.0</v>
      </c>
      <c r="B1268" s="26" t="s">
        <v>3730</v>
      </c>
      <c r="C1268" s="26" t="s">
        <v>255</v>
      </c>
      <c r="D1268" s="26">
        <v>1080000.0</v>
      </c>
      <c r="F1268" s="26" t="s">
        <v>2542</v>
      </c>
    </row>
    <row r="1269">
      <c r="A1269" s="27">
        <v>45756.0</v>
      </c>
      <c r="B1269" s="26" t="s">
        <v>2769</v>
      </c>
      <c r="C1269" s="26" t="s">
        <v>255</v>
      </c>
      <c r="D1269" s="26">
        <v>1080000.0</v>
      </c>
      <c r="F1269" s="26" t="s">
        <v>2542</v>
      </c>
    </row>
    <row r="1270">
      <c r="A1270" s="27">
        <v>45756.0</v>
      </c>
      <c r="B1270" s="26" t="s">
        <v>3729</v>
      </c>
      <c r="C1270" s="28"/>
      <c r="D1270" s="26">
        <v>1010224.0</v>
      </c>
      <c r="F1270" s="26" t="s">
        <v>2542</v>
      </c>
    </row>
    <row r="1271">
      <c r="A1271" s="27">
        <v>45756.0</v>
      </c>
      <c r="B1271" s="26" t="s">
        <v>3731</v>
      </c>
      <c r="C1271" s="26" t="s">
        <v>2561</v>
      </c>
      <c r="D1271" s="26">
        <v>9000000.0</v>
      </c>
      <c r="F1271" s="26" t="s">
        <v>2542</v>
      </c>
      <c r="G1271" s="26">
        <v>331.0</v>
      </c>
    </row>
    <row r="1272">
      <c r="A1272" s="27">
        <v>45756.0</v>
      </c>
      <c r="B1272" s="26" t="s">
        <v>3732</v>
      </c>
      <c r="C1272" s="26" t="s">
        <v>2561</v>
      </c>
      <c r="D1272" s="26">
        <v>1010000.0</v>
      </c>
      <c r="F1272" s="26" t="s">
        <v>2542</v>
      </c>
      <c r="G1272" s="26">
        <v>331.0</v>
      </c>
    </row>
    <row r="1273">
      <c r="A1273" s="27">
        <v>45756.0</v>
      </c>
      <c r="B1273" s="26" t="s">
        <v>3733</v>
      </c>
      <c r="C1273" s="26" t="s">
        <v>2593</v>
      </c>
      <c r="D1273" s="26">
        <v>580000.0</v>
      </c>
      <c r="F1273" s="26" t="s">
        <v>2542</v>
      </c>
      <c r="G1273" s="26">
        <v>6423.0</v>
      </c>
    </row>
    <row r="1274">
      <c r="A1274" s="27">
        <v>45755.0</v>
      </c>
      <c r="B1274" s="26" t="s">
        <v>3734</v>
      </c>
      <c r="C1274" s="26" t="s">
        <v>255</v>
      </c>
      <c r="D1274" s="26">
        <v>6568800.0</v>
      </c>
      <c r="F1274" s="26" t="s">
        <v>2542</v>
      </c>
    </row>
    <row r="1275">
      <c r="A1275" s="27">
        <v>45755.0</v>
      </c>
      <c r="B1275" s="26" t="s">
        <v>3735</v>
      </c>
      <c r="C1275" s="26" t="s">
        <v>255</v>
      </c>
      <c r="D1275" s="26">
        <v>3830000.0</v>
      </c>
      <c r="F1275" s="26" t="s">
        <v>2542</v>
      </c>
    </row>
    <row r="1276">
      <c r="A1276" s="27">
        <v>45755.0</v>
      </c>
      <c r="B1276" s="26" t="s">
        <v>3736</v>
      </c>
      <c r="C1276" s="26" t="s">
        <v>255</v>
      </c>
      <c r="D1276" s="26">
        <v>1.8148E7</v>
      </c>
      <c r="F1276" s="26" t="s">
        <v>2542</v>
      </c>
    </row>
    <row r="1277">
      <c r="A1277" s="27">
        <v>45755.0</v>
      </c>
      <c r="B1277" s="26" t="s">
        <v>3737</v>
      </c>
      <c r="C1277" s="26" t="s">
        <v>255</v>
      </c>
      <c r="D1277" s="26">
        <v>4760000.0</v>
      </c>
      <c r="F1277" s="26" t="s">
        <v>2542</v>
      </c>
    </row>
    <row r="1278">
      <c r="A1278" s="27">
        <v>45755.0</v>
      </c>
      <c r="B1278" s="26" t="s">
        <v>3738</v>
      </c>
      <c r="C1278" s="26" t="s">
        <v>255</v>
      </c>
      <c r="D1278" s="26">
        <v>7025000.0</v>
      </c>
      <c r="F1278" s="26" t="s">
        <v>2542</v>
      </c>
    </row>
    <row r="1279">
      <c r="A1279" s="27">
        <v>45755.0</v>
      </c>
      <c r="B1279" s="26" t="s">
        <v>3739</v>
      </c>
      <c r="C1279" s="26" t="s">
        <v>255</v>
      </c>
      <c r="D1279" s="26">
        <v>1320000.0</v>
      </c>
      <c r="F1279" s="26" t="s">
        <v>2542</v>
      </c>
    </row>
    <row r="1280">
      <c r="A1280" s="27">
        <v>45755.0</v>
      </c>
      <c r="B1280" s="26" t="s">
        <v>3740</v>
      </c>
      <c r="C1280" s="26" t="s">
        <v>2583</v>
      </c>
      <c r="D1280" s="26">
        <v>2000000.0</v>
      </c>
      <c r="F1280" s="26" t="s">
        <v>2542</v>
      </c>
      <c r="G1280" s="26">
        <v>641.13</v>
      </c>
    </row>
    <row r="1281">
      <c r="A1281" s="27">
        <v>45755.0</v>
      </c>
      <c r="B1281" s="26" t="s">
        <v>3741</v>
      </c>
      <c r="C1281" s="26" t="s">
        <v>2655</v>
      </c>
      <c r="D1281" s="26">
        <v>2.11E7</v>
      </c>
      <c r="F1281" s="26" t="s">
        <v>2542</v>
      </c>
      <c r="G1281" s="26">
        <v>3383.0</v>
      </c>
    </row>
    <row r="1282">
      <c r="A1282" s="27">
        <v>45755.0</v>
      </c>
      <c r="B1282" s="26" t="s">
        <v>3742</v>
      </c>
      <c r="C1282" s="26" t="s">
        <v>2571</v>
      </c>
      <c r="D1282" s="26">
        <v>40000.0</v>
      </c>
      <c r="F1282" s="26" t="s">
        <v>2542</v>
      </c>
      <c r="G1282" s="26">
        <v>641.22</v>
      </c>
    </row>
    <row r="1283">
      <c r="A1283" s="27">
        <v>45754.0</v>
      </c>
      <c r="B1283" s="26" t="s">
        <v>3743</v>
      </c>
      <c r="C1283" s="26" t="s">
        <v>255</v>
      </c>
      <c r="D1283" s="26">
        <v>1790000.0</v>
      </c>
      <c r="F1283" s="26" t="s">
        <v>2542</v>
      </c>
    </row>
    <row r="1284">
      <c r="A1284" s="27">
        <v>45752.0</v>
      </c>
      <c r="B1284" s="26" t="s">
        <v>3744</v>
      </c>
      <c r="C1284" s="26" t="s">
        <v>255</v>
      </c>
      <c r="D1284" s="26">
        <v>1450000.0</v>
      </c>
      <c r="F1284" s="26" t="s">
        <v>2542</v>
      </c>
    </row>
    <row r="1285">
      <c r="A1285" s="27">
        <v>45752.0</v>
      </c>
      <c r="B1285" s="26" t="s">
        <v>3745</v>
      </c>
      <c r="C1285" s="26" t="s">
        <v>2545</v>
      </c>
      <c r="D1285" s="26">
        <v>1.2E7</v>
      </c>
      <c r="F1285" s="26" t="s">
        <v>2542</v>
      </c>
      <c r="G1285" s="26">
        <v>3341.0</v>
      </c>
    </row>
    <row r="1286">
      <c r="A1286" s="27">
        <v>45751.0</v>
      </c>
      <c r="B1286" s="26" t="s">
        <v>3746</v>
      </c>
      <c r="C1286" s="26" t="s">
        <v>255</v>
      </c>
      <c r="D1286" s="26">
        <v>8000000.0</v>
      </c>
      <c r="F1286" s="26" t="s">
        <v>2542</v>
      </c>
    </row>
    <row r="1287">
      <c r="A1287" s="27">
        <v>45751.0</v>
      </c>
      <c r="B1287" s="26" t="s">
        <v>3747</v>
      </c>
      <c r="C1287" s="26" t="s">
        <v>255</v>
      </c>
      <c r="D1287" s="26">
        <v>2618000.0</v>
      </c>
      <c r="F1287" s="26" t="s">
        <v>2542</v>
      </c>
    </row>
    <row r="1288">
      <c r="A1288" s="27">
        <v>45751.0</v>
      </c>
      <c r="B1288" s="26" t="s">
        <v>3748</v>
      </c>
      <c r="C1288" s="26" t="s">
        <v>255</v>
      </c>
      <c r="D1288" s="26">
        <v>832500.0</v>
      </c>
      <c r="F1288" s="26" t="s">
        <v>2542</v>
      </c>
    </row>
    <row r="1289">
      <c r="A1289" s="27">
        <v>45751.0</v>
      </c>
      <c r="B1289" s="26" t="s">
        <v>3749</v>
      </c>
      <c r="C1289" s="26" t="s">
        <v>2545</v>
      </c>
      <c r="D1289" s="26">
        <v>1.2E7</v>
      </c>
      <c r="F1289" s="26" t="s">
        <v>2542</v>
      </c>
      <c r="G1289" s="26">
        <v>3341.0</v>
      </c>
    </row>
    <row r="1290">
      <c r="A1290" s="27">
        <v>45751.0</v>
      </c>
      <c r="B1290" s="26" t="s">
        <v>3750</v>
      </c>
      <c r="C1290" s="26" t="s">
        <v>3620</v>
      </c>
      <c r="D1290" s="26">
        <v>3552000.0</v>
      </c>
      <c r="F1290" s="26" t="s">
        <v>2542</v>
      </c>
      <c r="G1290" s="26">
        <v>6428.0</v>
      </c>
    </row>
    <row r="1291">
      <c r="A1291" s="27">
        <v>45751.0</v>
      </c>
      <c r="B1291" s="26" t="s">
        <v>3751</v>
      </c>
      <c r="C1291" s="26" t="s">
        <v>2571</v>
      </c>
      <c r="D1291" s="26">
        <v>170000.0</v>
      </c>
      <c r="F1291" s="26" t="s">
        <v>2542</v>
      </c>
      <c r="G1291" s="26">
        <v>641.22</v>
      </c>
    </row>
    <row r="1292">
      <c r="A1292" s="27">
        <v>45750.0</v>
      </c>
      <c r="B1292" s="26" t="s">
        <v>3752</v>
      </c>
      <c r="C1292" s="26" t="s">
        <v>255</v>
      </c>
      <c r="D1292" s="26">
        <v>1320000.0</v>
      </c>
      <c r="F1292" s="26" t="s">
        <v>2542</v>
      </c>
    </row>
    <row r="1293">
      <c r="A1293" s="27">
        <v>45750.0</v>
      </c>
      <c r="B1293" s="26" t="s">
        <v>3753</v>
      </c>
      <c r="C1293" s="26" t="s">
        <v>255</v>
      </c>
      <c r="D1293" s="26">
        <v>3657500.0</v>
      </c>
      <c r="F1293" s="26" t="s">
        <v>2542</v>
      </c>
    </row>
    <row r="1294">
      <c r="A1294" s="27">
        <v>45750.0</v>
      </c>
      <c r="B1294" s="26" t="s">
        <v>3754</v>
      </c>
      <c r="C1294" s="26" t="s">
        <v>255</v>
      </c>
      <c r="D1294" s="26">
        <v>3240000.0</v>
      </c>
      <c r="F1294" s="26" t="s">
        <v>2542</v>
      </c>
    </row>
    <row r="1295">
      <c r="A1295" s="27">
        <v>45750.0</v>
      </c>
      <c r="B1295" s="26" t="s">
        <v>3755</v>
      </c>
      <c r="C1295" s="26" t="s">
        <v>255</v>
      </c>
      <c r="D1295" s="26">
        <v>3240000.0</v>
      </c>
      <c r="F1295" s="26" t="s">
        <v>2542</v>
      </c>
    </row>
    <row r="1296">
      <c r="A1296" s="27">
        <v>45750.0</v>
      </c>
      <c r="B1296" s="26" t="s">
        <v>3756</v>
      </c>
      <c r="C1296" s="26" t="s">
        <v>255</v>
      </c>
      <c r="D1296" s="26">
        <v>3136000.0</v>
      </c>
      <c r="F1296" s="26" t="s">
        <v>2542</v>
      </c>
    </row>
    <row r="1297">
      <c r="A1297" s="27">
        <v>45750.0</v>
      </c>
      <c r="B1297" s="26" t="s">
        <v>3757</v>
      </c>
      <c r="C1297" s="26" t="s">
        <v>255</v>
      </c>
      <c r="D1297" s="26">
        <v>540000.0</v>
      </c>
      <c r="F1297" s="26" t="s">
        <v>2542</v>
      </c>
    </row>
    <row r="1298">
      <c r="A1298" s="27">
        <v>45750.0</v>
      </c>
      <c r="B1298" s="26" t="s">
        <v>3758</v>
      </c>
      <c r="C1298" s="26" t="s">
        <v>255</v>
      </c>
      <c r="D1298" s="26">
        <v>1521500.0</v>
      </c>
      <c r="F1298" s="26" t="s">
        <v>2542</v>
      </c>
    </row>
    <row r="1299">
      <c r="A1299" s="27">
        <v>45750.0</v>
      </c>
      <c r="B1299" s="26" t="s">
        <v>3759</v>
      </c>
      <c r="C1299" s="26" t="s">
        <v>255</v>
      </c>
      <c r="D1299" s="26">
        <v>2115000.0</v>
      </c>
      <c r="F1299" s="26" t="s">
        <v>2542</v>
      </c>
    </row>
    <row r="1300">
      <c r="A1300" s="27">
        <v>45750.0</v>
      </c>
      <c r="B1300" s="26" t="s">
        <v>3760</v>
      </c>
      <c r="C1300" s="26" t="s">
        <v>255</v>
      </c>
      <c r="D1300" s="26">
        <v>1568000.0</v>
      </c>
      <c r="F1300" s="26" t="s">
        <v>2542</v>
      </c>
    </row>
    <row r="1301">
      <c r="A1301" s="27">
        <v>45750.0</v>
      </c>
      <c r="B1301" s="26" t="s">
        <v>3761</v>
      </c>
      <c r="C1301" s="26" t="s">
        <v>255</v>
      </c>
      <c r="D1301" s="26">
        <v>3240000.0</v>
      </c>
      <c r="F1301" s="26" t="s">
        <v>2542</v>
      </c>
    </row>
    <row r="1302">
      <c r="A1302" s="27">
        <v>45750.0</v>
      </c>
      <c r="B1302" s="26" t="s">
        <v>3762</v>
      </c>
      <c r="C1302" s="26" t="s">
        <v>255</v>
      </c>
      <c r="D1302" s="26">
        <v>1110000.0</v>
      </c>
      <c r="F1302" s="26" t="s">
        <v>2542</v>
      </c>
    </row>
    <row r="1303">
      <c r="A1303" s="27">
        <v>45750.0</v>
      </c>
      <c r="B1303" s="26" t="s">
        <v>3763</v>
      </c>
      <c r="C1303" s="26" t="s">
        <v>255</v>
      </c>
      <c r="D1303" s="26">
        <v>1620000.0</v>
      </c>
      <c r="F1303" s="26" t="s">
        <v>2542</v>
      </c>
    </row>
    <row r="1304">
      <c r="A1304" s="27">
        <v>45750.0</v>
      </c>
      <c r="B1304" s="26" t="s">
        <v>3764</v>
      </c>
      <c r="C1304" s="26" t="s">
        <v>255</v>
      </c>
      <c r="D1304" s="26">
        <v>1080000.0</v>
      </c>
      <c r="F1304" s="26" t="s">
        <v>2542</v>
      </c>
    </row>
    <row r="1305">
      <c r="A1305" s="27">
        <v>45750.0</v>
      </c>
      <c r="B1305" s="26" t="s">
        <v>3765</v>
      </c>
      <c r="C1305" s="26" t="s">
        <v>255</v>
      </c>
      <c r="D1305" s="26">
        <v>1296000.0</v>
      </c>
      <c r="F1305" s="26" t="s">
        <v>2542</v>
      </c>
    </row>
    <row r="1306">
      <c r="A1306" s="27">
        <v>45750.0</v>
      </c>
      <c r="B1306" s="26" t="s">
        <v>3766</v>
      </c>
      <c r="C1306" s="26" t="s">
        <v>255</v>
      </c>
      <c r="D1306" s="26">
        <v>3.244656E7</v>
      </c>
      <c r="F1306" s="26" t="s">
        <v>2542</v>
      </c>
    </row>
    <row r="1307">
      <c r="A1307" s="27">
        <v>45750.0</v>
      </c>
      <c r="B1307" s="26" t="s">
        <v>3767</v>
      </c>
      <c r="C1307" s="26" t="s">
        <v>255</v>
      </c>
      <c r="D1307" s="26">
        <v>1.587825E7</v>
      </c>
      <c r="F1307" s="26" t="s">
        <v>2542</v>
      </c>
    </row>
    <row r="1308">
      <c r="A1308" s="27">
        <v>45750.0</v>
      </c>
      <c r="B1308" s="26" t="s">
        <v>3768</v>
      </c>
      <c r="C1308" s="26" t="s">
        <v>2545</v>
      </c>
      <c r="D1308" s="26">
        <v>1.6264E7</v>
      </c>
      <c r="F1308" s="26" t="s">
        <v>2542</v>
      </c>
      <c r="G1308" s="26">
        <v>3341.0</v>
      </c>
    </row>
    <row r="1309">
      <c r="A1309" s="27">
        <v>45750.0</v>
      </c>
      <c r="B1309" s="26" t="s">
        <v>3769</v>
      </c>
      <c r="C1309" s="26" t="s">
        <v>2545</v>
      </c>
      <c r="D1309" s="26">
        <v>1.236E7</v>
      </c>
      <c r="F1309" s="26" t="s">
        <v>2542</v>
      </c>
      <c r="G1309" s="26">
        <v>3341.0</v>
      </c>
    </row>
    <row r="1310">
      <c r="A1310" s="27">
        <v>45750.0</v>
      </c>
      <c r="B1310" s="26" t="s">
        <v>3770</v>
      </c>
      <c r="C1310" s="26" t="s">
        <v>2545</v>
      </c>
      <c r="D1310" s="26">
        <v>1.116E7</v>
      </c>
      <c r="F1310" s="26" t="s">
        <v>2542</v>
      </c>
      <c r="G1310" s="26">
        <v>3341.0</v>
      </c>
    </row>
    <row r="1311">
      <c r="A1311" s="27">
        <v>45750.0</v>
      </c>
      <c r="B1311" s="26" t="s">
        <v>3771</v>
      </c>
      <c r="C1311" s="26" t="s">
        <v>2545</v>
      </c>
      <c r="D1311" s="26">
        <v>9796000.0</v>
      </c>
      <c r="F1311" s="26" t="s">
        <v>2542</v>
      </c>
      <c r="G1311" s="26">
        <v>3341.0</v>
      </c>
    </row>
    <row r="1312">
      <c r="A1312" s="27">
        <v>45750.0</v>
      </c>
      <c r="B1312" s="26" t="s">
        <v>3772</v>
      </c>
      <c r="C1312" s="26" t="s">
        <v>2545</v>
      </c>
      <c r="D1312" s="26">
        <v>9000000.0</v>
      </c>
      <c r="F1312" s="26" t="s">
        <v>2542</v>
      </c>
      <c r="G1312" s="26">
        <v>3341.0</v>
      </c>
    </row>
    <row r="1313">
      <c r="A1313" s="27">
        <v>45750.0</v>
      </c>
      <c r="B1313" s="26" t="s">
        <v>3773</v>
      </c>
      <c r="C1313" s="26" t="s">
        <v>2545</v>
      </c>
      <c r="D1313" s="26">
        <v>7980000.0</v>
      </c>
      <c r="F1313" s="26" t="s">
        <v>2542</v>
      </c>
      <c r="G1313" s="26">
        <v>3341.0</v>
      </c>
    </row>
    <row r="1314">
      <c r="A1314" s="27">
        <v>45750.0</v>
      </c>
      <c r="B1314" s="26" t="s">
        <v>3774</v>
      </c>
      <c r="C1314" s="26" t="s">
        <v>2561</v>
      </c>
      <c r="D1314" s="26">
        <v>2.6450881E7</v>
      </c>
      <c r="F1314" s="26" t="s">
        <v>2542</v>
      </c>
      <c r="G1314" s="26">
        <v>331.0</v>
      </c>
    </row>
    <row r="1315">
      <c r="A1315" s="27">
        <v>45750.0</v>
      </c>
      <c r="B1315" s="26" t="s">
        <v>3775</v>
      </c>
      <c r="C1315" s="26" t="s">
        <v>2545</v>
      </c>
      <c r="D1315" s="26">
        <v>3.0E7</v>
      </c>
      <c r="F1315" s="26" t="s">
        <v>2542</v>
      </c>
      <c r="G1315" s="26">
        <v>3341.0</v>
      </c>
    </row>
    <row r="1316">
      <c r="A1316" s="27">
        <v>45750.0</v>
      </c>
      <c r="B1316" s="26" t="s">
        <v>3776</v>
      </c>
      <c r="C1316" s="26" t="s">
        <v>2571</v>
      </c>
      <c r="D1316" s="26">
        <v>1150000.0</v>
      </c>
      <c r="F1316" s="26" t="s">
        <v>2542</v>
      </c>
      <c r="G1316" s="26">
        <v>641.16</v>
      </c>
    </row>
    <row r="1317">
      <c r="A1317" s="27">
        <v>45750.0</v>
      </c>
      <c r="B1317" s="26" t="s">
        <v>3777</v>
      </c>
      <c r="C1317" s="26" t="s">
        <v>2545</v>
      </c>
      <c r="D1317" s="26">
        <v>1.9895E7</v>
      </c>
      <c r="F1317" s="26" t="s">
        <v>2542</v>
      </c>
      <c r="G1317" s="26">
        <v>3341.0</v>
      </c>
    </row>
    <row r="1318">
      <c r="A1318" s="27">
        <v>45750.0</v>
      </c>
      <c r="B1318" s="26" t="s">
        <v>3778</v>
      </c>
      <c r="C1318" s="26" t="s">
        <v>2593</v>
      </c>
      <c r="D1318" s="26">
        <v>672000.0</v>
      </c>
      <c r="F1318" s="26" t="s">
        <v>2542</v>
      </c>
      <c r="G1318" s="26">
        <v>6423.0</v>
      </c>
    </row>
    <row r="1319">
      <c r="A1319" s="27">
        <v>45750.0</v>
      </c>
      <c r="B1319" s="26" t="s">
        <v>3779</v>
      </c>
      <c r="C1319" s="26" t="s">
        <v>2545</v>
      </c>
      <c r="D1319" s="26">
        <v>2.2E7</v>
      </c>
      <c r="F1319" s="26" t="s">
        <v>2542</v>
      </c>
      <c r="G1319" s="26">
        <v>3341.0</v>
      </c>
    </row>
    <row r="1320">
      <c r="A1320" s="27">
        <v>45749.0</v>
      </c>
      <c r="B1320" s="26" t="s">
        <v>3780</v>
      </c>
      <c r="C1320" s="26" t="s">
        <v>255</v>
      </c>
      <c r="D1320" s="26">
        <v>1056000.0</v>
      </c>
      <c r="F1320" s="26" t="s">
        <v>2542</v>
      </c>
    </row>
    <row r="1321">
      <c r="A1321" s="27">
        <v>45749.0</v>
      </c>
      <c r="B1321" s="26" t="s">
        <v>3781</v>
      </c>
      <c r="C1321" s="26" t="s">
        <v>255</v>
      </c>
      <c r="D1321" s="26">
        <v>1890000.0</v>
      </c>
      <c r="F1321" s="26" t="s">
        <v>2542</v>
      </c>
    </row>
    <row r="1322">
      <c r="A1322" s="27">
        <v>45749.0</v>
      </c>
      <c r="B1322" s="26" t="s">
        <v>3782</v>
      </c>
      <c r="C1322" s="26" t="s">
        <v>255</v>
      </c>
      <c r="D1322" s="26">
        <v>1080000.0</v>
      </c>
      <c r="F1322" s="26" t="s">
        <v>2542</v>
      </c>
    </row>
    <row r="1323">
      <c r="A1323" s="27">
        <v>45749.0</v>
      </c>
      <c r="B1323" s="26" t="s">
        <v>3783</v>
      </c>
      <c r="C1323" s="26" t="s">
        <v>255</v>
      </c>
      <c r="D1323" s="26">
        <v>1.489E7</v>
      </c>
      <c r="F1323" s="26" t="s">
        <v>2542</v>
      </c>
    </row>
    <row r="1324">
      <c r="A1324" s="27">
        <v>45749.0</v>
      </c>
      <c r="B1324" s="26" t="s">
        <v>3784</v>
      </c>
      <c r="C1324" s="26" t="s">
        <v>255</v>
      </c>
      <c r="D1324" s="26">
        <v>9520000.0</v>
      </c>
      <c r="F1324" s="26" t="s">
        <v>2542</v>
      </c>
    </row>
    <row r="1325">
      <c r="A1325" s="27">
        <v>45749.0</v>
      </c>
      <c r="B1325" s="26" t="s">
        <v>3785</v>
      </c>
      <c r="C1325" s="26" t="s">
        <v>255</v>
      </c>
      <c r="D1325" s="26">
        <v>1188000.0</v>
      </c>
      <c r="F1325" s="26" t="s">
        <v>2542</v>
      </c>
    </row>
    <row r="1326">
      <c r="A1326" s="27">
        <v>45749.0</v>
      </c>
      <c r="B1326" s="26" t="s">
        <v>3786</v>
      </c>
      <c r="C1326" s="26" t="s">
        <v>2574</v>
      </c>
      <c r="D1326" s="26">
        <v>7585380.0</v>
      </c>
      <c r="F1326" s="26" t="s">
        <v>2542</v>
      </c>
      <c r="G1326" s="26">
        <v>331.0</v>
      </c>
    </row>
    <row r="1327">
      <c r="A1327" s="27">
        <v>45749.0</v>
      </c>
      <c r="B1327" s="26" t="s">
        <v>3787</v>
      </c>
      <c r="C1327" s="26" t="s">
        <v>2561</v>
      </c>
      <c r="D1327" s="26">
        <v>4465000.0</v>
      </c>
      <c r="F1327" s="26" t="s">
        <v>2542</v>
      </c>
      <c r="G1327" s="26">
        <v>331.0</v>
      </c>
    </row>
    <row r="1328">
      <c r="A1328" s="27">
        <v>45748.0</v>
      </c>
      <c r="B1328" s="26" t="s">
        <v>3788</v>
      </c>
      <c r="C1328" s="26" t="s">
        <v>2561</v>
      </c>
      <c r="D1328" s="26">
        <v>450000.0</v>
      </c>
      <c r="F1328" s="26" t="s">
        <v>2542</v>
      </c>
      <c r="G1328" s="26">
        <v>331.0</v>
      </c>
    </row>
    <row r="1329">
      <c r="A1329" s="27">
        <v>45748.0</v>
      </c>
      <c r="B1329" s="26" t="s">
        <v>3789</v>
      </c>
      <c r="C1329" s="26" t="s">
        <v>2574</v>
      </c>
      <c r="D1329" s="26">
        <v>4584600.0</v>
      </c>
      <c r="F1329" s="26" t="s">
        <v>2542</v>
      </c>
      <c r="G1329" s="26">
        <v>331.0</v>
      </c>
    </row>
    <row r="1330">
      <c r="A1330" s="27">
        <v>45747.0</v>
      </c>
      <c r="B1330" s="26" t="s">
        <v>2543</v>
      </c>
      <c r="C1330" s="26" t="s">
        <v>255</v>
      </c>
      <c r="D1330" s="26">
        <v>7155.0</v>
      </c>
      <c r="F1330" s="26" t="s">
        <v>2542</v>
      </c>
    </row>
    <row r="1331">
      <c r="A1331" s="27">
        <v>45747.0</v>
      </c>
      <c r="B1331" s="26" t="s">
        <v>3790</v>
      </c>
      <c r="C1331" s="26" t="s">
        <v>2561</v>
      </c>
      <c r="D1331" s="26">
        <v>1.511352E7</v>
      </c>
      <c r="F1331" s="26" t="s">
        <v>2542</v>
      </c>
      <c r="G1331" s="26">
        <v>331.0</v>
      </c>
    </row>
    <row r="1332">
      <c r="A1332" s="27">
        <v>45747.0</v>
      </c>
      <c r="B1332" s="26" t="s">
        <v>3791</v>
      </c>
      <c r="C1332" s="26" t="s">
        <v>2593</v>
      </c>
      <c r="D1332" s="26">
        <v>1099000.0</v>
      </c>
      <c r="F1332" s="26" t="s">
        <v>2542</v>
      </c>
      <c r="G1332" s="26">
        <v>6423.0</v>
      </c>
    </row>
    <row r="1333">
      <c r="A1333" s="27">
        <v>45746.0</v>
      </c>
      <c r="B1333" s="26" t="s">
        <v>3792</v>
      </c>
      <c r="C1333" s="26" t="s">
        <v>255</v>
      </c>
      <c r="D1333" s="26">
        <v>3240000.0</v>
      </c>
      <c r="F1333" s="26" t="s">
        <v>2542</v>
      </c>
    </row>
    <row r="1334">
      <c r="A1334" s="27">
        <v>45745.0</v>
      </c>
      <c r="B1334" s="26" t="s">
        <v>3793</v>
      </c>
      <c r="C1334" s="26" t="s">
        <v>255</v>
      </c>
      <c r="D1334" s="26">
        <v>1.786317E7</v>
      </c>
      <c r="F1334" s="26" t="s">
        <v>2542</v>
      </c>
    </row>
    <row r="1335">
      <c r="A1335" s="27">
        <v>45745.0</v>
      </c>
      <c r="B1335" s="26" t="s">
        <v>3794</v>
      </c>
      <c r="C1335" s="26" t="s">
        <v>255</v>
      </c>
      <c r="D1335" s="26">
        <v>2900000.0</v>
      </c>
      <c r="F1335" s="26" t="s">
        <v>2542</v>
      </c>
    </row>
    <row r="1336">
      <c r="A1336" s="27">
        <v>45744.0</v>
      </c>
      <c r="B1336" s="26" t="s">
        <v>2775</v>
      </c>
      <c r="C1336" s="26" t="s">
        <v>255</v>
      </c>
      <c r="D1336" s="26">
        <v>1.28432E7</v>
      </c>
      <c r="F1336" s="26" t="s">
        <v>2542</v>
      </c>
    </row>
    <row r="1337">
      <c r="A1337" s="27">
        <v>45744.0</v>
      </c>
      <c r="B1337" s="26" t="s">
        <v>3795</v>
      </c>
      <c r="C1337" s="26" t="s">
        <v>2561</v>
      </c>
      <c r="D1337" s="26">
        <v>1.038E7</v>
      </c>
      <c r="F1337" s="26" t="s">
        <v>2542</v>
      </c>
      <c r="G1337" s="26">
        <v>331.0</v>
      </c>
    </row>
    <row r="1338">
      <c r="A1338" s="27">
        <v>45743.0</v>
      </c>
      <c r="B1338" s="26" t="s">
        <v>3796</v>
      </c>
      <c r="C1338" s="26" t="s">
        <v>255</v>
      </c>
      <c r="D1338" s="26">
        <v>1080000.0</v>
      </c>
      <c r="F1338" s="26" t="s">
        <v>2542</v>
      </c>
    </row>
    <row r="1339">
      <c r="A1339" s="27">
        <v>45743.0</v>
      </c>
      <c r="B1339" s="26" t="s">
        <v>3797</v>
      </c>
      <c r="C1339" s="26" t="s">
        <v>255</v>
      </c>
      <c r="D1339" s="26">
        <v>1450000.0</v>
      </c>
      <c r="F1339" s="26" t="s">
        <v>2542</v>
      </c>
    </row>
    <row r="1340">
      <c r="A1340" s="27">
        <v>45743.0</v>
      </c>
      <c r="B1340" s="26" t="s">
        <v>3798</v>
      </c>
      <c r="C1340" s="26" t="s">
        <v>2561</v>
      </c>
      <c r="D1340" s="26">
        <v>4860000.0</v>
      </c>
      <c r="F1340" s="26" t="s">
        <v>2542</v>
      </c>
      <c r="G1340" s="26">
        <v>331.0</v>
      </c>
    </row>
    <row r="1341">
      <c r="A1341" s="27">
        <v>45743.0</v>
      </c>
      <c r="B1341" s="26" t="s">
        <v>3799</v>
      </c>
      <c r="C1341" s="26" t="s">
        <v>2561</v>
      </c>
      <c r="D1341" s="26">
        <v>6000000.0</v>
      </c>
      <c r="F1341" s="26" t="s">
        <v>2542</v>
      </c>
      <c r="G1341" s="26">
        <v>331.0</v>
      </c>
    </row>
    <row r="1342">
      <c r="A1342" s="27">
        <v>45743.0</v>
      </c>
      <c r="B1342" s="26" t="s">
        <v>3800</v>
      </c>
      <c r="C1342" s="26" t="s">
        <v>2571</v>
      </c>
      <c r="D1342" s="26">
        <v>309000.0</v>
      </c>
      <c r="F1342" s="26" t="s">
        <v>2542</v>
      </c>
      <c r="G1342" s="26">
        <v>641.22</v>
      </c>
    </row>
    <row r="1343">
      <c r="A1343" s="27">
        <v>45742.0</v>
      </c>
      <c r="B1343" s="26" t="s">
        <v>3801</v>
      </c>
      <c r="C1343" s="26" t="s">
        <v>255</v>
      </c>
      <c r="D1343" s="26">
        <v>6600000.0</v>
      </c>
      <c r="F1343" s="26" t="s">
        <v>2542</v>
      </c>
    </row>
    <row r="1344">
      <c r="A1344" s="27">
        <v>45742.0</v>
      </c>
      <c r="B1344" s="26" t="s">
        <v>3802</v>
      </c>
      <c r="C1344" s="26" t="s">
        <v>255</v>
      </c>
      <c r="D1344" s="26">
        <v>1568000.0</v>
      </c>
      <c r="F1344" s="26" t="s">
        <v>2542</v>
      </c>
    </row>
    <row r="1345">
      <c r="A1345" s="27">
        <v>45742.0</v>
      </c>
      <c r="B1345" s="26" t="s">
        <v>3803</v>
      </c>
      <c r="C1345" s="26" t="s">
        <v>255</v>
      </c>
      <c r="D1345" s="26">
        <v>3592000.0</v>
      </c>
      <c r="F1345" s="26" t="s">
        <v>2542</v>
      </c>
    </row>
    <row r="1346">
      <c r="A1346" s="27">
        <v>45742.0</v>
      </c>
      <c r="B1346" s="26" t="s">
        <v>3804</v>
      </c>
      <c r="C1346" s="26" t="s">
        <v>255</v>
      </c>
      <c r="D1346" s="26">
        <v>2400000.0</v>
      </c>
      <c r="F1346" s="26" t="s">
        <v>2542</v>
      </c>
    </row>
    <row r="1347">
      <c r="A1347" s="27">
        <v>45742.0</v>
      </c>
      <c r="B1347" s="26" t="s">
        <v>3805</v>
      </c>
      <c r="C1347" s="26" t="s">
        <v>255</v>
      </c>
      <c r="D1347" s="26">
        <v>9205000.0</v>
      </c>
      <c r="F1347" s="26" t="s">
        <v>2542</v>
      </c>
    </row>
    <row r="1348">
      <c r="A1348" s="27">
        <v>45742.0</v>
      </c>
      <c r="B1348" s="26" t="s">
        <v>3806</v>
      </c>
      <c r="C1348" s="26" t="s">
        <v>255</v>
      </c>
      <c r="D1348" s="26">
        <v>1188000.0</v>
      </c>
      <c r="F1348" s="26" t="s">
        <v>2542</v>
      </c>
    </row>
    <row r="1349">
      <c r="A1349" s="27">
        <v>45742.0</v>
      </c>
      <c r="B1349" s="26" t="s">
        <v>3807</v>
      </c>
      <c r="C1349" s="26" t="s">
        <v>255</v>
      </c>
      <c r="D1349" s="26">
        <v>2.283072E7</v>
      </c>
      <c r="F1349" s="26" t="s">
        <v>2542</v>
      </c>
    </row>
    <row r="1350">
      <c r="A1350" s="27">
        <v>45742.0</v>
      </c>
      <c r="B1350" s="26" t="s">
        <v>3808</v>
      </c>
      <c r="C1350" s="26" t="s">
        <v>2764</v>
      </c>
      <c r="D1350" s="26">
        <v>6800000.0</v>
      </c>
      <c r="F1350" s="26" t="s">
        <v>2542</v>
      </c>
      <c r="G1350" s="26">
        <v>6273.0</v>
      </c>
    </row>
    <row r="1351">
      <c r="A1351" s="27">
        <v>45742.0</v>
      </c>
      <c r="B1351" s="26" t="s">
        <v>3809</v>
      </c>
      <c r="C1351" s="26" t="s">
        <v>2571</v>
      </c>
      <c r="D1351" s="26">
        <v>385000.0</v>
      </c>
      <c r="F1351" s="26" t="s">
        <v>2542</v>
      </c>
      <c r="G1351" s="26">
        <v>641.12</v>
      </c>
    </row>
    <row r="1352">
      <c r="A1352" s="27">
        <v>45742.0</v>
      </c>
      <c r="B1352" s="26" t="s">
        <v>3810</v>
      </c>
      <c r="C1352" s="26" t="s">
        <v>2593</v>
      </c>
      <c r="D1352" s="26">
        <v>29000.0</v>
      </c>
      <c r="F1352" s="26" t="s">
        <v>2542</v>
      </c>
      <c r="G1352" s="26">
        <v>6423.0</v>
      </c>
    </row>
    <row r="1353">
      <c r="A1353" s="27">
        <v>45741.0</v>
      </c>
      <c r="B1353" s="26" t="s">
        <v>3811</v>
      </c>
      <c r="C1353" s="26" t="s">
        <v>255</v>
      </c>
      <c r="D1353" s="26">
        <v>4637600.0</v>
      </c>
      <c r="F1353" s="26" t="s">
        <v>2542</v>
      </c>
    </row>
    <row r="1354">
      <c r="A1354" s="27">
        <v>45741.0</v>
      </c>
      <c r="B1354" s="26" t="s">
        <v>3812</v>
      </c>
      <c r="C1354" s="26" t="s">
        <v>2574</v>
      </c>
      <c r="D1354" s="26">
        <v>320000.0</v>
      </c>
      <c r="F1354" s="26" t="s">
        <v>2542</v>
      </c>
      <c r="G1354" s="26">
        <v>641.4</v>
      </c>
    </row>
    <row r="1355">
      <c r="A1355" s="27">
        <v>45741.0</v>
      </c>
      <c r="B1355" s="26" t="s">
        <v>3813</v>
      </c>
      <c r="C1355" s="28"/>
      <c r="D1355" s="26">
        <v>640000.0</v>
      </c>
      <c r="F1355" s="26" t="s">
        <v>2542</v>
      </c>
    </row>
    <row r="1356">
      <c r="A1356" s="27">
        <v>45741.0</v>
      </c>
      <c r="B1356" s="26" t="s">
        <v>3813</v>
      </c>
      <c r="C1356" s="26" t="s">
        <v>2581</v>
      </c>
      <c r="D1356" s="26">
        <v>8000000.0</v>
      </c>
      <c r="F1356" s="26" t="s">
        <v>2542</v>
      </c>
      <c r="G1356" s="26">
        <v>6422.0</v>
      </c>
    </row>
    <row r="1357">
      <c r="A1357" s="27">
        <v>45740.0</v>
      </c>
      <c r="B1357" s="26" t="s">
        <v>2586</v>
      </c>
      <c r="C1357" s="26" t="s">
        <v>255</v>
      </c>
      <c r="D1357" s="26">
        <v>1761.0</v>
      </c>
      <c r="F1357" s="26" t="s">
        <v>2542</v>
      </c>
    </row>
    <row r="1358">
      <c r="A1358" s="27">
        <v>45740.0</v>
      </c>
      <c r="B1358" s="26" t="s">
        <v>3814</v>
      </c>
      <c r="C1358" s="26" t="s">
        <v>255</v>
      </c>
      <c r="D1358" s="26">
        <v>135000.0</v>
      </c>
      <c r="F1358" s="26" t="s">
        <v>2542</v>
      </c>
    </row>
    <row r="1359">
      <c r="A1359" s="27">
        <v>45738.0</v>
      </c>
      <c r="B1359" s="26" t="s">
        <v>3815</v>
      </c>
      <c r="C1359" s="26" t="s">
        <v>2764</v>
      </c>
      <c r="D1359" s="26">
        <v>2000000.0</v>
      </c>
      <c r="F1359" s="26" t="s">
        <v>2542</v>
      </c>
      <c r="G1359" s="26">
        <v>6273.0</v>
      </c>
    </row>
    <row r="1360">
      <c r="A1360" s="27">
        <v>45737.0</v>
      </c>
      <c r="B1360" s="26" t="s">
        <v>3816</v>
      </c>
      <c r="C1360" s="26" t="s">
        <v>255</v>
      </c>
      <c r="D1360" s="26">
        <v>2.125568E7</v>
      </c>
      <c r="F1360" s="26" t="s">
        <v>2542</v>
      </c>
    </row>
    <row r="1361">
      <c r="A1361" s="27">
        <v>45737.0</v>
      </c>
      <c r="B1361" s="26" t="s">
        <v>3817</v>
      </c>
      <c r="C1361" s="26" t="s">
        <v>255</v>
      </c>
      <c r="D1361" s="26">
        <v>1.71E7</v>
      </c>
      <c r="F1361" s="26" t="s">
        <v>2542</v>
      </c>
    </row>
    <row r="1362">
      <c r="A1362" s="27">
        <v>45737.0</v>
      </c>
      <c r="B1362" s="26" t="s">
        <v>3818</v>
      </c>
      <c r="C1362" s="26" t="s">
        <v>2561</v>
      </c>
      <c r="D1362" s="26">
        <v>361.403</v>
      </c>
      <c r="F1362" s="26" t="s">
        <v>2542</v>
      </c>
      <c r="G1362" s="26">
        <v>632.1</v>
      </c>
    </row>
    <row r="1363">
      <c r="A1363" s="27">
        <v>45737.0</v>
      </c>
      <c r="B1363" s="26" t="s">
        <v>3819</v>
      </c>
      <c r="C1363" s="28"/>
      <c r="D1363" s="26">
        <v>45576.0</v>
      </c>
      <c r="F1363" s="26" t="s">
        <v>2542</v>
      </c>
    </row>
    <row r="1364">
      <c r="A1364" s="27">
        <v>45737.0</v>
      </c>
      <c r="B1364" s="26" t="s">
        <v>3819</v>
      </c>
      <c r="C1364" s="26" t="s">
        <v>2561</v>
      </c>
      <c r="D1364" s="26">
        <v>569.7</v>
      </c>
      <c r="F1364" s="26" t="s">
        <v>2542</v>
      </c>
      <c r="G1364" s="26">
        <v>632.1</v>
      </c>
    </row>
    <row r="1365">
      <c r="A1365" s="27">
        <v>45736.0</v>
      </c>
      <c r="B1365" s="26" t="s">
        <v>3820</v>
      </c>
      <c r="C1365" s="26" t="s">
        <v>255</v>
      </c>
      <c r="D1365" s="26">
        <v>1600000.0</v>
      </c>
      <c r="F1365" s="26" t="s">
        <v>2542</v>
      </c>
    </row>
    <row r="1366">
      <c r="A1366" s="27">
        <v>45736.0</v>
      </c>
      <c r="B1366" s="26" t="s">
        <v>3821</v>
      </c>
      <c r="C1366" s="26" t="s">
        <v>255</v>
      </c>
      <c r="D1366" s="26">
        <v>1080000.0</v>
      </c>
      <c r="F1366" s="26" t="s">
        <v>2542</v>
      </c>
    </row>
    <row r="1367">
      <c r="A1367" s="27">
        <v>45736.0</v>
      </c>
      <c r="B1367" s="26" t="s">
        <v>3822</v>
      </c>
      <c r="C1367" s="26" t="s">
        <v>255</v>
      </c>
      <c r="D1367" s="26">
        <v>4785000.0</v>
      </c>
      <c r="F1367" s="26" t="s">
        <v>2542</v>
      </c>
    </row>
    <row r="1368">
      <c r="A1368" s="27">
        <v>45736.0</v>
      </c>
      <c r="B1368" s="26" t="s">
        <v>3823</v>
      </c>
      <c r="C1368" s="26" t="s">
        <v>255</v>
      </c>
      <c r="D1368" s="26">
        <v>1595000.0</v>
      </c>
      <c r="F1368" s="26" t="s">
        <v>2542</v>
      </c>
    </row>
    <row r="1369">
      <c r="A1369" s="27">
        <v>45736.0</v>
      </c>
      <c r="B1369" s="26" t="s">
        <v>3824</v>
      </c>
      <c r="C1369" s="26" t="s">
        <v>255</v>
      </c>
      <c r="D1369" s="26">
        <v>1595000.0</v>
      </c>
      <c r="F1369" s="26" t="s">
        <v>2542</v>
      </c>
    </row>
    <row r="1370">
      <c r="A1370" s="27">
        <v>45736.0</v>
      </c>
      <c r="B1370" s="26" t="s">
        <v>3825</v>
      </c>
      <c r="C1370" s="26" t="s">
        <v>2561</v>
      </c>
      <c r="D1370" s="26">
        <v>6800000.0</v>
      </c>
      <c r="F1370" s="26" t="s">
        <v>2542</v>
      </c>
      <c r="G1370" s="26">
        <v>331.0</v>
      </c>
    </row>
    <row r="1371">
      <c r="A1371" s="27">
        <v>45735.0</v>
      </c>
      <c r="B1371" s="26" t="s">
        <v>3826</v>
      </c>
      <c r="C1371" s="26" t="s">
        <v>2561</v>
      </c>
      <c r="D1371" s="26">
        <v>1.2E7</v>
      </c>
      <c r="F1371" s="26" t="s">
        <v>2542</v>
      </c>
      <c r="G1371" s="26">
        <v>331.0</v>
      </c>
    </row>
    <row r="1372">
      <c r="A1372" s="27">
        <v>45734.0</v>
      </c>
      <c r="B1372" s="26" t="s">
        <v>3827</v>
      </c>
      <c r="C1372" s="26" t="s">
        <v>255</v>
      </c>
      <c r="D1372" s="26">
        <v>3860000.0</v>
      </c>
      <c r="F1372" s="26" t="s">
        <v>2542</v>
      </c>
    </row>
    <row r="1373">
      <c r="A1373" s="27">
        <v>45734.0</v>
      </c>
      <c r="B1373" s="26" t="s">
        <v>3827</v>
      </c>
      <c r="C1373" s="26" t="s">
        <v>255</v>
      </c>
      <c r="D1373" s="26">
        <v>3270000.0</v>
      </c>
      <c r="F1373" s="26" t="s">
        <v>2542</v>
      </c>
    </row>
    <row r="1374">
      <c r="A1374" s="27">
        <v>45734.0</v>
      </c>
      <c r="B1374" s="26" t="s">
        <v>3828</v>
      </c>
      <c r="C1374" s="26" t="s">
        <v>255</v>
      </c>
      <c r="D1374" s="26">
        <v>1.3703E7</v>
      </c>
      <c r="F1374" s="26" t="s">
        <v>2542</v>
      </c>
    </row>
    <row r="1375">
      <c r="A1375" s="27">
        <v>45734.0</v>
      </c>
      <c r="B1375" s="26" t="s">
        <v>3829</v>
      </c>
      <c r="C1375" s="26" t="s">
        <v>255</v>
      </c>
      <c r="D1375" s="26">
        <v>1450000.0</v>
      </c>
      <c r="F1375" s="26" t="s">
        <v>2542</v>
      </c>
    </row>
    <row r="1376">
      <c r="A1376" s="27">
        <v>45734.0</v>
      </c>
      <c r="B1376" s="26" t="s">
        <v>3830</v>
      </c>
      <c r="C1376" s="26" t="s">
        <v>2764</v>
      </c>
      <c r="D1376" s="26">
        <v>3075654.0</v>
      </c>
      <c r="F1376" s="26" t="s">
        <v>2542</v>
      </c>
      <c r="G1376" s="26">
        <v>6273.0</v>
      </c>
    </row>
    <row r="1377">
      <c r="A1377" s="27">
        <v>45734.0</v>
      </c>
      <c r="B1377" s="26" t="s">
        <v>3831</v>
      </c>
      <c r="C1377" s="26" t="s">
        <v>2561</v>
      </c>
      <c r="D1377" s="26">
        <v>1.5E7</v>
      </c>
      <c r="F1377" s="26" t="s">
        <v>2542</v>
      </c>
      <c r="G1377" s="26">
        <v>331.0</v>
      </c>
    </row>
    <row r="1378">
      <c r="A1378" s="27">
        <v>45733.0</v>
      </c>
      <c r="B1378" s="26" t="s">
        <v>3832</v>
      </c>
      <c r="C1378" s="26" t="s">
        <v>255</v>
      </c>
      <c r="D1378" s="26">
        <v>1320000.0</v>
      </c>
      <c r="F1378" s="26" t="s">
        <v>2542</v>
      </c>
    </row>
    <row r="1379">
      <c r="A1379" s="27">
        <v>45733.0</v>
      </c>
      <c r="B1379" s="26" t="s">
        <v>3833</v>
      </c>
      <c r="C1379" s="26" t="s">
        <v>255</v>
      </c>
      <c r="D1379" s="26">
        <v>5200000.0</v>
      </c>
      <c r="F1379" s="26" t="s">
        <v>2542</v>
      </c>
    </row>
    <row r="1380">
      <c r="A1380" s="27">
        <v>45733.0</v>
      </c>
      <c r="B1380" s="26" t="s">
        <v>3834</v>
      </c>
      <c r="C1380" s="26" t="s">
        <v>255</v>
      </c>
      <c r="D1380" s="26">
        <v>100000.0</v>
      </c>
      <c r="F1380" s="26" t="s">
        <v>2542</v>
      </c>
    </row>
    <row r="1381">
      <c r="A1381" s="27">
        <v>45733.0</v>
      </c>
      <c r="B1381" s="26" t="s">
        <v>3835</v>
      </c>
      <c r="C1381" s="26" t="s">
        <v>255</v>
      </c>
      <c r="D1381" s="26">
        <v>1188000.0</v>
      </c>
      <c r="F1381" s="26" t="s">
        <v>2542</v>
      </c>
    </row>
    <row r="1382">
      <c r="A1382" s="27">
        <v>45733.0</v>
      </c>
      <c r="B1382" s="26" t="s">
        <v>3836</v>
      </c>
      <c r="C1382" s="26" t="s">
        <v>2545</v>
      </c>
      <c r="D1382" s="26">
        <v>1.230485E7</v>
      </c>
      <c r="F1382" s="26" t="s">
        <v>2542</v>
      </c>
      <c r="G1382" s="26">
        <v>3348.0</v>
      </c>
    </row>
    <row r="1383">
      <c r="A1383" s="27">
        <v>45733.0</v>
      </c>
      <c r="B1383" s="26" t="s">
        <v>3837</v>
      </c>
      <c r="C1383" s="26" t="s">
        <v>2561</v>
      </c>
      <c r="D1383" s="26">
        <v>1106700.0</v>
      </c>
      <c r="F1383" s="26" t="s">
        <v>2542</v>
      </c>
      <c r="G1383" s="26">
        <v>331.0</v>
      </c>
    </row>
    <row r="1384">
      <c r="A1384" s="27">
        <v>45731.0</v>
      </c>
      <c r="B1384" s="26" t="s">
        <v>3216</v>
      </c>
      <c r="C1384" s="26" t="s">
        <v>255</v>
      </c>
      <c r="D1384" s="26">
        <v>1188000.0</v>
      </c>
      <c r="F1384" s="26" t="s">
        <v>2542</v>
      </c>
    </row>
    <row r="1385">
      <c r="A1385" s="27">
        <v>45730.0</v>
      </c>
      <c r="B1385" s="26" t="s">
        <v>3838</v>
      </c>
      <c r="C1385" s="26" t="s">
        <v>255</v>
      </c>
      <c r="D1385" s="26">
        <v>3340640.0</v>
      </c>
      <c r="F1385" s="26" t="s">
        <v>2542</v>
      </c>
    </row>
    <row r="1386">
      <c r="A1386" s="27">
        <v>45730.0</v>
      </c>
      <c r="B1386" s="26" t="s">
        <v>3839</v>
      </c>
      <c r="C1386" s="26" t="s">
        <v>255</v>
      </c>
      <c r="D1386" s="26">
        <v>6380000.0</v>
      </c>
      <c r="F1386" s="26" t="s">
        <v>2542</v>
      </c>
    </row>
    <row r="1387">
      <c r="A1387" s="27">
        <v>45730.0</v>
      </c>
      <c r="B1387" s="26" t="s">
        <v>3840</v>
      </c>
      <c r="C1387" s="26" t="s">
        <v>255</v>
      </c>
      <c r="D1387" s="26">
        <v>8242326.0</v>
      </c>
      <c r="F1387" s="26" t="s">
        <v>2542</v>
      </c>
    </row>
    <row r="1388">
      <c r="A1388" s="27">
        <v>45730.0</v>
      </c>
      <c r="B1388" s="26" t="s">
        <v>3841</v>
      </c>
      <c r="C1388" s="26" t="s">
        <v>255</v>
      </c>
      <c r="D1388" s="26">
        <v>3190000.0</v>
      </c>
      <c r="F1388" s="26" t="s">
        <v>2542</v>
      </c>
    </row>
    <row r="1389">
      <c r="A1389" s="27">
        <v>45730.0</v>
      </c>
      <c r="B1389" s="26" t="s">
        <v>3842</v>
      </c>
      <c r="C1389" s="26" t="s">
        <v>255</v>
      </c>
      <c r="D1389" s="26">
        <v>3190000.0</v>
      </c>
      <c r="F1389" s="26" t="s">
        <v>2542</v>
      </c>
    </row>
    <row r="1390">
      <c r="A1390" s="27">
        <v>45730.0</v>
      </c>
      <c r="B1390" s="26" t="s">
        <v>3843</v>
      </c>
      <c r="C1390" s="26" t="s">
        <v>2574</v>
      </c>
      <c r="D1390" s="26">
        <v>3140640.0</v>
      </c>
      <c r="F1390" s="26" t="s">
        <v>2542</v>
      </c>
      <c r="G1390" s="26">
        <v>331.0</v>
      </c>
    </row>
    <row r="1391">
      <c r="A1391" s="27">
        <v>45730.0</v>
      </c>
      <c r="B1391" s="26" t="s">
        <v>3844</v>
      </c>
      <c r="C1391" s="26" t="s">
        <v>2593</v>
      </c>
      <c r="D1391" s="26">
        <v>174000.0</v>
      </c>
      <c r="F1391" s="26" t="s">
        <v>2542</v>
      </c>
      <c r="G1391" s="26">
        <v>6423.0</v>
      </c>
    </row>
    <row r="1392">
      <c r="A1392" s="27">
        <v>45730.0</v>
      </c>
      <c r="B1392" s="26" t="s">
        <v>3845</v>
      </c>
      <c r="C1392" s="26" t="s">
        <v>2655</v>
      </c>
      <c r="D1392" s="26">
        <v>2.24E7</v>
      </c>
      <c r="F1392" s="26" t="s">
        <v>2542</v>
      </c>
      <c r="G1392" s="26">
        <v>3383.0</v>
      </c>
    </row>
    <row r="1393">
      <c r="A1393" s="27">
        <v>45729.0</v>
      </c>
      <c r="B1393" s="26" t="s">
        <v>3846</v>
      </c>
      <c r="C1393" s="26" t="s">
        <v>255</v>
      </c>
      <c r="D1393" s="26">
        <v>1.1016E7</v>
      </c>
      <c r="F1393" s="26" t="s">
        <v>2542</v>
      </c>
    </row>
    <row r="1394">
      <c r="A1394" s="27">
        <v>45729.0</v>
      </c>
      <c r="B1394" s="26" t="s">
        <v>3847</v>
      </c>
      <c r="C1394" s="26" t="s">
        <v>2561</v>
      </c>
      <c r="D1394" s="26">
        <v>920000.0</v>
      </c>
      <c r="F1394" s="26" t="s">
        <v>2542</v>
      </c>
      <c r="G1394" s="26">
        <v>331.0</v>
      </c>
    </row>
    <row r="1395">
      <c r="A1395" s="27">
        <v>45729.0</v>
      </c>
      <c r="B1395" s="26" t="s">
        <v>3848</v>
      </c>
      <c r="C1395" s="26" t="s">
        <v>2561</v>
      </c>
      <c r="D1395" s="26">
        <v>3000000.0</v>
      </c>
      <c r="F1395" s="26" t="s">
        <v>2542</v>
      </c>
      <c r="G1395" s="26">
        <v>331.0</v>
      </c>
    </row>
    <row r="1396">
      <c r="A1396" s="27">
        <v>45728.0</v>
      </c>
      <c r="B1396" s="26" t="s">
        <v>3849</v>
      </c>
      <c r="C1396" s="26" t="s">
        <v>255</v>
      </c>
      <c r="D1396" s="26">
        <v>9960000.0</v>
      </c>
      <c r="F1396" s="26" t="s">
        <v>2542</v>
      </c>
    </row>
    <row r="1397">
      <c r="A1397" s="27">
        <v>45728.0</v>
      </c>
      <c r="B1397" s="26" t="s">
        <v>3850</v>
      </c>
      <c r="C1397" s="26" t="s">
        <v>255</v>
      </c>
      <c r="D1397" s="26">
        <v>2160000.0</v>
      </c>
      <c r="F1397" s="26" t="s">
        <v>2542</v>
      </c>
    </row>
    <row r="1398">
      <c r="A1398" s="27">
        <v>45728.0</v>
      </c>
      <c r="B1398" s="26" t="s">
        <v>3851</v>
      </c>
      <c r="C1398" s="26" t="s">
        <v>255</v>
      </c>
      <c r="D1398" s="26">
        <v>3665000.0</v>
      </c>
      <c r="F1398" s="26" t="s">
        <v>2542</v>
      </c>
    </row>
    <row r="1399">
      <c r="A1399" s="27">
        <v>45728.0</v>
      </c>
      <c r="B1399" s="26" t="s">
        <v>3852</v>
      </c>
      <c r="C1399" s="26" t="s">
        <v>255</v>
      </c>
      <c r="D1399" s="26">
        <v>2280000.0</v>
      </c>
      <c r="F1399" s="26" t="s">
        <v>2542</v>
      </c>
    </row>
    <row r="1400">
      <c r="A1400" s="27">
        <v>45728.0</v>
      </c>
      <c r="B1400" s="26" t="s">
        <v>3853</v>
      </c>
      <c r="C1400" s="26" t="s">
        <v>255</v>
      </c>
      <c r="D1400" s="26">
        <v>270000.0</v>
      </c>
      <c r="F1400" s="26" t="s">
        <v>2542</v>
      </c>
    </row>
    <row r="1401">
      <c r="A1401" s="27">
        <v>45728.0</v>
      </c>
      <c r="B1401" s="26" t="s">
        <v>3854</v>
      </c>
      <c r="C1401" s="26" t="s">
        <v>255</v>
      </c>
      <c r="D1401" s="26">
        <v>1080000.0</v>
      </c>
      <c r="F1401" s="26" t="s">
        <v>2542</v>
      </c>
    </row>
    <row r="1402">
      <c r="A1402" s="27">
        <v>45728.0</v>
      </c>
      <c r="B1402" s="26" t="s">
        <v>3855</v>
      </c>
      <c r="C1402" s="26" t="s">
        <v>255</v>
      </c>
      <c r="D1402" s="26">
        <v>1080000.0</v>
      </c>
      <c r="F1402" s="26" t="s">
        <v>2542</v>
      </c>
    </row>
    <row r="1403">
      <c r="A1403" s="27">
        <v>45728.0</v>
      </c>
      <c r="B1403" s="26" t="s">
        <v>3856</v>
      </c>
      <c r="C1403" s="26" t="s">
        <v>255</v>
      </c>
      <c r="D1403" s="26">
        <v>1080000.0</v>
      </c>
      <c r="F1403" s="26" t="s">
        <v>2542</v>
      </c>
    </row>
    <row r="1404">
      <c r="A1404" s="27">
        <v>45728.0</v>
      </c>
      <c r="B1404" s="26" t="s">
        <v>3857</v>
      </c>
      <c r="C1404" s="26" t="s">
        <v>2571</v>
      </c>
      <c r="D1404" s="26">
        <v>210000.0</v>
      </c>
      <c r="F1404" s="26" t="s">
        <v>2542</v>
      </c>
      <c r="G1404" s="26">
        <v>641.12</v>
      </c>
    </row>
    <row r="1405">
      <c r="A1405" s="27">
        <v>45728.0</v>
      </c>
      <c r="B1405" s="26" t="s">
        <v>3858</v>
      </c>
      <c r="C1405" s="26" t="s">
        <v>2545</v>
      </c>
      <c r="D1405" s="26">
        <v>1.2E7</v>
      </c>
      <c r="F1405" s="26" t="s">
        <v>2542</v>
      </c>
      <c r="G1405" s="26">
        <v>3341.0</v>
      </c>
    </row>
    <row r="1406">
      <c r="A1406" s="27">
        <v>45728.0</v>
      </c>
      <c r="B1406" s="26" t="s">
        <v>3859</v>
      </c>
      <c r="C1406" s="26" t="s">
        <v>2561</v>
      </c>
      <c r="D1406" s="26">
        <v>8635000.0</v>
      </c>
      <c r="F1406" s="26" t="s">
        <v>2542</v>
      </c>
      <c r="G1406" s="26">
        <v>331.0</v>
      </c>
    </row>
    <row r="1407">
      <c r="A1407" s="27">
        <v>45728.0</v>
      </c>
      <c r="B1407" s="26" t="s">
        <v>3860</v>
      </c>
      <c r="C1407" s="26" t="s">
        <v>2561</v>
      </c>
      <c r="D1407" s="26">
        <v>6373600.0</v>
      </c>
      <c r="F1407" s="26" t="s">
        <v>2542</v>
      </c>
      <c r="G1407" s="26">
        <v>331.0</v>
      </c>
    </row>
    <row r="1408">
      <c r="A1408" s="27">
        <v>45728.0</v>
      </c>
      <c r="B1408" s="26" t="s">
        <v>3861</v>
      </c>
      <c r="C1408" s="26" t="s">
        <v>2561</v>
      </c>
      <c r="D1408" s="26">
        <v>7432000.0</v>
      </c>
      <c r="F1408" s="26" t="s">
        <v>2542</v>
      </c>
      <c r="G1408" s="26">
        <v>331.0</v>
      </c>
    </row>
    <row r="1409">
      <c r="A1409" s="27">
        <v>45727.0</v>
      </c>
      <c r="B1409" s="26" t="s">
        <v>3561</v>
      </c>
      <c r="C1409" s="26" t="s">
        <v>255</v>
      </c>
      <c r="D1409" s="26">
        <v>8000000.0</v>
      </c>
      <c r="F1409" s="26" t="s">
        <v>2542</v>
      </c>
    </row>
    <row r="1410">
      <c r="A1410" s="27">
        <v>45727.0</v>
      </c>
      <c r="B1410" s="26" t="s">
        <v>3862</v>
      </c>
      <c r="C1410" s="26" t="s">
        <v>255</v>
      </c>
      <c r="D1410" s="26">
        <v>9678750.0</v>
      </c>
      <c r="F1410" s="26" t="s">
        <v>2542</v>
      </c>
    </row>
    <row r="1411">
      <c r="A1411" s="27">
        <v>45727.0</v>
      </c>
      <c r="B1411" s="26" t="s">
        <v>3863</v>
      </c>
      <c r="C1411" s="26" t="s">
        <v>255</v>
      </c>
      <c r="D1411" s="26">
        <v>2380000.0</v>
      </c>
      <c r="F1411" s="26" t="s">
        <v>2542</v>
      </c>
    </row>
    <row r="1412">
      <c r="A1412" s="27">
        <v>45727.0</v>
      </c>
      <c r="B1412" s="26" t="s">
        <v>3216</v>
      </c>
      <c r="C1412" s="26" t="s">
        <v>255</v>
      </c>
      <c r="D1412" s="26">
        <v>1254000.0</v>
      </c>
      <c r="F1412" s="26" t="s">
        <v>2542</v>
      </c>
    </row>
    <row r="1413">
      <c r="A1413" s="27">
        <v>45727.0</v>
      </c>
      <c r="B1413" s="26" t="s">
        <v>3561</v>
      </c>
      <c r="C1413" s="28"/>
      <c r="D1413" s="26">
        <v>8000000.0</v>
      </c>
      <c r="F1413" s="26" t="s">
        <v>2542</v>
      </c>
    </row>
    <row r="1414">
      <c r="A1414" s="27">
        <v>45727.0</v>
      </c>
      <c r="B1414" s="26" t="s">
        <v>3864</v>
      </c>
      <c r="C1414" s="26" t="s">
        <v>2561</v>
      </c>
      <c r="D1414" s="26">
        <v>5037120.0</v>
      </c>
      <c r="F1414" s="26" t="s">
        <v>2542</v>
      </c>
      <c r="G1414" s="26">
        <v>331.0</v>
      </c>
    </row>
    <row r="1415">
      <c r="A1415" s="27">
        <v>45726.0</v>
      </c>
      <c r="B1415" s="26" t="s">
        <v>3865</v>
      </c>
      <c r="C1415" s="26" t="s">
        <v>255</v>
      </c>
      <c r="D1415" s="26">
        <v>5.0E7</v>
      </c>
      <c r="F1415" s="26" t="s">
        <v>2542</v>
      </c>
    </row>
    <row r="1416">
      <c r="A1416" s="27">
        <v>45726.0</v>
      </c>
      <c r="B1416" s="26" t="s">
        <v>3866</v>
      </c>
      <c r="C1416" s="26" t="s">
        <v>2887</v>
      </c>
      <c r="D1416" s="26">
        <v>3.727435E8</v>
      </c>
      <c r="F1416" s="26" t="s">
        <v>2542</v>
      </c>
    </row>
    <row r="1417">
      <c r="A1417" s="27">
        <v>45726.0</v>
      </c>
      <c r="B1417" s="26" t="s">
        <v>3866</v>
      </c>
      <c r="C1417" s="26" t="s">
        <v>2887</v>
      </c>
      <c r="D1417" s="26">
        <v>1.0117E7</v>
      </c>
      <c r="F1417" s="26" t="s">
        <v>2542</v>
      </c>
    </row>
    <row r="1418">
      <c r="A1418" s="27">
        <v>45726.0</v>
      </c>
      <c r="B1418" s="26" t="s">
        <v>3867</v>
      </c>
      <c r="C1418" s="26" t="s">
        <v>255</v>
      </c>
      <c r="D1418" s="26">
        <v>2900000.0</v>
      </c>
      <c r="F1418" s="26" t="s">
        <v>2542</v>
      </c>
    </row>
    <row r="1419">
      <c r="A1419" s="27">
        <v>45726.0</v>
      </c>
      <c r="B1419" s="26" t="s">
        <v>3868</v>
      </c>
      <c r="C1419" s="26" t="s">
        <v>255</v>
      </c>
      <c r="D1419" s="26">
        <v>4760000.0</v>
      </c>
      <c r="F1419" s="26" t="s">
        <v>2542</v>
      </c>
    </row>
    <row r="1420">
      <c r="A1420" s="27">
        <v>45726.0</v>
      </c>
      <c r="B1420" s="26" t="s">
        <v>3869</v>
      </c>
      <c r="C1420" s="26" t="s">
        <v>255</v>
      </c>
      <c r="D1420" s="26">
        <v>2376000.0</v>
      </c>
      <c r="F1420" s="26" t="s">
        <v>2542</v>
      </c>
    </row>
    <row r="1421">
      <c r="A1421" s="27">
        <v>45726.0</v>
      </c>
      <c r="B1421" s="26" t="s">
        <v>3870</v>
      </c>
      <c r="C1421" s="26" t="s">
        <v>255</v>
      </c>
      <c r="D1421" s="26">
        <v>1440000.0</v>
      </c>
      <c r="F1421" s="26" t="s">
        <v>2542</v>
      </c>
    </row>
    <row r="1422">
      <c r="A1422" s="27">
        <v>45726.0</v>
      </c>
      <c r="B1422" s="26" t="s">
        <v>3871</v>
      </c>
      <c r="C1422" s="26" t="s">
        <v>255</v>
      </c>
      <c r="D1422" s="26">
        <v>7200000.0</v>
      </c>
      <c r="F1422" s="26" t="s">
        <v>2542</v>
      </c>
    </row>
    <row r="1423">
      <c r="A1423" s="27">
        <v>45726.0</v>
      </c>
      <c r="B1423" s="26" t="s">
        <v>3872</v>
      </c>
      <c r="C1423" s="26" t="s">
        <v>255</v>
      </c>
      <c r="D1423" s="26">
        <v>1080000.0</v>
      </c>
      <c r="F1423" s="26" t="s">
        <v>2542</v>
      </c>
    </row>
    <row r="1424">
      <c r="A1424" s="27">
        <v>45726.0</v>
      </c>
      <c r="B1424" s="26" t="s">
        <v>3873</v>
      </c>
      <c r="C1424" s="26" t="s">
        <v>255</v>
      </c>
      <c r="D1424" s="26">
        <v>1875000.0</v>
      </c>
      <c r="F1424" s="26" t="s">
        <v>2542</v>
      </c>
    </row>
    <row r="1425">
      <c r="A1425" s="27">
        <v>45726.0</v>
      </c>
      <c r="B1425" s="26" t="s">
        <v>3874</v>
      </c>
      <c r="C1425" s="26" t="s">
        <v>255</v>
      </c>
      <c r="D1425" s="26">
        <v>2750000.0</v>
      </c>
      <c r="F1425" s="26" t="s">
        <v>2542</v>
      </c>
    </row>
    <row r="1426">
      <c r="A1426" s="27">
        <v>45726.0</v>
      </c>
      <c r="B1426" s="26" t="s">
        <v>3875</v>
      </c>
      <c r="C1426" s="26" t="s">
        <v>255</v>
      </c>
      <c r="D1426" s="26">
        <v>3564000.0</v>
      </c>
      <c r="F1426" s="26" t="s">
        <v>2542</v>
      </c>
    </row>
    <row r="1427">
      <c r="A1427" s="27">
        <v>45726.0</v>
      </c>
      <c r="B1427" s="26" t="s">
        <v>3876</v>
      </c>
      <c r="C1427" s="26" t="s">
        <v>255</v>
      </c>
      <c r="D1427" s="26">
        <v>1628000.0</v>
      </c>
      <c r="F1427" s="26" t="s">
        <v>2542</v>
      </c>
    </row>
    <row r="1428">
      <c r="A1428" s="27">
        <v>45726.0</v>
      </c>
      <c r="B1428" s="26" t="s">
        <v>3865</v>
      </c>
      <c r="C1428" s="28"/>
      <c r="D1428" s="26">
        <v>5.0E7</v>
      </c>
      <c r="F1428" s="26" t="s">
        <v>2542</v>
      </c>
    </row>
    <row r="1429">
      <c r="A1429" s="27">
        <v>45726.0</v>
      </c>
      <c r="B1429" s="26" t="s">
        <v>3877</v>
      </c>
      <c r="C1429" s="28"/>
      <c r="D1429" s="26">
        <v>1.76733761E8</v>
      </c>
      <c r="F1429" s="26" t="s">
        <v>2542</v>
      </c>
    </row>
    <row r="1430">
      <c r="A1430" s="27">
        <v>45726.0</v>
      </c>
      <c r="B1430" s="26" t="s">
        <v>3878</v>
      </c>
      <c r="C1430" s="26" t="s">
        <v>2545</v>
      </c>
      <c r="D1430" s="26">
        <v>3.593E7</v>
      </c>
      <c r="F1430" s="26" t="s">
        <v>2542</v>
      </c>
      <c r="G1430" s="26">
        <v>3341.0</v>
      </c>
    </row>
    <row r="1431">
      <c r="A1431" s="27">
        <v>45726.0</v>
      </c>
      <c r="B1431" s="26" t="s">
        <v>3879</v>
      </c>
      <c r="C1431" s="26" t="s">
        <v>2545</v>
      </c>
      <c r="D1431" s="26">
        <v>1.9895E7</v>
      </c>
      <c r="F1431" s="26" t="s">
        <v>2542</v>
      </c>
      <c r="G1431" s="26">
        <v>3341.0</v>
      </c>
    </row>
    <row r="1432">
      <c r="A1432" s="27">
        <v>45726.0</v>
      </c>
      <c r="B1432" s="26" t="s">
        <v>3880</v>
      </c>
      <c r="C1432" s="26" t="s">
        <v>2545</v>
      </c>
      <c r="D1432" s="26">
        <v>2.2E7</v>
      </c>
      <c r="F1432" s="26" t="s">
        <v>2542</v>
      </c>
      <c r="G1432" s="26">
        <v>3341.0</v>
      </c>
    </row>
    <row r="1433">
      <c r="A1433" s="27">
        <v>45726.0</v>
      </c>
      <c r="B1433" s="26" t="s">
        <v>3881</v>
      </c>
      <c r="C1433" s="26" t="s">
        <v>2561</v>
      </c>
      <c r="D1433" s="26">
        <v>4.7E7</v>
      </c>
      <c r="F1433" s="26" t="s">
        <v>2542</v>
      </c>
      <c r="G1433" s="26">
        <v>331.0</v>
      </c>
    </row>
    <row r="1434">
      <c r="A1434" s="27">
        <v>45725.0</v>
      </c>
      <c r="B1434" s="26" t="s">
        <v>3882</v>
      </c>
      <c r="C1434" s="26" t="s">
        <v>255</v>
      </c>
      <c r="D1434" s="26">
        <v>4760000.0</v>
      </c>
      <c r="F1434" s="26" t="s">
        <v>2542</v>
      </c>
    </row>
    <row r="1435">
      <c r="A1435" s="27">
        <v>45723.0</v>
      </c>
      <c r="B1435" s="26" t="s">
        <v>3883</v>
      </c>
      <c r="C1435" s="26" t="s">
        <v>255</v>
      </c>
      <c r="D1435" s="26">
        <v>2990000.0</v>
      </c>
      <c r="F1435" s="26" t="s">
        <v>2542</v>
      </c>
    </row>
    <row r="1436">
      <c r="A1436" s="27">
        <v>45722.0</v>
      </c>
      <c r="B1436" s="26" t="s">
        <v>3884</v>
      </c>
      <c r="C1436" s="26" t="s">
        <v>255</v>
      </c>
      <c r="D1436" s="26">
        <v>2160000.0</v>
      </c>
      <c r="F1436" s="26" t="s">
        <v>2542</v>
      </c>
    </row>
    <row r="1437">
      <c r="A1437" s="27">
        <v>45722.0</v>
      </c>
      <c r="B1437" s="26" t="s">
        <v>3885</v>
      </c>
      <c r="C1437" s="26" t="s">
        <v>255</v>
      </c>
      <c r="D1437" s="26">
        <v>2.144925E7</v>
      </c>
      <c r="F1437" s="26" t="s">
        <v>2542</v>
      </c>
    </row>
    <row r="1438">
      <c r="A1438" s="27">
        <v>45722.0</v>
      </c>
      <c r="B1438" s="26" t="s">
        <v>3886</v>
      </c>
      <c r="C1438" s="26" t="s">
        <v>255</v>
      </c>
      <c r="D1438" s="26">
        <v>1.71382E7</v>
      </c>
      <c r="F1438" s="26" t="s">
        <v>2542</v>
      </c>
    </row>
    <row r="1439">
      <c r="A1439" s="27">
        <v>45722.0</v>
      </c>
      <c r="B1439" s="26" t="s">
        <v>3887</v>
      </c>
      <c r="C1439" s="26" t="s">
        <v>255</v>
      </c>
      <c r="D1439" s="26">
        <v>1.5245E7</v>
      </c>
      <c r="F1439" s="26" t="s">
        <v>2542</v>
      </c>
    </row>
    <row r="1440">
      <c r="A1440" s="27">
        <v>45722.0</v>
      </c>
      <c r="B1440" s="26" t="s">
        <v>3888</v>
      </c>
      <c r="C1440" s="26" t="s">
        <v>2561</v>
      </c>
      <c r="D1440" s="26">
        <v>9920000.0</v>
      </c>
      <c r="F1440" s="26" t="s">
        <v>2542</v>
      </c>
      <c r="G1440" s="26">
        <v>331.0</v>
      </c>
    </row>
    <row r="1441">
      <c r="A1441" s="27">
        <v>45722.0</v>
      </c>
      <c r="B1441" s="26" t="s">
        <v>3889</v>
      </c>
      <c r="C1441" s="26" t="s">
        <v>2545</v>
      </c>
      <c r="D1441" s="26">
        <v>1.2E7</v>
      </c>
      <c r="F1441" s="26" t="s">
        <v>2542</v>
      </c>
      <c r="G1441" s="26">
        <v>3341.0</v>
      </c>
    </row>
    <row r="1442">
      <c r="A1442" s="27">
        <v>45722.0</v>
      </c>
      <c r="B1442" s="26" t="s">
        <v>3890</v>
      </c>
      <c r="C1442" s="26" t="s">
        <v>2561</v>
      </c>
      <c r="D1442" s="26">
        <v>1.723248E7</v>
      </c>
      <c r="F1442" s="26" t="s">
        <v>2542</v>
      </c>
      <c r="G1442" s="26">
        <v>331.0</v>
      </c>
    </row>
    <row r="1443">
      <c r="A1443" s="27">
        <v>45722.0</v>
      </c>
      <c r="B1443" s="26" t="s">
        <v>3891</v>
      </c>
      <c r="C1443" s="26" t="s">
        <v>2561</v>
      </c>
      <c r="D1443" s="26">
        <v>2.1961606E7</v>
      </c>
      <c r="F1443" s="26" t="s">
        <v>2542</v>
      </c>
      <c r="G1443" s="26">
        <v>331.0</v>
      </c>
    </row>
    <row r="1444">
      <c r="A1444" s="27">
        <v>45722.0</v>
      </c>
      <c r="B1444" s="26" t="s">
        <v>3892</v>
      </c>
      <c r="C1444" s="26" t="s">
        <v>2561</v>
      </c>
      <c r="D1444" s="26">
        <v>6480000.0</v>
      </c>
      <c r="F1444" s="26" t="s">
        <v>2542</v>
      </c>
      <c r="G1444" s="26">
        <v>331.0</v>
      </c>
    </row>
    <row r="1445">
      <c r="A1445" s="27">
        <v>45721.0</v>
      </c>
      <c r="B1445" s="26" t="s">
        <v>3893</v>
      </c>
      <c r="C1445" s="26" t="s">
        <v>255</v>
      </c>
      <c r="D1445" s="26">
        <v>9417348.0</v>
      </c>
      <c r="F1445" s="26" t="s">
        <v>2542</v>
      </c>
    </row>
    <row r="1446">
      <c r="A1446" s="27">
        <v>45721.0</v>
      </c>
      <c r="B1446" s="26" t="s">
        <v>3894</v>
      </c>
      <c r="C1446" s="26" t="s">
        <v>255</v>
      </c>
      <c r="D1446" s="26">
        <v>1872000.0</v>
      </c>
      <c r="F1446" s="26" t="s">
        <v>2542</v>
      </c>
    </row>
    <row r="1447">
      <c r="A1447" s="27">
        <v>45721.0</v>
      </c>
      <c r="B1447" s="26" t="s">
        <v>3895</v>
      </c>
      <c r="C1447" s="26" t="s">
        <v>255</v>
      </c>
      <c r="D1447" s="26">
        <v>7160000.0</v>
      </c>
      <c r="F1447" s="26" t="s">
        <v>2542</v>
      </c>
    </row>
    <row r="1448">
      <c r="A1448" s="27">
        <v>45721.0</v>
      </c>
      <c r="B1448" s="26" t="s">
        <v>3893</v>
      </c>
      <c r="C1448" s="28"/>
      <c r="D1448" s="26">
        <v>9417348.0</v>
      </c>
      <c r="F1448" s="26" t="s">
        <v>2542</v>
      </c>
    </row>
    <row r="1449">
      <c r="A1449" s="27">
        <v>45721.0</v>
      </c>
      <c r="B1449" s="26" t="s">
        <v>3896</v>
      </c>
      <c r="C1449" s="26" t="s">
        <v>2561</v>
      </c>
      <c r="D1449" s="26">
        <v>3000000.0</v>
      </c>
      <c r="F1449" s="26" t="s">
        <v>2542</v>
      </c>
      <c r="G1449" s="26">
        <v>331.0</v>
      </c>
    </row>
    <row r="1450">
      <c r="A1450" s="27">
        <v>45721.0</v>
      </c>
      <c r="B1450" s="26" t="s">
        <v>3897</v>
      </c>
      <c r="C1450" s="26" t="s">
        <v>2545</v>
      </c>
      <c r="D1450" s="26">
        <v>1.536E7</v>
      </c>
      <c r="F1450" s="26" t="s">
        <v>2542</v>
      </c>
      <c r="G1450" s="26">
        <v>3341.0</v>
      </c>
    </row>
    <row r="1451">
      <c r="A1451" s="27">
        <v>45721.0</v>
      </c>
      <c r="B1451" s="26" t="s">
        <v>3898</v>
      </c>
      <c r="C1451" s="26" t="s">
        <v>2545</v>
      </c>
      <c r="D1451" s="26">
        <v>9370000.0</v>
      </c>
      <c r="F1451" s="26" t="s">
        <v>2542</v>
      </c>
      <c r="G1451" s="26">
        <v>3341.0</v>
      </c>
    </row>
    <row r="1452">
      <c r="A1452" s="27">
        <v>45721.0</v>
      </c>
      <c r="B1452" s="26" t="s">
        <v>3899</v>
      </c>
      <c r="C1452" s="26" t="s">
        <v>2545</v>
      </c>
      <c r="D1452" s="26">
        <v>5419000.0</v>
      </c>
      <c r="F1452" s="26" t="s">
        <v>2542</v>
      </c>
      <c r="G1452" s="26">
        <v>3341.0</v>
      </c>
    </row>
    <row r="1453">
      <c r="A1453" s="27">
        <v>45721.0</v>
      </c>
      <c r="B1453" s="26" t="s">
        <v>3900</v>
      </c>
      <c r="C1453" s="26" t="s">
        <v>2545</v>
      </c>
      <c r="D1453" s="26">
        <v>1.236E7</v>
      </c>
      <c r="F1453" s="26" t="s">
        <v>2542</v>
      </c>
      <c r="G1453" s="26">
        <v>3341.0</v>
      </c>
    </row>
    <row r="1454">
      <c r="A1454" s="27">
        <v>45720.0</v>
      </c>
      <c r="B1454" s="26" t="s">
        <v>3901</v>
      </c>
      <c r="C1454" s="26" t="s">
        <v>255</v>
      </c>
      <c r="D1454" s="26">
        <v>1080000.0</v>
      </c>
      <c r="F1454" s="26" t="s">
        <v>2542</v>
      </c>
    </row>
    <row r="1455">
      <c r="A1455" s="27">
        <v>45720.0</v>
      </c>
      <c r="B1455" s="26" t="s">
        <v>3902</v>
      </c>
      <c r="C1455" s="26" t="s">
        <v>255</v>
      </c>
      <c r="D1455" s="26">
        <v>1080000.0</v>
      </c>
      <c r="F1455" s="26" t="s">
        <v>2542</v>
      </c>
    </row>
    <row r="1456">
      <c r="A1456" s="27">
        <v>45720.0</v>
      </c>
      <c r="B1456" s="26" t="s">
        <v>3903</v>
      </c>
      <c r="C1456" s="26" t="s">
        <v>255</v>
      </c>
      <c r="D1456" s="26">
        <v>720000.0</v>
      </c>
      <c r="F1456" s="26" t="s">
        <v>2542</v>
      </c>
    </row>
    <row r="1457">
      <c r="A1457" s="27">
        <v>45720.0</v>
      </c>
      <c r="B1457" s="26" t="s">
        <v>3904</v>
      </c>
      <c r="C1457" s="26" t="s">
        <v>255</v>
      </c>
      <c r="D1457" s="26">
        <v>1080000.0</v>
      </c>
      <c r="F1457" s="26" t="s">
        <v>2542</v>
      </c>
    </row>
    <row r="1458">
      <c r="A1458" s="27">
        <v>45720.0</v>
      </c>
      <c r="B1458" s="26" t="s">
        <v>3905</v>
      </c>
      <c r="C1458" s="26" t="s">
        <v>255</v>
      </c>
      <c r="D1458" s="26">
        <v>1568000.0</v>
      </c>
      <c r="F1458" s="26" t="s">
        <v>2542</v>
      </c>
    </row>
    <row r="1459">
      <c r="A1459" s="27">
        <v>45720.0</v>
      </c>
      <c r="B1459" s="26" t="s">
        <v>3906</v>
      </c>
      <c r="C1459" s="26" t="s">
        <v>255</v>
      </c>
      <c r="D1459" s="26">
        <v>1521500.0</v>
      </c>
      <c r="F1459" s="26" t="s">
        <v>2542</v>
      </c>
    </row>
    <row r="1460">
      <c r="A1460" s="27">
        <v>45720.0</v>
      </c>
      <c r="B1460" s="26" t="s">
        <v>3907</v>
      </c>
      <c r="C1460" s="26" t="s">
        <v>255</v>
      </c>
      <c r="D1460" s="26">
        <v>1009800.0</v>
      </c>
      <c r="F1460" s="26" t="s">
        <v>2542</v>
      </c>
    </row>
    <row r="1461">
      <c r="A1461" s="27">
        <v>45720.0</v>
      </c>
      <c r="B1461" s="26" t="s">
        <v>3908</v>
      </c>
      <c r="C1461" s="26" t="s">
        <v>255</v>
      </c>
      <c r="D1461" s="26">
        <v>1080000.0</v>
      </c>
      <c r="F1461" s="26" t="s">
        <v>2542</v>
      </c>
    </row>
    <row r="1462">
      <c r="A1462" s="27">
        <v>45720.0</v>
      </c>
      <c r="B1462" s="26" t="s">
        <v>3909</v>
      </c>
      <c r="C1462" s="26" t="s">
        <v>2561</v>
      </c>
      <c r="D1462" s="26">
        <v>1.0E7</v>
      </c>
      <c r="F1462" s="26" t="s">
        <v>2542</v>
      </c>
      <c r="G1462" s="26">
        <v>331.0</v>
      </c>
    </row>
    <row r="1463">
      <c r="A1463" s="27">
        <v>45720.0</v>
      </c>
      <c r="B1463" s="26" t="s">
        <v>3910</v>
      </c>
      <c r="C1463" s="26" t="s">
        <v>2561</v>
      </c>
      <c r="D1463" s="26">
        <v>3491100.0</v>
      </c>
      <c r="F1463" s="26" t="s">
        <v>2542</v>
      </c>
      <c r="G1463" s="26">
        <v>331.0</v>
      </c>
    </row>
    <row r="1464">
      <c r="A1464" s="27">
        <v>45720.0</v>
      </c>
      <c r="B1464" s="26" t="s">
        <v>3911</v>
      </c>
      <c r="C1464" s="26" t="s">
        <v>2545</v>
      </c>
      <c r="D1464" s="26">
        <v>1.56E7</v>
      </c>
      <c r="F1464" s="26" t="s">
        <v>2542</v>
      </c>
      <c r="G1464" s="26">
        <v>3341.0</v>
      </c>
    </row>
    <row r="1465">
      <c r="A1465" s="27">
        <v>45720.0</v>
      </c>
      <c r="B1465" s="26" t="s">
        <v>3912</v>
      </c>
      <c r="C1465" s="26" t="s">
        <v>2545</v>
      </c>
      <c r="D1465" s="26">
        <v>1.116E7</v>
      </c>
      <c r="F1465" s="26" t="s">
        <v>2542</v>
      </c>
      <c r="G1465" s="26">
        <v>3341.0</v>
      </c>
    </row>
    <row r="1466">
      <c r="A1466" s="27">
        <v>45720.0</v>
      </c>
      <c r="B1466" s="26" t="s">
        <v>3913</v>
      </c>
      <c r="C1466" s="26" t="s">
        <v>2571</v>
      </c>
      <c r="D1466" s="26">
        <v>735000.0</v>
      </c>
      <c r="F1466" s="26" t="s">
        <v>2542</v>
      </c>
      <c r="G1466" s="26">
        <v>641.16</v>
      </c>
    </row>
    <row r="1467">
      <c r="A1467" s="27">
        <v>45720.0</v>
      </c>
      <c r="B1467" s="26" t="s">
        <v>3914</v>
      </c>
      <c r="C1467" s="26" t="s">
        <v>2561</v>
      </c>
      <c r="D1467" s="26">
        <v>1.1836139E8</v>
      </c>
      <c r="F1467" s="26" t="s">
        <v>2542</v>
      </c>
      <c r="G1467" s="26">
        <v>331.0</v>
      </c>
    </row>
    <row r="1468">
      <c r="A1468" s="27">
        <v>45720.0</v>
      </c>
      <c r="B1468" s="26" t="s">
        <v>3915</v>
      </c>
      <c r="C1468" s="26" t="s">
        <v>2571</v>
      </c>
      <c r="D1468" s="26">
        <v>548000.0</v>
      </c>
      <c r="F1468" s="26" t="s">
        <v>2542</v>
      </c>
      <c r="G1468" s="26">
        <v>641.36</v>
      </c>
    </row>
    <row r="1469">
      <c r="A1469" s="27">
        <v>45719.0</v>
      </c>
      <c r="B1469" s="26" t="s">
        <v>3916</v>
      </c>
      <c r="C1469" s="26" t="s">
        <v>255</v>
      </c>
      <c r="D1469" s="26">
        <v>2400000.0</v>
      </c>
      <c r="F1469" s="26" t="s">
        <v>2542</v>
      </c>
    </row>
    <row r="1470">
      <c r="A1470" s="27">
        <v>45719.0</v>
      </c>
      <c r="B1470" s="26" t="s">
        <v>3917</v>
      </c>
      <c r="C1470" s="26" t="s">
        <v>255</v>
      </c>
      <c r="D1470" s="26">
        <v>3950000.0</v>
      </c>
      <c r="F1470" s="26" t="s">
        <v>2542</v>
      </c>
    </row>
    <row r="1471">
      <c r="A1471" s="27">
        <v>45719.0</v>
      </c>
      <c r="B1471" s="26" t="s">
        <v>3918</v>
      </c>
      <c r="C1471" s="26" t="s">
        <v>255</v>
      </c>
      <c r="D1471" s="26">
        <v>120000.0</v>
      </c>
      <c r="F1471" s="26" t="s">
        <v>2542</v>
      </c>
    </row>
    <row r="1472">
      <c r="A1472" s="27">
        <v>45719.0</v>
      </c>
      <c r="B1472" s="26" t="s">
        <v>3919</v>
      </c>
      <c r="C1472" s="26" t="s">
        <v>255</v>
      </c>
      <c r="D1472" s="26">
        <v>9060000.0</v>
      </c>
      <c r="F1472" s="26" t="s">
        <v>2542</v>
      </c>
    </row>
    <row r="1473">
      <c r="A1473" s="27">
        <v>45719.0</v>
      </c>
      <c r="B1473" s="26" t="s">
        <v>3920</v>
      </c>
      <c r="C1473" s="26" t="s">
        <v>255</v>
      </c>
      <c r="D1473" s="26">
        <v>9512000.0</v>
      </c>
      <c r="F1473" s="26" t="s">
        <v>2542</v>
      </c>
    </row>
    <row r="1474">
      <c r="A1474" s="27">
        <v>45719.0</v>
      </c>
      <c r="B1474" s="26" t="s">
        <v>3921</v>
      </c>
      <c r="C1474" s="26" t="s">
        <v>255</v>
      </c>
      <c r="D1474" s="26">
        <v>7890000.0</v>
      </c>
      <c r="F1474" s="26" t="s">
        <v>2542</v>
      </c>
    </row>
    <row r="1475">
      <c r="A1475" s="27">
        <v>45719.0</v>
      </c>
      <c r="B1475" s="26" t="s">
        <v>3922</v>
      </c>
      <c r="C1475" s="26" t="s">
        <v>255</v>
      </c>
      <c r="D1475" s="26">
        <v>1628000.0</v>
      </c>
      <c r="F1475" s="26" t="s">
        <v>2542</v>
      </c>
    </row>
    <row r="1476">
      <c r="A1476" s="27">
        <v>45719.0</v>
      </c>
      <c r="B1476" s="26" t="s">
        <v>3923</v>
      </c>
      <c r="C1476" s="26" t="s">
        <v>2764</v>
      </c>
      <c r="D1476" s="26">
        <v>978000.0</v>
      </c>
      <c r="F1476" s="26" t="s">
        <v>2542</v>
      </c>
      <c r="G1476" s="26">
        <v>6273.0</v>
      </c>
    </row>
    <row r="1477">
      <c r="A1477" s="27">
        <v>45719.0</v>
      </c>
      <c r="B1477" s="26" t="s">
        <v>3923</v>
      </c>
      <c r="C1477" s="26" t="s">
        <v>2571</v>
      </c>
      <c r="D1477" s="26">
        <v>180000.0</v>
      </c>
      <c r="F1477" s="26" t="s">
        <v>2542</v>
      </c>
      <c r="G1477" s="26">
        <v>641.22</v>
      </c>
    </row>
    <row r="1478">
      <c r="A1478" s="27">
        <v>45718.0</v>
      </c>
      <c r="B1478" s="26" t="s">
        <v>3924</v>
      </c>
      <c r="C1478" s="26" t="s">
        <v>255</v>
      </c>
      <c r="D1478" s="26">
        <v>1140000.0</v>
      </c>
      <c r="F1478" s="26" t="s">
        <v>2542</v>
      </c>
    </row>
    <row r="1479">
      <c r="A1479" s="27">
        <v>45717.0</v>
      </c>
      <c r="B1479" s="26" t="s">
        <v>3925</v>
      </c>
      <c r="C1479" s="26" t="s">
        <v>255</v>
      </c>
      <c r="D1479" s="26">
        <v>6480000.0</v>
      </c>
      <c r="F1479" s="26" t="s">
        <v>2542</v>
      </c>
    </row>
    <row r="1480">
      <c r="A1480" s="27">
        <v>45717.0</v>
      </c>
      <c r="B1480" s="26" t="s">
        <v>3926</v>
      </c>
      <c r="C1480" s="26" t="s">
        <v>2583</v>
      </c>
      <c r="D1480" s="26">
        <v>70000.0</v>
      </c>
      <c r="F1480" s="26" t="s">
        <v>2542</v>
      </c>
      <c r="G1480" s="26">
        <v>641.27</v>
      </c>
    </row>
    <row r="1481">
      <c r="A1481" s="27">
        <v>45717.0</v>
      </c>
      <c r="B1481" s="26" t="s">
        <v>3926</v>
      </c>
      <c r="C1481" s="26" t="s">
        <v>2583</v>
      </c>
      <c r="D1481" s="26">
        <v>78000.0</v>
      </c>
      <c r="F1481" s="26" t="s">
        <v>2542</v>
      </c>
      <c r="G1481" s="26">
        <v>641.27</v>
      </c>
    </row>
    <row r="1482">
      <c r="A1482" s="27">
        <v>45716.0</v>
      </c>
      <c r="B1482" s="26" t="s">
        <v>2543</v>
      </c>
      <c r="C1482" s="26" t="s">
        <v>255</v>
      </c>
      <c r="D1482" s="26">
        <v>8010.0</v>
      </c>
      <c r="F1482" s="26" t="s">
        <v>2542</v>
      </c>
    </row>
    <row r="1483">
      <c r="A1483" s="27">
        <v>45716.0</v>
      </c>
      <c r="B1483" s="26" t="s">
        <v>3927</v>
      </c>
      <c r="C1483" s="26" t="s">
        <v>2583</v>
      </c>
      <c r="D1483" s="26">
        <v>623000.0</v>
      </c>
      <c r="F1483" s="26" t="s">
        <v>2542</v>
      </c>
      <c r="G1483" s="26">
        <v>641.27</v>
      </c>
    </row>
    <row r="1484">
      <c r="A1484" s="27">
        <v>45716.0</v>
      </c>
      <c r="B1484" s="26" t="s">
        <v>3927</v>
      </c>
      <c r="C1484" s="26" t="s">
        <v>2583</v>
      </c>
      <c r="D1484" s="26">
        <v>196000.0</v>
      </c>
      <c r="F1484" s="26" t="s">
        <v>2542</v>
      </c>
      <c r="G1484" s="26">
        <v>641.27</v>
      </c>
    </row>
    <row r="1485">
      <c r="A1485" s="27">
        <v>45716.0</v>
      </c>
      <c r="B1485" s="26" t="s">
        <v>3928</v>
      </c>
      <c r="C1485" s="26" t="s">
        <v>2583</v>
      </c>
      <c r="D1485" s="26">
        <v>726014.0</v>
      </c>
      <c r="F1485" s="26" t="s">
        <v>2542</v>
      </c>
      <c r="G1485" s="26">
        <v>641.27</v>
      </c>
    </row>
    <row r="1486">
      <c r="A1486" s="27">
        <v>45716.0</v>
      </c>
      <c r="B1486" s="26" t="s">
        <v>3929</v>
      </c>
      <c r="C1486" s="26" t="s">
        <v>2593</v>
      </c>
      <c r="D1486" s="26">
        <v>80000.0</v>
      </c>
      <c r="F1486" s="26" t="s">
        <v>2542</v>
      </c>
      <c r="G1486" s="26">
        <v>6423.0</v>
      </c>
    </row>
    <row r="1487">
      <c r="A1487" s="27">
        <v>45716.0</v>
      </c>
      <c r="B1487" s="26" t="s">
        <v>3927</v>
      </c>
      <c r="C1487" s="26" t="s">
        <v>2583</v>
      </c>
      <c r="D1487" s="26">
        <v>202000.0</v>
      </c>
      <c r="F1487" s="26" t="s">
        <v>2542</v>
      </c>
      <c r="G1487" s="26">
        <v>641.27</v>
      </c>
    </row>
    <row r="1488">
      <c r="A1488" s="27">
        <v>45716.0</v>
      </c>
      <c r="B1488" s="26" t="s">
        <v>3927</v>
      </c>
      <c r="C1488" s="26" t="s">
        <v>2583</v>
      </c>
      <c r="D1488" s="26">
        <v>650000.0</v>
      </c>
      <c r="F1488" s="26" t="s">
        <v>2542</v>
      </c>
      <c r="G1488" s="26">
        <v>641.27</v>
      </c>
    </row>
    <row r="1489">
      <c r="A1489" s="27">
        <v>45716.0</v>
      </c>
      <c r="B1489" s="26" t="s">
        <v>3927</v>
      </c>
      <c r="C1489" s="26" t="s">
        <v>2583</v>
      </c>
      <c r="D1489" s="26">
        <v>387000.0</v>
      </c>
      <c r="F1489" s="26" t="s">
        <v>2542</v>
      </c>
      <c r="G1489" s="26">
        <v>641.27</v>
      </c>
    </row>
    <row r="1490">
      <c r="A1490" s="27">
        <v>45715.0</v>
      </c>
      <c r="B1490" s="26" t="s">
        <v>3930</v>
      </c>
      <c r="C1490" s="26" t="s">
        <v>2583</v>
      </c>
      <c r="D1490" s="26">
        <v>68000.0</v>
      </c>
      <c r="F1490" s="26" t="s">
        <v>2542</v>
      </c>
      <c r="G1490" s="26">
        <v>641.27</v>
      </c>
    </row>
    <row r="1491">
      <c r="A1491" s="27">
        <v>45715.0</v>
      </c>
      <c r="B1491" s="26" t="s">
        <v>3931</v>
      </c>
      <c r="C1491" s="26" t="s">
        <v>2583</v>
      </c>
      <c r="D1491" s="26">
        <v>108600.0</v>
      </c>
      <c r="F1491" s="26" t="s">
        <v>2542</v>
      </c>
      <c r="G1491" s="26">
        <v>641.27</v>
      </c>
    </row>
    <row r="1492">
      <c r="A1492" s="27">
        <v>45715.0</v>
      </c>
      <c r="B1492" s="26" t="s">
        <v>3927</v>
      </c>
      <c r="C1492" s="26" t="s">
        <v>2583</v>
      </c>
      <c r="D1492" s="26">
        <v>109000.0</v>
      </c>
      <c r="F1492" s="26" t="s">
        <v>2542</v>
      </c>
      <c r="G1492" s="26">
        <v>641.27</v>
      </c>
    </row>
    <row r="1493">
      <c r="A1493" s="27">
        <v>45715.0</v>
      </c>
      <c r="B1493" s="26" t="s">
        <v>3932</v>
      </c>
      <c r="C1493" s="26" t="s">
        <v>2583</v>
      </c>
      <c r="D1493" s="26">
        <v>320000.0</v>
      </c>
      <c r="F1493" s="26" t="s">
        <v>2542</v>
      </c>
      <c r="G1493" s="26">
        <v>641.27</v>
      </c>
    </row>
    <row r="1494">
      <c r="A1494" s="27">
        <v>45715.0</v>
      </c>
      <c r="B1494" s="26" t="s">
        <v>3933</v>
      </c>
      <c r="C1494" s="26" t="s">
        <v>2583</v>
      </c>
      <c r="D1494" s="26">
        <v>1077000.0</v>
      </c>
      <c r="F1494" s="26" t="s">
        <v>2542</v>
      </c>
      <c r="G1494" s="26">
        <v>641.27</v>
      </c>
    </row>
    <row r="1495">
      <c r="A1495" s="27">
        <v>45715.0</v>
      </c>
      <c r="B1495" s="26" t="s">
        <v>3932</v>
      </c>
      <c r="C1495" s="26" t="s">
        <v>2583</v>
      </c>
      <c r="D1495" s="26">
        <v>245000.0</v>
      </c>
      <c r="F1495" s="26" t="s">
        <v>2542</v>
      </c>
      <c r="G1495" s="26">
        <v>641.27</v>
      </c>
    </row>
    <row r="1496">
      <c r="A1496" s="27">
        <v>45715.0</v>
      </c>
      <c r="B1496" s="26" t="s">
        <v>3934</v>
      </c>
      <c r="C1496" s="26" t="s">
        <v>2561</v>
      </c>
      <c r="D1496" s="26">
        <v>175.0</v>
      </c>
      <c r="F1496" s="26" t="s">
        <v>2542</v>
      </c>
      <c r="G1496" s="26">
        <v>632.1</v>
      </c>
    </row>
    <row r="1497">
      <c r="A1497" s="27">
        <v>45715.0</v>
      </c>
      <c r="B1497" s="26" t="s">
        <v>3935</v>
      </c>
      <c r="C1497" s="26" t="s">
        <v>2561</v>
      </c>
      <c r="D1497" s="26">
        <v>480000.0</v>
      </c>
      <c r="F1497" s="26" t="s">
        <v>2542</v>
      </c>
      <c r="G1497" s="26">
        <v>331.0</v>
      </c>
    </row>
    <row r="1498">
      <c r="A1498" s="27">
        <v>45714.0</v>
      </c>
      <c r="B1498" s="26" t="s">
        <v>3936</v>
      </c>
      <c r="C1498" s="26" t="s">
        <v>255</v>
      </c>
      <c r="D1498" s="26">
        <v>1790000.0</v>
      </c>
      <c r="F1498" s="26" t="s">
        <v>2542</v>
      </c>
    </row>
    <row r="1499">
      <c r="A1499" s="27">
        <v>45714.0</v>
      </c>
      <c r="B1499" s="26" t="s">
        <v>3937</v>
      </c>
      <c r="C1499" s="26" t="s">
        <v>255</v>
      </c>
      <c r="D1499" s="26">
        <v>1080000.0</v>
      </c>
      <c r="F1499" s="26" t="s">
        <v>2542</v>
      </c>
    </row>
    <row r="1500">
      <c r="A1500" s="27">
        <v>45714.0</v>
      </c>
      <c r="B1500" s="26" t="s">
        <v>3938</v>
      </c>
      <c r="C1500" s="26" t="s">
        <v>2561</v>
      </c>
      <c r="D1500" s="26">
        <v>1280000.0</v>
      </c>
      <c r="F1500" s="26" t="s">
        <v>2542</v>
      </c>
      <c r="G1500" s="26">
        <v>331.0</v>
      </c>
    </row>
    <row r="1501">
      <c r="A1501" s="27">
        <v>45714.0</v>
      </c>
      <c r="B1501" s="26" t="s">
        <v>3939</v>
      </c>
      <c r="C1501" s="26" t="s">
        <v>2561</v>
      </c>
      <c r="D1501" s="26">
        <v>2760000.0</v>
      </c>
      <c r="F1501" s="26" t="s">
        <v>2542</v>
      </c>
      <c r="G1501" s="26">
        <v>331.0</v>
      </c>
    </row>
    <row r="1502">
      <c r="A1502" s="27">
        <v>45714.0</v>
      </c>
      <c r="B1502" s="26" t="s">
        <v>3940</v>
      </c>
      <c r="C1502" s="26" t="s">
        <v>2583</v>
      </c>
      <c r="D1502" s="26">
        <v>4796107.0</v>
      </c>
      <c r="F1502" s="26" t="s">
        <v>2542</v>
      </c>
      <c r="G1502" s="26">
        <v>641.27</v>
      </c>
    </row>
    <row r="1503">
      <c r="A1503" s="27">
        <v>45714.0</v>
      </c>
      <c r="B1503" s="26" t="s">
        <v>3941</v>
      </c>
      <c r="C1503" s="26" t="s">
        <v>2561</v>
      </c>
      <c r="D1503" s="26">
        <v>6858000.0</v>
      </c>
      <c r="F1503" s="26" t="s">
        <v>2542</v>
      </c>
      <c r="G1503" s="26">
        <v>331.0</v>
      </c>
    </row>
    <row r="1504">
      <c r="A1504" s="27">
        <v>45714.0</v>
      </c>
      <c r="B1504" s="26" t="s">
        <v>3942</v>
      </c>
      <c r="C1504" s="26" t="s">
        <v>2561</v>
      </c>
      <c r="D1504" s="26">
        <v>2559600.0</v>
      </c>
      <c r="F1504" s="26" t="s">
        <v>2542</v>
      </c>
      <c r="G1504" s="26">
        <v>331.0</v>
      </c>
    </row>
    <row r="1505">
      <c r="A1505" s="27">
        <v>45714.0</v>
      </c>
      <c r="B1505" s="26" t="s">
        <v>3943</v>
      </c>
      <c r="C1505" s="26" t="s">
        <v>2571</v>
      </c>
      <c r="D1505" s="26">
        <v>165000.0</v>
      </c>
      <c r="F1505" s="26" t="s">
        <v>2542</v>
      </c>
      <c r="G1505" s="26">
        <v>641.22</v>
      </c>
    </row>
    <row r="1506">
      <c r="A1506" s="27">
        <v>45713.0</v>
      </c>
      <c r="B1506" s="26" t="s">
        <v>3944</v>
      </c>
      <c r="C1506" s="26" t="s">
        <v>255</v>
      </c>
      <c r="D1506" s="26">
        <v>6827833.0</v>
      </c>
      <c r="F1506" s="26" t="s">
        <v>2542</v>
      </c>
    </row>
    <row r="1507">
      <c r="A1507" s="27">
        <v>45713.0</v>
      </c>
      <c r="B1507" s="26" t="s">
        <v>3945</v>
      </c>
      <c r="C1507" s="26" t="s">
        <v>255</v>
      </c>
      <c r="D1507" s="26">
        <v>6831000.0</v>
      </c>
      <c r="F1507" s="26" t="s">
        <v>2542</v>
      </c>
    </row>
    <row r="1508">
      <c r="A1508" s="27">
        <v>45713.0</v>
      </c>
      <c r="B1508" s="26" t="s">
        <v>3946</v>
      </c>
      <c r="C1508" s="26" t="s">
        <v>255</v>
      </c>
      <c r="D1508" s="26">
        <v>1188000.0</v>
      </c>
      <c r="F1508" s="26" t="s">
        <v>2542</v>
      </c>
    </row>
    <row r="1509">
      <c r="A1509" s="27">
        <v>45713.0</v>
      </c>
      <c r="B1509" s="26" t="s">
        <v>3244</v>
      </c>
      <c r="C1509" s="26" t="s">
        <v>255</v>
      </c>
      <c r="D1509" s="26">
        <v>1080000.0</v>
      </c>
      <c r="F1509" s="26" t="s">
        <v>2542</v>
      </c>
    </row>
    <row r="1510">
      <c r="A1510" s="27">
        <v>45713.0</v>
      </c>
      <c r="B1510" s="26" t="s">
        <v>3947</v>
      </c>
      <c r="C1510" s="26" t="s">
        <v>255</v>
      </c>
      <c r="D1510" s="26">
        <v>1080000.0</v>
      </c>
      <c r="F1510" s="26" t="s">
        <v>2542</v>
      </c>
    </row>
    <row r="1511">
      <c r="A1511" s="27">
        <v>45713.0</v>
      </c>
      <c r="B1511" s="26" t="s">
        <v>3948</v>
      </c>
      <c r="C1511" s="26" t="s">
        <v>2561</v>
      </c>
      <c r="D1511" s="26">
        <v>1290000.0</v>
      </c>
      <c r="F1511" s="26" t="s">
        <v>2542</v>
      </c>
      <c r="G1511" s="26">
        <v>331.0</v>
      </c>
    </row>
    <row r="1512">
      <c r="A1512" s="27">
        <v>45713.0</v>
      </c>
      <c r="B1512" s="26" t="s">
        <v>3949</v>
      </c>
      <c r="C1512" s="26" t="s">
        <v>2561</v>
      </c>
      <c r="D1512" s="26">
        <v>2543400.0</v>
      </c>
      <c r="F1512" s="26" t="s">
        <v>2542</v>
      </c>
      <c r="G1512" s="26">
        <v>331.0</v>
      </c>
    </row>
    <row r="1513">
      <c r="A1513" s="27">
        <v>45713.0</v>
      </c>
      <c r="B1513" s="26" t="s">
        <v>3950</v>
      </c>
      <c r="C1513" s="28"/>
      <c r="D1513" s="26">
        <v>92815.0</v>
      </c>
      <c r="F1513" s="26" t="s">
        <v>2542</v>
      </c>
    </row>
    <row r="1514">
      <c r="A1514" s="27">
        <v>45713.0</v>
      </c>
      <c r="B1514" s="26" t="s">
        <v>3950</v>
      </c>
      <c r="C1514" s="26" t="s">
        <v>2593</v>
      </c>
      <c r="D1514" s="26">
        <v>1160185.0</v>
      </c>
      <c r="F1514" s="26" t="s">
        <v>2542</v>
      </c>
      <c r="G1514" s="26">
        <v>6423.0</v>
      </c>
    </row>
    <row r="1515">
      <c r="A1515" s="27">
        <v>45713.0</v>
      </c>
      <c r="B1515" s="26" t="s">
        <v>3951</v>
      </c>
      <c r="C1515" s="26" t="s">
        <v>2571</v>
      </c>
      <c r="D1515" s="26">
        <v>656000.0</v>
      </c>
      <c r="F1515" s="26" t="s">
        <v>2542</v>
      </c>
      <c r="G1515" s="26">
        <v>641.22</v>
      </c>
    </row>
    <row r="1516">
      <c r="A1516" s="27">
        <v>45712.0</v>
      </c>
      <c r="B1516" s="26" t="s">
        <v>2586</v>
      </c>
      <c r="C1516" s="26" t="s">
        <v>255</v>
      </c>
      <c r="D1516" s="26">
        <v>6486.0</v>
      </c>
      <c r="F1516" s="26" t="s">
        <v>2542</v>
      </c>
    </row>
    <row r="1517">
      <c r="A1517" s="27">
        <v>45712.0</v>
      </c>
      <c r="B1517" s="26" t="s">
        <v>2775</v>
      </c>
      <c r="C1517" s="26" t="s">
        <v>255</v>
      </c>
      <c r="D1517" s="26">
        <v>1.42048E7</v>
      </c>
      <c r="F1517" s="26" t="s">
        <v>2542</v>
      </c>
    </row>
    <row r="1518">
      <c r="A1518" s="27">
        <v>45712.0</v>
      </c>
      <c r="B1518" s="26" t="s">
        <v>3952</v>
      </c>
      <c r="C1518" s="26" t="s">
        <v>255</v>
      </c>
      <c r="D1518" s="26">
        <v>1080000.0</v>
      </c>
      <c r="F1518" s="26" t="s">
        <v>2542</v>
      </c>
    </row>
    <row r="1519">
      <c r="A1519" s="27">
        <v>45712.0</v>
      </c>
      <c r="B1519" s="26" t="s">
        <v>3953</v>
      </c>
      <c r="C1519" s="26" t="s">
        <v>255</v>
      </c>
      <c r="D1519" s="26">
        <v>2340000.0</v>
      </c>
      <c r="F1519" s="26" t="s">
        <v>2542</v>
      </c>
    </row>
    <row r="1520">
      <c r="A1520" s="27">
        <v>45712.0</v>
      </c>
      <c r="B1520" s="26" t="s">
        <v>3954</v>
      </c>
      <c r="C1520" s="26" t="s">
        <v>255</v>
      </c>
      <c r="D1520" s="26">
        <v>3447000.0</v>
      </c>
      <c r="F1520" s="26" t="s">
        <v>2542</v>
      </c>
    </row>
    <row r="1521">
      <c r="A1521" s="27">
        <v>45712.0</v>
      </c>
      <c r="B1521" s="26" t="s">
        <v>3955</v>
      </c>
      <c r="C1521" s="26" t="s">
        <v>255</v>
      </c>
      <c r="D1521" s="26">
        <v>1450000.0</v>
      </c>
      <c r="F1521" s="26" t="s">
        <v>2542</v>
      </c>
    </row>
    <row r="1522">
      <c r="A1522" s="27">
        <v>45712.0</v>
      </c>
      <c r="B1522" s="26" t="s">
        <v>3956</v>
      </c>
      <c r="C1522" s="26" t="s">
        <v>255</v>
      </c>
      <c r="D1522" s="26">
        <v>3325000.0</v>
      </c>
      <c r="F1522" s="26" t="s">
        <v>2542</v>
      </c>
    </row>
    <row r="1523">
      <c r="A1523" s="27">
        <v>45712.0</v>
      </c>
      <c r="B1523" s="26" t="s">
        <v>3957</v>
      </c>
      <c r="C1523" s="26" t="s">
        <v>2545</v>
      </c>
      <c r="D1523" s="26">
        <v>6248000.0</v>
      </c>
      <c r="F1523" s="26" t="s">
        <v>2542</v>
      </c>
      <c r="G1523" s="26">
        <v>3348.0</v>
      </c>
    </row>
    <row r="1524">
      <c r="A1524" s="27">
        <v>45712.0</v>
      </c>
      <c r="B1524" s="26" t="s">
        <v>3958</v>
      </c>
      <c r="C1524" s="26" t="s">
        <v>2571</v>
      </c>
      <c r="D1524" s="26">
        <v>100000.0</v>
      </c>
      <c r="F1524" s="26" t="s">
        <v>2542</v>
      </c>
      <c r="G1524" s="26">
        <v>641.22</v>
      </c>
    </row>
    <row r="1525">
      <c r="A1525" s="27">
        <v>45712.0</v>
      </c>
      <c r="B1525" s="26" t="s">
        <v>3959</v>
      </c>
      <c r="C1525" s="26" t="s">
        <v>2764</v>
      </c>
      <c r="D1525" s="26">
        <v>5000000.0</v>
      </c>
      <c r="F1525" s="26" t="s">
        <v>2542</v>
      </c>
      <c r="G1525" s="26">
        <v>6273.0</v>
      </c>
    </row>
    <row r="1526">
      <c r="A1526" s="27">
        <v>45712.0</v>
      </c>
      <c r="B1526" s="26" t="s">
        <v>3960</v>
      </c>
      <c r="C1526" s="26" t="s">
        <v>2764</v>
      </c>
      <c r="D1526" s="26">
        <v>1.45E7</v>
      </c>
      <c r="F1526" s="26" t="s">
        <v>2542</v>
      </c>
      <c r="G1526" s="26">
        <v>6273.0</v>
      </c>
    </row>
    <row r="1527">
      <c r="A1527" s="27">
        <v>45710.0</v>
      </c>
      <c r="B1527" s="26" t="s">
        <v>3961</v>
      </c>
      <c r="C1527" s="26" t="s">
        <v>255</v>
      </c>
      <c r="D1527" s="26">
        <v>5200000.0</v>
      </c>
      <c r="F1527" s="26" t="s">
        <v>2542</v>
      </c>
    </row>
    <row r="1528">
      <c r="A1528" s="27">
        <v>45709.0</v>
      </c>
      <c r="B1528" s="26" t="s">
        <v>3962</v>
      </c>
      <c r="C1528" s="26" t="s">
        <v>255</v>
      </c>
      <c r="D1528" s="26">
        <v>1.0E7</v>
      </c>
      <c r="F1528" s="26" t="s">
        <v>2542</v>
      </c>
    </row>
    <row r="1529">
      <c r="A1529" s="27">
        <v>45709.0</v>
      </c>
      <c r="B1529" s="26" t="s">
        <v>3963</v>
      </c>
      <c r="C1529" s="26" t="s">
        <v>255</v>
      </c>
      <c r="D1529" s="26">
        <v>6267000.0</v>
      </c>
      <c r="F1529" s="26" t="s">
        <v>2542</v>
      </c>
    </row>
    <row r="1530">
      <c r="A1530" s="27">
        <v>45709.0</v>
      </c>
      <c r="B1530" s="26" t="s">
        <v>3964</v>
      </c>
      <c r="C1530" s="26" t="s">
        <v>255</v>
      </c>
      <c r="D1530" s="26">
        <v>300000.0</v>
      </c>
      <c r="F1530" s="26" t="s">
        <v>2542</v>
      </c>
    </row>
    <row r="1531">
      <c r="A1531" s="27">
        <v>45709.0</v>
      </c>
      <c r="B1531" s="26" t="s">
        <v>3965</v>
      </c>
      <c r="C1531" s="26" t="s">
        <v>255</v>
      </c>
      <c r="D1531" s="26">
        <v>1969000.0</v>
      </c>
      <c r="F1531" s="26" t="s">
        <v>2542</v>
      </c>
    </row>
    <row r="1532">
      <c r="A1532" s="27">
        <v>45709.0</v>
      </c>
      <c r="B1532" s="26" t="s">
        <v>3966</v>
      </c>
      <c r="C1532" s="26" t="s">
        <v>2545</v>
      </c>
      <c r="D1532" s="26">
        <v>4360000.0</v>
      </c>
      <c r="F1532" s="26" t="s">
        <v>2542</v>
      </c>
      <c r="G1532" s="26">
        <v>3341.0</v>
      </c>
    </row>
    <row r="1533">
      <c r="A1533" s="27">
        <v>45708.0</v>
      </c>
      <c r="B1533" s="26" t="s">
        <v>3967</v>
      </c>
      <c r="C1533" s="26" t="s">
        <v>255</v>
      </c>
      <c r="D1533" s="26">
        <v>1145000.0</v>
      </c>
      <c r="F1533" s="26" t="s">
        <v>2542</v>
      </c>
    </row>
    <row r="1534">
      <c r="A1534" s="27">
        <v>45708.0</v>
      </c>
      <c r="B1534" s="26" t="s">
        <v>3968</v>
      </c>
      <c r="C1534" s="26" t="s">
        <v>255</v>
      </c>
      <c r="D1534" s="26">
        <v>4785000.0</v>
      </c>
      <c r="F1534" s="26" t="s">
        <v>2542</v>
      </c>
    </row>
    <row r="1535">
      <c r="A1535" s="27">
        <v>45708.0</v>
      </c>
      <c r="B1535" s="26" t="s">
        <v>3969</v>
      </c>
      <c r="C1535" s="26" t="s">
        <v>2561</v>
      </c>
      <c r="D1535" s="26">
        <v>2.6733761E7</v>
      </c>
      <c r="F1535" s="26" t="s">
        <v>2542</v>
      </c>
      <c r="G1535" s="26">
        <v>331.0</v>
      </c>
    </row>
    <row r="1536">
      <c r="A1536" s="27">
        <v>45708.0</v>
      </c>
      <c r="B1536" s="26" t="s">
        <v>3970</v>
      </c>
      <c r="C1536" s="26" t="s">
        <v>2574</v>
      </c>
      <c r="D1536" s="26">
        <v>2687040.0</v>
      </c>
      <c r="F1536" s="26" t="s">
        <v>2542</v>
      </c>
      <c r="G1536" s="26">
        <v>331.0</v>
      </c>
    </row>
    <row r="1537">
      <c r="A1537" s="27">
        <v>45708.0</v>
      </c>
      <c r="B1537" s="26" t="s">
        <v>3444</v>
      </c>
      <c r="C1537" s="26" t="s">
        <v>2564</v>
      </c>
      <c r="D1537" s="26" t="s">
        <v>3971</v>
      </c>
      <c r="F1537" s="26" t="s">
        <v>2542</v>
      </c>
      <c r="G1537" s="26">
        <v>3332.0</v>
      </c>
    </row>
    <row r="1538">
      <c r="A1538" s="27">
        <v>45707.0</v>
      </c>
      <c r="B1538" s="26" t="s">
        <v>3972</v>
      </c>
      <c r="C1538" s="26" t="s">
        <v>255</v>
      </c>
      <c r="D1538" s="26">
        <v>2400000.0</v>
      </c>
      <c r="F1538" s="26" t="s">
        <v>2542</v>
      </c>
    </row>
    <row r="1539">
      <c r="A1539" s="27">
        <v>45707.0</v>
      </c>
      <c r="B1539" s="26" t="s">
        <v>3973</v>
      </c>
      <c r="C1539" s="26" t="s">
        <v>255</v>
      </c>
      <c r="D1539" s="26">
        <v>2900000.0</v>
      </c>
      <c r="F1539" s="26" t="s">
        <v>2542</v>
      </c>
    </row>
    <row r="1540">
      <c r="A1540" s="27">
        <v>45706.0</v>
      </c>
      <c r="B1540" s="26" t="s">
        <v>3974</v>
      </c>
      <c r="C1540" s="26" t="s">
        <v>255</v>
      </c>
      <c r="D1540" s="26">
        <v>3.54252E7</v>
      </c>
      <c r="F1540" s="26" t="s">
        <v>2542</v>
      </c>
    </row>
    <row r="1541">
      <c r="A1541" s="27">
        <v>45706.0</v>
      </c>
      <c r="B1541" s="26" t="s">
        <v>3975</v>
      </c>
      <c r="C1541" s="26" t="s">
        <v>255</v>
      </c>
      <c r="D1541" s="26">
        <v>1230000.0</v>
      </c>
      <c r="F1541" s="26" t="s">
        <v>2542</v>
      </c>
    </row>
    <row r="1542">
      <c r="A1542" s="27">
        <v>45706.0</v>
      </c>
      <c r="B1542" s="26" t="s">
        <v>3976</v>
      </c>
      <c r="C1542" s="26" t="s">
        <v>255</v>
      </c>
      <c r="D1542" s="26">
        <v>6720000.0</v>
      </c>
      <c r="F1542" s="26" t="s">
        <v>2542</v>
      </c>
    </row>
    <row r="1543">
      <c r="A1543" s="27">
        <v>45706.0</v>
      </c>
      <c r="B1543" s="26" t="s">
        <v>3977</v>
      </c>
      <c r="C1543" s="26" t="s">
        <v>255</v>
      </c>
      <c r="D1543" s="26">
        <v>2160000.0</v>
      </c>
      <c r="F1543" s="26" t="s">
        <v>2542</v>
      </c>
    </row>
    <row r="1544">
      <c r="A1544" s="27">
        <v>45706.0</v>
      </c>
      <c r="B1544" s="26" t="s">
        <v>3978</v>
      </c>
      <c r="C1544" s="26" t="s">
        <v>255</v>
      </c>
      <c r="D1544" s="26">
        <v>5400000.0</v>
      </c>
      <c r="F1544" s="26" t="s">
        <v>2542</v>
      </c>
    </row>
    <row r="1545">
      <c r="A1545" s="27">
        <v>45706.0</v>
      </c>
      <c r="B1545" s="26" t="s">
        <v>3979</v>
      </c>
      <c r="C1545" s="26" t="s">
        <v>2571</v>
      </c>
      <c r="D1545" s="26">
        <v>1390000.0</v>
      </c>
      <c r="F1545" s="26" t="s">
        <v>2542</v>
      </c>
      <c r="G1545" s="26">
        <v>641.12</v>
      </c>
    </row>
    <row r="1546">
      <c r="A1546" s="27">
        <v>45706.0</v>
      </c>
      <c r="B1546" s="26" t="s">
        <v>3980</v>
      </c>
      <c r="C1546" s="26" t="s">
        <v>2561</v>
      </c>
      <c r="D1546" s="26">
        <v>1.3E7</v>
      </c>
      <c r="F1546" s="26" t="s">
        <v>2542</v>
      </c>
      <c r="G1546" s="26">
        <v>331.0</v>
      </c>
    </row>
    <row r="1547">
      <c r="A1547" s="27">
        <v>45705.0</v>
      </c>
      <c r="B1547" s="26" t="s">
        <v>3981</v>
      </c>
      <c r="C1547" s="26" t="s">
        <v>255</v>
      </c>
      <c r="D1547" s="26">
        <v>5880000.0</v>
      </c>
      <c r="F1547" s="26" t="s">
        <v>2542</v>
      </c>
    </row>
    <row r="1548">
      <c r="A1548" s="27">
        <v>45705.0</v>
      </c>
      <c r="B1548" s="26" t="s">
        <v>3982</v>
      </c>
      <c r="C1548" s="26" t="s">
        <v>255</v>
      </c>
      <c r="D1548" s="26">
        <v>1.7226E7</v>
      </c>
      <c r="F1548" s="26" t="s">
        <v>2542</v>
      </c>
    </row>
    <row r="1549">
      <c r="A1549" s="27">
        <v>45705.0</v>
      </c>
      <c r="B1549" s="26" t="s">
        <v>3983</v>
      </c>
      <c r="C1549" s="26" t="s">
        <v>255</v>
      </c>
      <c r="D1549" s="26">
        <v>6380000.0</v>
      </c>
      <c r="F1549" s="26" t="s">
        <v>2542</v>
      </c>
    </row>
    <row r="1550">
      <c r="A1550" s="27">
        <v>45705.0</v>
      </c>
      <c r="B1550" s="26" t="s">
        <v>3984</v>
      </c>
      <c r="C1550" s="26" t="s">
        <v>255</v>
      </c>
      <c r="D1550" s="26">
        <v>1.7947908E7</v>
      </c>
      <c r="F1550" s="26" t="s">
        <v>2542</v>
      </c>
    </row>
    <row r="1551">
      <c r="A1551" s="27">
        <v>45705.0</v>
      </c>
      <c r="B1551" s="26" t="s">
        <v>3985</v>
      </c>
      <c r="C1551" s="26" t="s">
        <v>255</v>
      </c>
      <c r="D1551" s="26">
        <v>4785000.0</v>
      </c>
      <c r="F1551" s="26" t="s">
        <v>2542</v>
      </c>
    </row>
    <row r="1552">
      <c r="A1552" s="27">
        <v>45705.0</v>
      </c>
      <c r="B1552" s="26" t="s">
        <v>3986</v>
      </c>
      <c r="C1552" s="26" t="s">
        <v>255</v>
      </c>
      <c r="D1552" s="26">
        <v>1188000.0</v>
      </c>
      <c r="F1552" s="26" t="s">
        <v>2542</v>
      </c>
    </row>
    <row r="1553">
      <c r="A1553" s="27">
        <v>45705.0</v>
      </c>
      <c r="B1553" s="26" t="s">
        <v>3987</v>
      </c>
      <c r="C1553" s="26" t="s">
        <v>2545</v>
      </c>
      <c r="D1553" s="26">
        <v>2.11036E7</v>
      </c>
      <c r="F1553" s="26" t="s">
        <v>2542</v>
      </c>
      <c r="G1553" s="26">
        <v>3341.0</v>
      </c>
    </row>
    <row r="1554">
      <c r="A1554" s="27">
        <v>45702.0</v>
      </c>
      <c r="B1554" s="26" t="s">
        <v>3988</v>
      </c>
      <c r="C1554" s="26" t="s">
        <v>255</v>
      </c>
      <c r="D1554" s="26">
        <v>2340000.0</v>
      </c>
      <c r="F1554" s="26" t="s">
        <v>2542</v>
      </c>
    </row>
    <row r="1555">
      <c r="A1555" s="27">
        <v>45702.0</v>
      </c>
      <c r="B1555" s="26" t="s">
        <v>3989</v>
      </c>
      <c r="C1555" s="26" t="s">
        <v>2561</v>
      </c>
      <c r="D1555" s="26">
        <v>7172000.0</v>
      </c>
      <c r="F1555" s="26" t="s">
        <v>2542</v>
      </c>
      <c r="G1555" s="26">
        <v>331.0</v>
      </c>
    </row>
    <row r="1556">
      <c r="A1556" s="27">
        <v>45701.0</v>
      </c>
      <c r="B1556" s="26" t="s">
        <v>3561</v>
      </c>
      <c r="C1556" s="26" t="s">
        <v>255</v>
      </c>
      <c r="D1556" s="26">
        <v>8000000.0</v>
      </c>
      <c r="F1556" s="26" t="s">
        <v>2542</v>
      </c>
    </row>
    <row r="1557">
      <c r="A1557" s="27">
        <v>45701.0</v>
      </c>
      <c r="B1557" s="26" t="s">
        <v>3990</v>
      </c>
      <c r="C1557" s="26" t="s">
        <v>255</v>
      </c>
      <c r="D1557" s="26">
        <v>3240000.0</v>
      </c>
      <c r="F1557" s="26" t="s">
        <v>2542</v>
      </c>
    </row>
    <row r="1558">
      <c r="A1558" s="27">
        <v>45701.0</v>
      </c>
      <c r="B1558" s="26" t="s">
        <v>3561</v>
      </c>
      <c r="C1558" s="28"/>
      <c r="D1558" s="26">
        <v>8000000.0</v>
      </c>
      <c r="F1558" s="26" t="s">
        <v>2542</v>
      </c>
    </row>
    <row r="1559">
      <c r="A1559" s="27">
        <v>45701.0</v>
      </c>
      <c r="B1559" s="26" t="s">
        <v>3991</v>
      </c>
      <c r="C1559" s="26" t="s">
        <v>2764</v>
      </c>
      <c r="D1559" s="26">
        <v>6000000.0</v>
      </c>
      <c r="F1559" s="26" t="s">
        <v>2542</v>
      </c>
      <c r="G1559" s="26">
        <v>6273.0</v>
      </c>
    </row>
    <row r="1560">
      <c r="A1560" s="27">
        <v>45701.0</v>
      </c>
      <c r="B1560" s="26" t="s">
        <v>3992</v>
      </c>
      <c r="C1560" s="26" t="s">
        <v>2561</v>
      </c>
      <c r="D1560" s="26">
        <v>1.5E8</v>
      </c>
      <c r="F1560" s="26" t="s">
        <v>2542</v>
      </c>
      <c r="G1560" s="26">
        <v>331.0</v>
      </c>
    </row>
    <row r="1561">
      <c r="A1561" s="27">
        <v>45701.0</v>
      </c>
      <c r="B1561" s="26" t="s">
        <v>3993</v>
      </c>
      <c r="C1561" s="26" t="s">
        <v>2561</v>
      </c>
      <c r="D1561" s="26">
        <v>2.357424E7</v>
      </c>
      <c r="F1561" s="26" t="s">
        <v>2542</v>
      </c>
      <c r="G1561" s="26">
        <v>331.0</v>
      </c>
    </row>
    <row r="1562">
      <c r="A1562" s="27">
        <v>45701.0</v>
      </c>
      <c r="B1562" s="26" t="s">
        <v>3994</v>
      </c>
      <c r="C1562" s="26" t="s">
        <v>2564</v>
      </c>
      <c r="D1562" s="26" t="s">
        <v>3995</v>
      </c>
      <c r="F1562" s="26" t="s">
        <v>2542</v>
      </c>
      <c r="G1562" s="26">
        <v>3333.0</v>
      </c>
    </row>
    <row r="1563">
      <c r="A1563" s="27">
        <v>45701.0</v>
      </c>
      <c r="B1563" s="26" t="s">
        <v>3994</v>
      </c>
      <c r="C1563" s="26" t="s">
        <v>2564</v>
      </c>
      <c r="D1563" s="26">
        <v>50.0</v>
      </c>
      <c r="F1563" s="26" t="s">
        <v>2542</v>
      </c>
      <c r="G1563" s="26">
        <v>6425.0</v>
      </c>
    </row>
    <row r="1564">
      <c r="A1564" s="27">
        <v>45701.0</v>
      </c>
      <c r="B1564" s="26" t="s">
        <v>3994</v>
      </c>
      <c r="C1564" s="26" t="s">
        <v>2564</v>
      </c>
      <c r="D1564" s="26" t="s">
        <v>3996</v>
      </c>
      <c r="F1564" s="26" t="s">
        <v>2542</v>
      </c>
      <c r="G1564" s="26">
        <v>33312.0</v>
      </c>
    </row>
    <row r="1565">
      <c r="A1565" s="27">
        <v>45701.0</v>
      </c>
      <c r="B1565" s="26" t="s">
        <v>3997</v>
      </c>
      <c r="C1565" s="26" t="s">
        <v>2561</v>
      </c>
      <c r="D1565" s="26">
        <v>1500000.0</v>
      </c>
      <c r="F1565" s="26" t="s">
        <v>2542</v>
      </c>
      <c r="G1565" s="26">
        <v>331.0</v>
      </c>
    </row>
    <row r="1566">
      <c r="A1566" s="27">
        <v>45701.0</v>
      </c>
      <c r="B1566" s="26" t="s">
        <v>3998</v>
      </c>
      <c r="C1566" s="26" t="s">
        <v>2593</v>
      </c>
      <c r="D1566" s="26">
        <v>338000.0</v>
      </c>
      <c r="F1566" s="26" t="s">
        <v>2542</v>
      </c>
      <c r="G1566" s="26">
        <v>6423.0</v>
      </c>
    </row>
    <row r="1567">
      <c r="A1567" s="27">
        <v>45701.0</v>
      </c>
      <c r="B1567" s="26" t="s">
        <v>3999</v>
      </c>
      <c r="C1567" s="26" t="s">
        <v>2561</v>
      </c>
      <c r="D1567" s="26">
        <v>7700000.0</v>
      </c>
      <c r="F1567" s="26" t="s">
        <v>2542</v>
      </c>
      <c r="G1567" s="26">
        <v>331.0</v>
      </c>
    </row>
    <row r="1568">
      <c r="A1568" s="27">
        <v>45700.0</v>
      </c>
      <c r="B1568" s="26" t="s">
        <v>4000</v>
      </c>
      <c r="C1568" s="26" t="s">
        <v>255</v>
      </c>
      <c r="D1568" s="26">
        <v>6210000.0</v>
      </c>
      <c r="F1568" s="26" t="s">
        <v>2542</v>
      </c>
    </row>
    <row r="1569">
      <c r="A1569" s="27">
        <v>45700.0</v>
      </c>
      <c r="B1569" s="26" t="s">
        <v>4001</v>
      </c>
      <c r="C1569" s="26" t="s">
        <v>255</v>
      </c>
      <c r="D1569" s="26">
        <v>2160000.0</v>
      </c>
      <c r="F1569" s="26" t="s">
        <v>2542</v>
      </c>
    </row>
    <row r="1570">
      <c r="A1570" s="27">
        <v>45700.0</v>
      </c>
      <c r="B1570" s="26" t="s">
        <v>4002</v>
      </c>
      <c r="C1570" s="26" t="s">
        <v>255</v>
      </c>
      <c r="D1570" s="26">
        <v>4320000.0</v>
      </c>
      <c r="F1570" s="26" t="s">
        <v>2542</v>
      </c>
    </row>
    <row r="1571">
      <c r="A1571" s="27">
        <v>45700.0</v>
      </c>
      <c r="B1571" s="26" t="s">
        <v>4003</v>
      </c>
      <c r="C1571" s="26" t="s">
        <v>255</v>
      </c>
      <c r="D1571" s="26">
        <v>1080000.0</v>
      </c>
      <c r="F1571" s="26" t="s">
        <v>2542</v>
      </c>
    </row>
    <row r="1572">
      <c r="A1572" s="27">
        <v>45700.0</v>
      </c>
      <c r="B1572" s="26" t="s">
        <v>4004</v>
      </c>
      <c r="C1572" s="26" t="s">
        <v>255</v>
      </c>
      <c r="D1572" s="26">
        <v>1773200.0</v>
      </c>
      <c r="F1572" s="26" t="s">
        <v>2542</v>
      </c>
    </row>
    <row r="1573">
      <c r="A1573" s="27">
        <v>45700.0</v>
      </c>
      <c r="B1573" s="26" t="s">
        <v>4005</v>
      </c>
      <c r="C1573" s="26" t="s">
        <v>255</v>
      </c>
      <c r="D1573" s="26">
        <v>1568000.0</v>
      </c>
      <c r="F1573" s="26" t="s">
        <v>2542</v>
      </c>
    </row>
    <row r="1574">
      <c r="A1574" s="27">
        <v>45700.0</v>
      </c>
      <c r="B1574" s="26" t="s">
        <v>4006</v>
      </c>
      <c r="C1574" s="26" t="s">
        <v>255</v>
      </c>
      <c r="D1574" s="26">
        <v>1080000.0</v>
      </c>
      <c r="F1574" s="26" t="s">
        <v>2542</v>
      </c>
    </row>
    <row r="1575">
      <c r="A1575" s="27">
        <v>45700.0</v>
      </c>
      <c r="B1575" s="26" t="s">
        <v>4007</v>
      </c>
      <c r="C1575" s="26" t="s">
        <v>255</v>
      </c>
      <c r="D1575" s="26">
        <v>3780000.0</v>
      </c>
      <c r="F1575" s="26" t="s">
        <v>2542</v>
      </c>
    </row>
    <row r="1576">
      <c r="A1576" s="27">
        <v>45700.0</v>
      </c>
      <c r="B1576" s="26" t="s">
        <v>4008</v>
      </c>
      <c r="C1576" s="26" t="s">
        <v>255</v>
      </c>
      <c r="D1576" s="26">
        <v>2160000.0</v>
      </c>
      <c r="F1576" s="26" t="s">
        <v>2542</v>
      </c>
    </row>
    <row r="1577">
      <c r="A1577" s="27">
        <v>45700.0</v>
      </c>
      <c r="B1577" s="26" t="s">
        <v>4009</v>
      </c>
      <c r="C1577" s="26" t="s">
        <v>255</v>
      </c>
      <c r="D1577" s="26">
        <v>9720000.0</v>
      </c>
      <c r="F1577" s="26" t="s">
        <v>2542</v>
      </c>
    </row>
    <row r="1578">
      <c r="A1578" s="27">
        <v>45700.0</v>
      </c>
      <c r="B1578" s="26" t="s">
        <v>4010</v>
      </c>
      <c r="C1578" s="26" t="s">
        <v>255</v>
      </c>
      <c r="D1578" s="26">
        <v>1568000.0</v>
      </c>
      <c r="F1578" s="26" t="s">
        <v>2542</v>
      </c>
    </row>
    <row r="1579">
      <c r="A1579" s="27">
        <v>45700.0</v>
      </c>
      <c r="B1579" s="26" t="s">
        <v>4011</v>
      </c>
      <c r="C1579" s="26" t="s">
        <v>255</v>
      </c>
      <c r="D1579" s="26">
        <v>3195000.0</v>
      </c>
      <c r="F1579" s="26" t="s">
        <v>2542</v>
      </c>
    </row>
    <row r="1580">
      <c r="A1580" s="27">
        <v>45700.0</v>
      </c>
      <c r="B1580" s="26" t="s">
        <v>4012</v>
      </c>
      <c r="C1580" s="26" t="s">
        <v>2571</v>
      </c>
      <c r="D1580" s="26">
        <v>420000.0</v>
      </c>
      <c r="F1580" s="26" t="s">
        <v>2542</v>
      </c>
      <c r="G1580" s="26">
        <v>641.12</v>
      </c>
    </row>
    <row r="1581">
      <c r="A1581" s="27">
        <v>45700.0</v>
      </c>
      <c r="B1581" s="26" t="s">
        <v>4013</v>
      </c>
      <c r="C1581" s="26" t="s">
        <v>2571</v>
      </c>
      <c r="D1581" s="26">
        <v>597652.0</v>
      </c>
      <c r="F1581" s="26" t="s">
        <v>2542</v>
      </c>
      <c r="G1581" s="26">
        <v>641.22</v>
      </c>
    </row>
    <row r="1582">
      <c r="A1582" s="27">
        <v>45700.0</v>
      </c>
      <c r="B1582" s="26" t="s">
        <v>4013</v>
      </c>
      <c r="C1582" s="26" t="s">
        <v>2593</v>
      </c>
      <c r="D1582" s="26">
        <v>59000.0</v>
      </c>
      <c r="F1582" s="26" t="s">
        <v>2542</v>
      </c>
      <c r="G1582" s="26">
        <v>6423.0</v>
      </c>
    </row>
    <row r="1583">
      <c r="A1583" s="27">
        <v>45699.0</v>
      </c>
      <c r="B1583" s="26" t="s">
        <v>4014</v>
      </c>
      <c r="C1583" s="26" t="s">
        <v>255</v>
      </c>
      <c r="D1583" s="26">
        <v>8170000.0</v>
      </c>
      <c r="F1583" s="26" t="s">
        <v>2542</v>
      </c>
    </row>
    <row r="1584">
      <c r="A1584" s="27">
        <v>45699.0</v>
      </c>
      <c r="B1584" s="26" t="s">
        <v>4015</v>
      </c>
      <c r="C1584" s="26" t="s">
        <v>255</v>
      </c>
      <c r="D1584" s="26">
        <v>2400000.0</v>
      </c>
      <c r="F1584" s="26" t="s">
        <v>2542</v>
      </c>
    </row>
    <row r="1585">
      <c r="A1585" s="27">
        <v>45699.0</v>
      </c>
      <c r="B1585" s="26" t="s">
        <v>4016</v>
      </c>
      <c r="C1585" s="26" t="s">
        <v>255</v>
      </c>
      <c r="D1585" s="26">
        <v>8950000.0</v>
      </c>
      <c r="F1585" s="26" t="s">
        <v>2542</v>
      </c>
    </row>
    <row r="1586">
      <c r="A1586" s="27">
        <v>45699.0</v>
      </c>
      <c r="B1586" s="26" t="s">
        <v>4017</v>
      </c>
      <c r="C1586" s="26" t="s">
        <v>2561</v>
      </c>
      <c r="D1586" s="26">
        <v>3600000.0</v>
      </c>
      <c r="F1586" s="26" t="s">
        <v>2542</v>
      </c>
      <c r="G1586" s="26">
        <v>331.0</v>
      </c>
    </row>
    <row r="1587">
      <c r="A1587" s="27">
        <v>45699.0</v>
      </c>
      <c r="B1587" s="26" t="s">
        <v>4018</v>
      </c>
      <c r="C1587" s="26" t="s">
        <v>2764</v>
      </c>
      <c r="D1587" s="26">
        <v>1.0E7</v>
      </c>
      <c r="F1587" s="26" t="s">
        <v>2542</v>
      </c>
      <c r="G1587" s="26">
        <v>6273.0</v>
      </c>
    </row>
    <row r="1588">
      <c r="A1588" s="27">
        <v>45699.0</v>
      </c>
      <c r="B1588" s="26" t="s">
        <v>4019</v>
      </c>
      <c r="C1588" s="26" t="s">
        <v>2545</v>
      </c>
      <c r="D1588" s="26">
        <v>8600000.0</v>
      </c>
      <c r="F1588" s="26" t="s">
        <v>2542</v>
      </c>
      <c r="G1588" s="26">
        <v>3341.0</v>
      </c>
    </row>
    <row r="1589">
      <c r="A1589" s="27">
        <v>45699.0</v>
      </c>
      <c r="B1589" s="26" t="s">
        <v>4020</v>
      </c>
      <c r="C1589" s="26" t="s">
        <v>2545</v>
      </c>
      <c r="D1589" s="26">
        <v>2140000.0</v>
      </c>
      <c r="F1589" s="26" t="s">
        <v>2542</v>
      </c>
      <c r="G1589" s="26">
        <v>3341.0</v>
      </c>
    </row>
    <row r="1590">
      <c r="A1590" s="27">
        <v>45699.0</v>
      </c>
      <c r="B1590" s="26" t="s">
        <v>4021</v>
      </c>
      <c r="C1590" s="26" t="s">
        <v>2545</v>
      </c>
      <c r="D1590" s="26">
        <v>3160000.0</v>
      </c>
      <c r="F1590" s="26" t="s">
        <v>2542</v>
      </c>
      <c r="G1590" s="26">
        <v>3341.0</v>
      </c>
    </row>
    <row r="1591">
      <c r="A1591" s="27">
        <v>45699.0</v>
      </c>
      <c r="B1591" s="26" t="s">
        <v>4022</v>
      </c>
      <c r="C1591" s="26" t="s">
        <v>2545</v>
      </c>
      <c r="D1591" s="26">
        <v>4000000.0</v>
      </c>
      <c r="F1591" s="26" t="s">
        <v>2542</v>
      </c>
      <c r="G1591" s="26">
        <v>3341.0</v>
      </c>
    </row>
    <row r="1592">
      <c r="A1592" s="27">
        <v>45699.0</v>
      </c>
      <c r="B1592" s="26" t="s">
        <v>4023</v>
      </c>
      <c r="C1592" s="26" t="s">
        <v>2545</v>
      </c>
      <c r="D1592" s="26">
        <v>5853000.0</v>
      </c>
      <c r="F1592" s="26" t="s">
        <v>2542</v>
      </c>
      <c r="G1592" s="26">
        <v>3341.0</v>
      </c>
    </row>
    <row r="1593">
      <c r="A1593" s="27">
        <v>45698.0</v>
      </c>
      <c r="B1593" s="26" t="s">
        <v>4024</v>
      </c>
      <c r="C1593" s="26" t="s">
        <v>255</v>
      </c>
      <c r="D1593" s="26">
        <v>8243750.0</v>
      </c>
      <c r="F1593" s="26" t="s">
        <v>2542</v>
      </c>
    </row>
    <row r="1594">
      <c r="A1594" s="27">
        <v>45698.0</v>
      </c>
      <c r="B1594" s="26" t="s">
        <v>4025</v>
      </c>
      <c r="C1594" s="26" t="s">
        <v>255</v>
      </c>
      <c r="D1594" s="26">
        <v>2900000.0</v>
      </c>
      <c r="F1594" s="26" t="s">
        <v>2542</v>
      </c>
    </row>
    <row r="1595">
      <c r="A1595" s="27">
        <v>45698.0</v>
      </c>
      <c r="B1595" s="26" t="s">
        <v>4026</v>
      </c>
      <c r="C1595" s="26" t="s">
        <v>255</v>
      </c>
      <c r="D1595" s="26">
        <v>1.1385E7</v>
      </c>
      <c r="F1595" s="26" t="s">
        <v>2542</v>
      </c>
    </row>
    <row r="1596">
      <c r="A1596" s="27">
        <v>45698.0</v>
      </c>
      <c r="B1596" s="26" t="s">
        <v>4027</v>
      </c>
      <c r="C1596" s="26" t="s">
        <v>255</v>
      </c>
      <c r="D1596" s="26">
        <v>8240000.0</v>
      </c>
      <c r="F1596" s="26" t="s">
        <v>2542</v>
      </c>
    </row>
    <row r="1597">
      <c r="A1597" s="27">
        <v>45698.0</v>
      </c>
      <c r="B1597" s="26" t="s">
        <v>4028</v>
      </c>
      <c r="C1597" s="26" t="s">
        <v>255</v>
      </c>
      <c r="D1597" s="26">
        <v>8640000.0</v>
      </c>
      <c r="F1597" s="26" t="s">
        <v>2542</v>
      </c>
    </row>
    <row r="1598">
      <c r="A1598" s="27">
        <v>45698.0</v>
      </c>
      <c r="B1598" s="26" t="s">
        <v>4029</v>
      </c>
      <c r="C1598" s="26" t="s">
        <v>255</v>
      </c>
      <c r="D1598" s="26">
        <v>3480000.0</v>
      </c>
      <c r="F1598" s="26" t="s">
        <v>2542</v>
      </c>
    </row>
    <row r="1599">
      <c r="A1599" s="27">
        <v>45698.0</v>
      </c>
      <c r="B1599" s="26" t="s">
        <v>4030</v>
      </c>
      <c r="C1599" s="26" t="s">
        <v>255</v>
      </c>
      <c r="D1599" s="26">
        <v>3657500.0</v>
      </c>
      <c r="F1599" s="26" t="s">
        <v>2542</v>
      </c>
    </row>
    <row r="1600">
      <c r="A1600" s="27">
        <v>45698.0</v>
      </c>
      <c r="B1600" s="26" t="s">
        <v>4031</v>
      </c>
      <c r="C1600" s="26" t="s">
        <v>2561</v>
      </c>
      <c r="D1600" s="26">
        <v>2160000.0</v>
      </c>
      <c r="F1600" s="26" t="s">
        <v>2542</v>
      </c>
      <c r="G1600" s="26">
        <v>331.0</v>
      </c>
    </row>
    <row r="1601">
      <c r="A1601" s="27">
        <v>45697.0</v>
      </c>
      <c r="B1601" s="26" t="s">
        <v>2702</v>
      </c>
      <c r="C1601" s="26" t="s">
        <v>255</v>
      </c>
      <c r="D1601" s="26">
        <v>1080000.0</v>
      </c>
      <c r="F1601" s="26" t="s">
        <v>2542</v>
      </c>
    </row>
    <row r="1602">
      <c r="A1602" s="27">
        <v>45697.0</v>
      </c>
      <c r="B1602" s="26" t="s">
        <v>4032</v>
      </c>
      <c r="C1602" s="26" t="s">
        <v>255</v>
      </c>
      <c r="D1602" s="26">
        <v>1.79504E7</v>
      </c>
      <c r="F1602" s="26" t="s">
        <v>2542</v>
      </c>
    </row>
    <row r="1603">
      <c r="A1603" s="27">
        <v>45697.0</v>
      </c>
      <c r="B1603" s="26" t="s">
        <v>4033</v>
      </c>
      <c r="C1603" s="26" t="s">
        <v>2561</v>
      </c>
      <c r="D1603" s="26">
        <v>1.2399912E7</v>
      </c>
      <c r="F1603" s="26" t="s">
        <v>2542</v>
      </c>
      <c r="G1603" s="26">
        <v>331.0</v>
      </c>
    </row>
    <row r="1604">
      <c r="A1604" s="27">
        <v>45696.0</v>
      </c>
      <c r="B1604" s="26" t="s">
        <v>4034</v>
      </c>
      <c r="C1604" s="26" t="s">
        <v>255</v>
      </c>
      <c r="D1604" s="26">
        <v>4.503632E7</v>
      </c>
      <c r="F1604" s="26" t="s">
        <v>2542</v>
      </c>
    </row>
    <row r="1605">
      <c r="A1605" s="27">
        <v>45696.0</v>
      </c>
      <c r="B1605" s="26" t="s">
        <v>4035</v>
      </c>
      <c r="C1605" s="26" t="s">
        <v>255</v>
      </c>
      <c r="D1605" s="26">
        <v>2760000.0</v>
      </c>
      <c r="F1605" s="26" t="s">
        <v>2542</v>
      </c>
    </row>
    <row r="1606">
      <c r="A1606" s="27">
        <v>45696.0</v>
      </c>
      <c r="B1606" s="26" t="s">
        <v>4036</v>
      </c>
      <c r="C1606" s="26" t="s">
        <v>255</v>
      </c>
      <c r="D1606" s="26">
        <v>1920000.0</v>
      </c>
      <c r="F1606" s="26" t="s">
        <v>2542</v>
      </c>
    </row>
    <row r="1607">
      <c r="A1607" s="27">
        <v>45696.0</v>
      </c>
      <c r="B1607" s="26" t="s">
        <v>4037</v>
      </c>
      <c r="C1607" s="26" t="s">
        <v>255</v>
      </c>
      <c r="D1607" s="26">
        <v>540000.0</v>
      </c>
      <c r="F1607" s="26" t="s">
        <v>2542</v>
      </c>
    </row>
    <row r="1608">
      <c r="A1608" s="27">
        <v>45696.0</v>
      </c>
      <c r="B1608" s="26" t="s">
        <v>4038</v>
      </c>
      <c r="C1608" s="26" t="s">
        <v>255</v>
      </c>
      <c r="D1608" s="26">
        <v>1.646E7</v>
      </c>
      <c r="F1608" s="26" t="s">
        <v>2542</v>
      </c>
    </row>
    <row r="1609">
      <c r="A1609" s="27">
        <v>45696.0</v>
      </c>
      <c r="B1609" s="26" t="s">
        <v>4039</v>
      </c>
      <c r="C1609" s="26" t="s">
        <v>255</v>
      </c>
      <c r="D1609" s="26">
        <v>2400000.0</v>
      </c>
      <c r="F1609" s="26" t="s">
        <v>2542</v>
      </c>
    </row>
    <row r="1610">
      <c r="A1610" s="27">
        <v>45696.0</v>
      </c>
      <c r="B1610" s="26" t="s">
        <v>4040</v>
      </c>
      <c r="C1610" s="26" t="s">
        <v>255</v>
      </c>
      <c r="D1610" s="26">
        <v>9528000.0</v>
      </c>
      <c r="F1610" s="26" t="s">
        <v>2542</v>
      </c>
    </row>
    <row r="1611">
      <c r="A1611" s="27">
        <v>45696.0</v>
      </c>
      <c r="B1611" s="26" t="s">
        <v>4041</v>
      </c>
      <c r="C1611" s="26" t="s">
        <v>255</v>
      </c>
      <c r="D1611" s="26">
        <v>2475000.0</v>
      </c>
      <c r="F1611" s="26" t="s">
        <v>2542</v>
      </c>
    </row>
    <row r="1612">
      <c r="A1612" s="27">
        <v>45696.0</v>
      </c>
      <c r="B1612" s="26" t="s">
        <v>4042</v>
      </c>
      <c r="C1612" s="26" t="s">
        <v>255</v>
      </c>
      <c r="D1612" s="26">
        <v>275000.0</v>
      </c>
      <c r="F1612" s="26" t="s">
        <v>2542</v>
      </c>
    </row>
    <row r="1613">
      <c r="A1613" s="27">
        <v>45696.0</v>
      </c>
      <c r="B1613" s="26" t="s">
        <v>4043</v>
      </c>
      <c r="C1613" s="26" t="s">
        <v>2545</v>
      </c>
      <c r="D1613" s="26">
        <v>7000000.0</v>
      </c>
      <c r="F1613" s="26" t="s">
        <v>2542</v>
      </c>
      <c r="G1613" s="26">
        <v>3341.0</v>
      </c>
    </row>
    <row r="1614">
      <c r="A1614" s="27">
        <v>45696.0</v>
      </c>
      <c r="B1614" s="26" t="s">
        <v>4044</v>
      </c>
      <c r="C1614" s="26" t="s">
        <v>2545</v>
      </c>
      <c r="D1614" s="26">
        <v>1.0E7</v>
      </c>
      <c r="F1614" s="26" t="s">
        <v>2542</v>
      </c>
      <c r="G1614" s="26">
        <v>3348.0</v>
      </c>
    </row>
    <row r="1615">
      <c r="A1615" s="27">
        <v>45696.0</v>
      </c>
      <c r="B1615" s="26" t="s">
        <v>4045</v>
      </c>
      <c r="C1615" s="26" t="s">
        <v>2545</v>
      </c>
      <c r="D1615" s="26">
        <v>4895000.0</v>
      </c>
      <c r="F1615" s="26" t="s">
        <v>2542</v>
      </c>
      <c r="G1615" s="26">
        <v>3341.0</v>
      </c>
    </row>
    <row r="1616">
      <c r="A1616" s="27">
        <v>45696.0</v>
      </c>
      <c r="B1616" s="26" t="s">
        <v>4046</v>
      </c>
      <c r="C1616" s="26" t="s">
        <v>2545</v>
      </c>
      <c r="D1616" s="26">
        <v>4000000.0</v>
      </c>
      <c r="F1616" s="26" t="s">
        <v>2542</v>
      </c>
      <c r="G1616" s="26">
        <v>3341.0</v>
      </c>
    </row>
    <row r="1617">
      <c r="A1617" s="27">
        <v>45695.0</v>
      </c>
      <c r="B1617" s="26" t="s">
        <v>4047</v>
      </c>
      <c r="C1617" s="26" t="s">
        <v>255</v>
      </c>
      <c r="D1617" s="26">
        <v>1.304E7</v>
      </c>
      <c r="F1617" s="26" t="s">
        <v>2542</v>
      </c>
    </row>
    <row r="1618">
      <c r="A1618" s="27">
        <v>45695.0</v>
      </c>
      <c r="B1618" s="26" t="s">
        <v>4048</v>
      </c>
      <c r="C1618" s="26" t="s">
        <v>255</v>
      </c>
      <c r="D1618" s="26">
        <v>1080000.0</v>
      </c>
      <c r="F1618" s="26" t="s">
        <v>2542</v>
      </c>
    </row>
    <row r="1619">
      <c r="A1619" s="27">
        <v>45695.0</v>
      </c>
      <c r="B1619" s="26" t="s">
        <v>4049</v>
      </c>
      <c r="C1619" s="26" t="s">
        <v>255</v>
      </c>
      <c r="D1619" s="26">
        <v>2160000.0</v>
      </c>
      <c r="F1619" s="26" t="s">
        <v>2542</v>
      </c>
    </row>
    <row r="1620">
      <c r="A1620" s="27">
        <v>45695.0</v>
      </c>
      <c r="B1620" s="26" t="s">
        <v>4050</v>
      </c>
      <c r="C1620" s="26" t="s">
        <v>2571</v>
      </c>
      <c r="D1620" s="26">
        <v>655000.0</v>
      </c>
      <c r="F1620" s="26" t="s">
        <v>2542</v>
      </c>
      <c r="G1620" s="26">
        <v>641.22</v>
      </c>
    </row>
    <row r="1621">
      <c r="A1621" s="27">
        <v>45693.0</v>
      </c>
      <c r="B1621" s="26" t="s">
        <v>4051</v>
      </c>
      <c r="C1621" s="26" t="s">
        <v>255</v>
      </c>
      <c r="D1621" s="26">
        <v>3050000.0</v>
      </c>
      <c r="F1621" s="26" t="s">
        <v>2542</v>
      </c>
    </row>
    <row r="1622">
      <c r="A1622" s="27">
        <v>45693.0</v>
      </c>
      <c r="B1622" s="26" t="s">
        <v>4052</v>
      </c>
      <c r="C1622" s="26" t="s">
        <v>255</v>
      </c>
      <c r="D1622" s="26">
        <v>5000000.0</v>
      </c>
      <c r="F1622" s="26" t="s">
        <v>2542</v>
      </c>
    </row>
    <row r="1623">
      <c r="A1623" s="27">
        <v>45693.0</v>
      </c>
      <c r="B1623" s="26" t="s">
        <v>3244</v>
      </c>
      <c r="C1623" s="26" t="s">
        <v>255</v>
      </c>
      <c r="D1623" s="26">
        <v>1080000.0</v>
      </c>
      <c r="F1623" s="26" t="s">
        <v>2542</v>
      </c>
    </row>
    <row r="1624">
      <c r="A1624" s="27">
        <v>45693.0</v>
      </c>
      <c r="B1624" s="26" t="s">
        <v>4053</v>
      </c>
      <c r="C1624" s="26" t="s">
        <v>255</v>
      </c>
      <c r="D1624" s="26">
        <v>2400000.0</v>
      </c>
      <c r="F1624" s="26" t="s">
        <v>2542</v>
      </c>
    </row>
    <row r="1625">
      <c r="A1625" s="27">
        <v>45693.0</v>
      </c>
      <c r="B1625" s="26" t="s">
        <v>4054</v>
      </c>
      <c r="C1625" s="26" t="s">
        <v>255</v>
      </c>
      <c r="D1625" s="26">
        <v>1.5215E7</v>
      </c>
      <c r="F1625" s="26" t="s">
        <v>2542</v>
      </c>
    </row>
    <row r="1626">
      <c r="A1626" s="27">
        <v>45693.0</v>
      </c>
      <c r="B1626" s="26" t="s">
        <v>4055</v>
      </c>
      <c r="C1626" s="26" t="s">
        <v>255</v>
      </c>
      <c r="D1626" s="26">
        <v>2.48655E7</v>
      </c>
      <c r="F1626" s="26" t="s">
        <v>2542</v>
      </c>
    </row>
    <row r="1627">
      <c r="A1627" s="27">
        <v>45693.0</v>
      </c>
      <c r="B1627" s="26" t="s">
        <v>4056</v>
      </c>
      <c r="C1627" s="28"/>
      <c r="D1627" s="26">
        <v>335016.0</v>
      </c>
      <c r="F1627" s="26" t="s">
        <v>2542</v>
      </c>
    </row>
    <row r="1628">
      <c r="A1628" s="27">
        <v>45693.0</v>
      </c>
      <c r="B1628" s="26" t="s">
        <v>4056</v>
      </c>
      <c r="C1628" s="26" t="s">
        <v>2583</v>
      </c>
      <c r="D1628" s="26">
        <v>4187700.0</v>
      </c>
      <c r="F1628" s="26" t="s">
        <v>2542</v>
      </c>
      <c r="G1628" s="26">
        <v>641.27</v>
      </c>
    </row>
    <row r="1629">
      <c r="A1629" s="27">
        <v>45692.0</v>
      </c>
      <c r="B1629" s="26" t="s">
        <v>4057</v>
      </c>
      <c r="C1629" s="26" t="s">
        <v>255</v>
      </c>
      <c r="D1629" s="26">
        <v>3000000.0</v>
      </c>
      <c r="F1629" s="26" t="s">
        <v>2542</v>
      </c>
    </row>
    <row r="1630">
      <c r="A1630" s="27">
        <v>45691.0</v>
      </c>
      <c r="B1630" s="26" t="s">
        <v>4058</v>
      </c>
      <c r="C1630" s="26" t="s">
        <v>255</v>
      </c>
      <c r="D1630" s="26">
        <v>8400000.0</v>
      </c>
      <c r="F1630" s="26" t="s">
        <v>2542</v>
      </c>
    </row>
    <row r="1631">
      <c r="A1631" s="27">
        <v>45691.0</v>
      </c>
      <c r="B1631" s="26" t="s">
        <v>4058</v>
      </c>
      <c r="C1631" s="26" t="s">
        <v>255</v>
      </c>
      <c r="D1631" s="26">
        <v>8000000.0</v>
      </c>
      <c r="F1631" s="26" t="s">
        <v>2542</v>
      </c>
    </row>
    <row r="1632">
      <c r="A1632" s="27">
        <v>45691.0</v>
      </c>
      <c r="B1632" s="26" t="s">
        <v>4059</v>
      </c>
      <c r="C1632" s="26" t="s">
        <v>255</v>
      </c>
      <c r="D1632" s="26">
        <v>1875000.0</v>
      </c>
      <c r="F1632" s="26" t="s">
        <v>2542</v>
      </c>
    </row>
    <row r="1633">
      <c r="A1633" s="27">
        <v>45691.0</v>
      </c>
      <c r="B1633" s="26" t="s">
        <v>4060</v>
      </c>
      <c r="C1633" s="26" t="s">
        <v>255</v>
      </c>
      <c r="D1633" s="26">
        <v>1650000.0</v>
      </c>
      <c r="F1633" s="26" t="s">
        <v>2542</v>
      </c>
    </row>
    <row r="1634">
      <c r="A1634" s="27">
        <v>45691.0</v>
      </c>
      <c r="B1634" s="26" t="s">
        <v>4061</v>
      </c>
      <c r="C1634" s="26" t="s">
        <v>255</v>
      </c>
      <c r="D1634" s="26">
        <v>1080000.0</v>
      </c>
      <c r="F1634" s="26" t="s">
        <v>2542</v>
      </c>
    </row>
    <row r="1635">
      <c r="A1635" s="27">
        <v>45691.0</v>
      </c>
      <c r="B1635" s="26" t="s">
        <v>4062</v>
      </c>
      <c r="C1635" s="26" t="s">
        <v>2593</v>
      </c>
      <c r="D1635" s="26">
        <v>314000.0</v>
      </c>
      <c r="F1635" s="26" t="s">
        <v>2542</v>
      </c>
      <c r="G1635" s="26">
        <v>6423.0</v>
      </c>
    </row>
    <row r="1636">
      <c r="A1636" s="27">
        <v>45689.0</v>
      </c>
      <c r="B1636" s="26" t="s">
        <v>4063</v>
      </c>
      <c r="C1636" s="26" t="s">
        <v>255</v>
      </c>
      <c r="D1636" s="26">
        <v>1450000.0</v>
      </c>
      <c r="F1636" s="26" t="s">
        <v>2542</v>
      </c>
    </row>
    <row r="1637">
      <c r="A1637" s="27">
        <v>45685.0</v>
      </c>
      <c r="B1637" s="26" t="s">
        <v>4064</v>
      </c>
      <c r="C1637" s="26" t="s">
        <v>2545</v>
      </c>
      <c r="D1637" s="26">
        <v>1.0E7</v>
      </c>
      <c r="F1637" s="26" t="s">
        <v>2542</v>
      </c>
      <c r="G1637" s="26">
        <v>3341.0</v>
      </c>
    </row>
    <row r="1638">
      <c r="A1638" s="27">
        <v>45683.0</v>
      </c>
      <c r="B1638" s="26" t="s">
        <v>4065</v>
      </c>
      <c r="C1638" s="26" t="s">
        <v>2545</v>
      </c>
      <c r="D1638" s="26">
        <v>6000000.0</v>
      </c>
      <c r="F1638" s="26" t="s">
        <v>2542</v>
      </c>
      <c r="G1638" s="26">
        <v>3341.0</v>
      </c>
    </row>
    <row r="1639">
      <c r="A1639" s="27">
        <v>45682.0</v>
      </c>
      <c r="B1639" s="26" t="s">
        <v>4066</v>
      </c>
      <c r="C1639" s="26" t="s">
        <v>255</v>
      </c>
      <c r="D1639" s="26">
        <v>1.62E7</v>
      </c>
      <c r="F1639" s="26" t="s">
        <v>2542</v>
      </c>
    </row>
    <row r="1640">
      <c r="A1640" s="27">
        <v>45682.0</v>
      </c>
      <c r="B1640" s="26" t="s">
        <v>4067</v>
      </c>
      <c r="C1640" s="26" t="s">
        <v>255</v>
      </c>
      <c r="D1640" s="26">
        <v>3240000.0</v>
      </c>
      <c r="F1640" s="26" t="s">
        <v>2542</v>
      </c>
    </row>
    <row r="1641">
      <c r="A1641" s="27">
        <v>45682.0</v>
      </c>
      <c r="B1641" s="26" t="s">
        <v>4068</v>
      </c>
      <c r="C1641" s="26" t="s">
        <v>255</v>
      </c>
      <c r="D1641" s="26">
        <v>1875000.0</v>
      </c>
      <c r="F1641" s="26" t="s">
        <v>2542</v>
      </c>
    </row>
    <row r="1642">
      <c r="A1642" s="27">
        <v>45682.0</v>
      </c>
      <c r="B1642" s="26" t="s">
        <v>4069</v>
      </c>
      <c r="C1642" s="26" t="s">
        <v>255</v>
      </c>
      <c r="D1642" s="26">
        <v>6333.0</v>
      </c>
      <c r="F1642" s="26" t="s">
        <v>2542</v>
      </c>
    </row>
    <row r="1643">
      <c r="A1643" s="27">
        <v>45682.0</v>
      </c>
      <c r="B1643" s="26" t="s">
        <v>4070</v>
      </c>
      <c r="C1643" s="26" t="s">
        <v>2764</v>
      </c>
      <c r="D1643" s="26">
        <v>8080000.0</v>
      </c>
      <c r="F1643" s="26" t="s">
        <v>2542</v>
      </c>
      <c r="G1643" s="26">
        <v>6273.0</v>
      </c>
    </row>
    <row r="1644">
      <c r="A1644" s="27">
        <v>45682.0</v>
      </c>
      <c r="B1644" s="26" t="s">
        <v>4071</v>
      </c>
      <c r="C1644" s="26" t="s">
        <v>2545</v>
      </c>
      <c r="D1644" s="26">
        <v>2.0E7</v>
      </c>
      <c r="F1644" s="26" t="s">
        <v>2542</v>
      </c>
      <c r="G1644" s="26">
        <v>3341.0</v>
      </c>
    </row>
    <row r="1645">
      <c r="A1645" s="27">
        <v>45682.0</v>
      </c>
      <c r="B1645" s="26" t="s">
        <v>4072</v>
      </c>
      <c r="C1645" s="26" t="s">
        <v>2545</v>
      </c>
      <c r="D1645" s="26">
        <v>8000000.0</v>
      </c>
      <c r="F1645" s="26" t="s">
        <v>2542</v>
      </c>
      <c r="G1645" s="26">
        <v>3341.0</v>
      </c>
    </row>
    <row r="1646">
      <c r="A1646" s="27">
        <v>45682.0</v>
      </c>
      <c r="B1646" s="26" t="s">
        <v>4073</v>
      </c>
      <c r="C1646" s="26" t="s">
        <v>2574</v>
      </c>
      <c r="D1646" s="26">
        <v>8794000.0</v>
      </c>
      <c r="F1646" s="26" t="s">
        <v>2542</v>
      </c>
      <c r="G1646" s="26">
        <v>331.0</v>
      </c>
    </row>
    <row r="1647">
      <c r="A1647" s="27">
        <v>45682.0</v>
      </c>
      <c r="B1647" s="26" t="s">
        <v>4074</v>
      </c>
      <c r="C1647" s="26" t="s">
        <v>2545</v>
      </c>
      <c r="D1647" s="26">
        <v>6000000.0</v>
      </c>
      <c r="F1647" s="26" t="s">
        <v>2542</v>
      </c>
      <c r="G1647" s="26">
        <v>3341.0</v>
      </c>
    </row>
    <row r="1648">
      <c r="A1648" s="27">
        <v>45682.0</v>
      </c>
      <c r="B1648" s="26" t="s">
        <v>4075</v>
      </c>
      <c r="C1648" s="26" t="s">
        <v>2545</v>
      </c>
      <c r="D1648" s="26">
        <v>6000000.0</v>
      </c>
      <c r="F1648" s="26" t="s">
        <v>2542</v>
      </c>
      <c r="G1648" s="26">
        <v>3341.0</v>
      </c>
    </row>
    <row r="1649">
      <c r="A1649" s="27">
        <v>45682.0</v>
      </c>
      <c r="B1649" s="26" t="s">
        <v>4076</v>
      </c>
      <c r="C1649" s="26" t="s">
        <v>2561</v>
      </c>
      <c r="D1649" s="26" t="s">
        <v>4077</v>
      </c>
      <c r="F1649" s="26" t="s">
        <v>2542</v>
      </c>
      <c r="G1649" s="26">
        <v>632.1</v>
      </c>
    </row>
    <row r="1650">
      <c r="A1650" s="27">
        <v>45681.0</v>
      </c>
      <c r="B1650" s="26" t="s">
        <v>4078</v>
      </c>
      <c r="C1650" s="26" t="s">
        <v>255</v>
      </c>
      <c r="D1650" s="26">
        <v>4043000.0</v>
      </c>
      <c r="F1650" s="26" t="s">
        <v>2542</v>
      </c>
    </row>
    <row r="1651">
      <c r="A1651" s="27">
        <v>45681.0</v>
      </c>
      <c r="B1651" s="26" t="s">
        <v>2586</v>
      </c>
      <c r="C1651" s="26" t="s">
        <v>255</v>
      </c>
      <c r="D1651" s="26">
        <v>19028.0</v>
      </c>
      <c r="F1651" s="26" t="s">
        <v>2542</v>
      </c>
    </row>
    <row r="1652">
      <c r="A1652" s="27">
        <v>45681.0</v>
      </c>
      <c r="B1652" s="26" t="s">
        <v>4079</v>
      </c>
      <c r="C1652" s="26" t="s">
        <v>255</v>
      </c>
      <c r="D1652" s="26">
        <v>3701308.0</v>
      </c>
      <c r="F1652" s="26" t="s">
        <v>2542</v>
      </c>
    </row>
    <row r="1653">
      <c r="A1653" s="27">
        <v>45681.0</v>
      </c>
      <c r="B1653" s="26" t="s">
        <v>4080</v>
      </c>
      <c r="C1653" s="26" t="s">
        <v>255</v>
      </c>
      <c r="D1653" s="26">
        <v>5307500.0</v>
      </c>
      <c r="F1653" s="26" t="s">
        <v>2542</v>
      </c>
    </row>
    <row r="1654">
      <c r="A1654" s="27">
        <v>45681.0</v>
      </c>
      <c r="B1654" s="26" t="s">
        <v>4078</v>
      </c>
      <c r="C1654" s="28"/>
      <c r="D1654" s="26">
        <v>4043000.0</v>
      </c>
      <c r="F1654" s="26" t="s">
        <v>2542</v>
      </c>
    </row>
    <row r="1655">
      <c r="A1655" s="27">
        <v>45681.0</v>
      </c>
      <c r="B1655" s="26" t="s">
        <v>4081</v>
      </c>
      <c r="C1655" s="28"/>
      <c r="D1655" s="26">
        <v>1.62E7</v>
      </c>
      <c r="F1655" s="26" t="s">
        <v>2542</v>
      </c>
    </row>
    <row r="1656">
      <c r="A1656" s="27">
        <v>45681.0</v>
      </c>
      <c r="B1656" s="26" t="s">
        <v>4082</v>
      </c>
      <c r="C1656" s="26" t="s">
        <v>2561</v>
      </c>
      <c r="D1656" s="26">
        <v>5600000.0</v>
      </c>
      <c r="F1656" s="26" t="s">
        <v>2542</v>
      </c>
      <c r="G1656" s="26">
        <v>331.0</v>
      </c>
    </row>
    <row r="1657">
      <c r="A1657" s="27">
        <v>45680.0</v>
      </c>
      <c r="B1657" s="26" t="s">
        <v>4083</v>
      </c>
      <c r="C1657" s="26" t="s">
        <v>255</v>
      </c>
      <c r="D1657" s="26">
        <v>3325000.0</v>
      </c>
      <c r="F1657" s="26" t="s">
        <v>2542</v>
      </c>
    </row>
    <row r="1658">
      <c r="A1658" s="27">
        <v>45680.0</v>
      </c>
      <c r="B1658" s="26" t="s">
        <v>4084</v>
      </c>
      <c r="C1658" s="26" t="s">
        <v>255</v>
      </c>
      <c r="D1658" s="26">
        <v>1.0E7</v>
      </c>
      <c r="F1658" s="26" t="s">
        <v>2542</v>
      </c>
    </row>
    <row r="1659">
      <c r="A1659" s="27">
        <v>45680.0</v>
      </c>
      <c r="B1659" s="26" t="s">
        <v>4085</v>
      </c>
      <c r="C1659" s="26" t="s">
        <v>255</v>
      </c>
      <c r="D1659" s="26">
        <v>600000.0</v>
      </c>
      <c r="F1659" s="26" t="s">
        <v>2542</v>
      </c>
    </row>
    <row r="1660">
      <c r="A1660" s="27">
        <v>45680.0</v>
      </c>
      <c r="B1660" s="26" t="s">
        <v>4086</v>
      </c>
      <c r="C1660" s="26" t="s">
        <v>255</v>
      </c>
      <c r="D1660" s="26">
        <v>3190000.0</v>
      </c>
      <c r="F1660" s="26" t="s">
        <v>2542</v>
      </c>
    </row>
    <row r="1661">
      <c r="A1661" s="27">
        <v>45680.0</v>
      </c>
      <c r="B1661" s="26" t="s">
        <v>4087</v>
      </c>
      <c r="C1661" s="26" t="s">
        <v>3620</v>
      </c>
      <c r="D1661" s="26">
        <v>1829000.0</v>
      </c>
      <c r="F1661" s="26" t="s">
        <v>2542</v>
      </c>
      <c r="G1661" s="26">
        <v>6428.0</v>
      </c>
    </row>
    <row r="1662">
      <c r="A1662" s="27">
        <v>45679.0</v>
      </c>
      <c r="B1662" s="26" t="s">
        <v>4088</v>
      </c>
      <c r="C1662" s="26" t="s">
        <v>255</v>
      </c>
      <c r="D1662" s="26">
        <v>4320000.0</v>
      </c>
      <c r="F1662" s="26" t="s">
        <v>2542</v>
      </c>
    </row>
    <row r="1663">
      <c r="A1663" s="27">
        <v>45679.0</v>
      </c>
      <c r="B1663" s="26" t="s">
        <v>4089</v>
      </c>
      <c r="C1663" s="26" t="s">
        <v>255</v>
      </c>
      <c r="D1663" s="26">
        <v>1568000.0</v>
      </c>
      <c r="F1663" s="26" t="s">
        <v>2542</v>
      </c>
    </row>
    <row r="1664">
      <c r="A1664" s="27">
        <v>45679.0</v>
      </c>
      <c r="B1664" s="26" t="s">
        <v>4090</v>
      </c>
      <c r="C1664" s="26" t="s">
        <v>255</v>
      </c>
      <c r="D1664" s="26">
        <v>1080000.0</v>
      </c>
      <c r="F1664" s="26" t="s">
        <v>2542</v>
      </c>
    </row>
    <row r="1665">
      <c r="A1665" s="27">
        <v>45679.0</v>
      </c>
      <c r="B1665" s="26" t="s">
        <v>4091</v>
      </c>
      <c r="C1665" s="26" t="s">
        <v>255</v>
      </c>
      <c r="D1665" s="26">
        <v>2160000.0</v>
      </c>
      <c r="F1665" s="26" t="s">
        <v>2542</v>
      </c>
    </row>
    <row r="1666">
      <c r="A1666" s="27">
        <v>45679.0</v>
      </c>
      <c r="B1666" s="26" t="s">
        <v>4092</v>
      </c>
      <c r="C1666" s="26" t="s">
        <v>255</v>
      </c>
      <c r="D1666" s="26">
        <v>3736000.0</v>
      </c>
      <c r="F1666" s="26" t="s">
        <v>2542</v>
      </c>
    </row>
    <row r="1667">
      <c r="A1667" s="27">
        <v>45679.0</v>
      </c>
      <c r="B1667" s="26" t="s">
        <v>4093</v>
      </c>
      <c r="C1667" s="26" t="s">
        <v>255</v>
      </c>
      <c r="D1667" s="26">
        <v>5540000.0</v>
      </c>
      <c r="F1667" s="26" t="s">
        <v>2542</v>
      </c>
    </row>
    <row r="1668">
      <c r="A1668" s="27">
        <v>45679.0</v>
      </c>
      <c r="B1668" s="26" t="s">
        <v>4094</v>
      </c>
      <c r="C1668" s="26" t="s">
        <v>255</v>
      </c>
      <c r="D1668" s="26">
        <v>1188000.0</v>
      </c>
      <c r="F1668" s="26" t="s">
        <v>2542</v>
      </c>
    </row>
    <row r="1669">
      <c r="A1669" s="27">
        <v>45679.0</v>
      </c>
      <c r="B1669" s="26" t="s">
        <v>4095</v>
      </c>
      <c r="C1669" s="26" t="s">
        <v>2561</v>
      </c>
      <c r="D1669" s="26">
        <v>8000000.0</v>
      </c>
      <c r="F1669" s="26" t="s">
        <v>2542</v>
      </c>
      <c r="G1669" s="26">
        <v>331.0</v>
      </c>
    </row>
    <row r="1670">
      <c r="A1670" s="27">
        <v>45679.0</v>
      </c>
      <c r="B1670" s="26" t="s">
        <v>4096</v>
      </c>
      <c r="C1670" s="26" t="s">
        <v>2545</v>
      </c>
      <c r="D1670" s="26">
        <v>1.5E7</v>
      </c>
      <c r="F1670" s="26" t="s">
        <v>2542</v>
      </c>
      <c r="G1670" s="26">
        <v>3341.0</v>
      </c>
    </row>
    <row r="1671">
      <c r="A1671" s="27">
        <v>45679.0</v>
      </c>
      <c r="B1671" s="26" t="s">
        <v>4097</v>
      </c>
      <c r="C1671" s="26" t="s">
        <v>2581</v>
      </c>
      <c r="D1671" s="26">
        <v>3000000.0</v>
      </c>
      <c r="F1671" s="26" t="s">
        <v>2542</v>
      </c>
      <c r="G1671" s="26">
        <v>6422.0</v>
      </c>
    </row>
    <row r="1672">
      <c r="A1672" s="27">
        <v>45679.0</v>
      </c>
      <c r="B1672" s="26" t="s">
        <v>4098</v>
      </c>
      <c r="C1672" s="26" t="s">
        <v>2545</v>
      </c>
      <c r="D1672" s="26">
        <v>1.2E7</v>
      </c>
      <c r="F1672" s="26" t="s">
        <v>2542</v>
      </c>
      <c r="G1672" s="26">
        <v>3341.0</v>
      </c>
    </row>
    <row r="1673">
      <c r="A1673" s="27">
        <v>45679.0</v>
      </c>
      <c r="B1673" s="26" t="s">
        <v>4099</v>
      </c>
      <c r="C1673" s="26" t="s">
        <v>2545</v>
      </c>
      <c r="D1673" s="26">
        <v>2500000.0</v>
      </c>
      <c r="F1673" s="26" t="s">
        <v>2542</v>
      </c>
      <c r="G1673" s="26">
        <v>3341.0</v>
      </c>
    </row>
    <row r="1674">
      <c r="A1674" s="27">
        <v>45679.0</v>
      </c>
      <c r="B1674" s="26" t="s">
        <v>4081</v>
      </c>
      <c r="C1674" s="26" t="s">
        <v>2545</v>
      </c>
      <c r="D1674" s="26">
        <v>1.62E7</v>
      </c>
      <c r="F1674" s="26" t="s">
        <v>2542</v>
      </c>
      <c r="G1674" s="26">
        <v>3341.0</v>
      </c>
    </row>
    <row r="1675">
      <c r="A1675" s="27">
        <v>45679.0</v>
      </c>
      <c r="B1675" s="26" t="s">
        <v>4100</v>
      </c>
      <c r="C1675" s="26" t="s">
        <v>2545</v>
      </c>
      <c r="D1675" s="26">
        <v>1.56E7</v>
      </c>
      <c r="F1675" s="26" t="s">
        <v>2542</v>
      </c>
      <c r="G1675" s="26">
        <v>3341.0</v>
      </c>
    </row>
    <row r="1676">
      <c r="A1676" s="27">
        <v>45679.0</v>
      </c>
      <c r="B1676" s="26" t="s">
        <v>4101</v>
      </c>
      <c r="C1676" s="26" t="s">
        <v>2545</v>
      </c>
      <c r="D1676" s="26">
        <v>2.2E7</v>
      </c>
      <c r="F1676" s="26" t="s">
        <v>2542</v>
      </c>
      <c r="G1676" s="26">
        <v>3341.0</v>
      </c>
    </row>
    <row r="1677">
      <c r="A1677" s="27">
        <v>45679.0</v>
      </c>
      <c r="B1677" s="26" t="s">
        <v>4102</v>
      </c>
      <c r="C1677" s="26" t="s">
        <v>2571</v>
      </c>
      <c r="D1677" s="26">
        <v>420000.0</v>
      </c>
      <c r="F1677" s="26" t="s">
        <v>2542</v>
      </c>
      <c r="G1677" s="26">
        <v>641.12</v>
      </c>
    </row>
    <row r="1678">
      <c r="A1678" s="27">
        <v>45679.0</v>
      </c>
      <c r="B1678" s="26" t="s">
        <v>4103</v>
      </c>
      <c r="C1678" s="26" t="s">
        <v>3620</v>
      </c>
      <c r="D1678" s="26">
        <v>4650000.0</v>
      </c>
      <c r="F1678" s="26" t="s">
        <v>2542</v>
      </c>
      <c r="G1678" s="26">
        <v>6428.0</v>
      </c>
    </row>
    <row r="1679">
      <c r="A1679" s="27">
        <v>45679.0</v>
      </c>
      <c r="B1679" s="26" t="s">
        <v>3444</v>
      </c>
      <c r="C1679" s="26" t="s">
        <v>2564</v>
      </c>
      <c r="D1679" s="26" t="s">
        <v>4104</v>
      </c>
      <c r="F1679" s="26" t="s">
        <v>2542</v>
      </c>
      <c r="G1679" s="26">
        <v>3332.0</v>
      </c>
    </row>
    <row r="1680">
      <c r="A1680" s="27">
        <v>45679.0</v>
      </c>
      <c r="B1680" s="26" t="s">
        <v>3524</v>
      </c>
      <c r="C1680" s="26" t="s">
        <v>2564</v>
      </c>
      <c r="D1680" s="26">
        <v>30.0</v>
      </c>
      <c r="F1680" s="26" t="s">
        <v>2542</v>
      </c>
      <c r="G1680" s="26">
        <v>6425.0</v>
      </c>
    </row>
    <row r="1681">
      <c r="A1681" s="27">
        <v>45679.0</v>
      </c>
      <c r="B1681" s="26" t="s">
        <v>3444</v>
      </c>
      <c r="C1681" s="26" t="s">
        <v>2564</v>
      </c>
      <c r="D1681" s="26" t="s">
        <v>4105</v>
      </c>
      <c r="F1681" s="26" t="s">
        <v>2542</v>
      </c>
      <c r="G1681" s="26">
        <v>3335.0</v>
      </c>
    </row>
    <row r="1682">
      <c r="A1682" s="27">
        <v>45678.0</v>
      </c>
      <c r="B1682" s="26" t="s">
        <v>4106</v>
      </c>
      <c r="C1682" s="26" t="s">
        <v>255</v>
      </c>
      <c r="D1682" s="26">
        <v>1320000.0</v>
      </c>
      <c r="F1682" s="26" t="s">
        <v>2542</v>
      </c>
    </row>
    <row r="1683">
      <c r="A1683" s="27">
        <v>45678.0</v>
      </c>
      <c r="B1683" s="26" t="s">
        <v>4107</v>
      </c>
      <c r="C1683" s="26" t="s">
        <v>255</v>
      </c>
      <c r="D1683" s="26">
        <v>1440000.0</v>
      </c>
      <c r="F1683" s="26" t="s">
        <v>2542</v>
      </c>
    </row>
    <row r="1684">
      <c r="A1684" s="27">
        <v>45678.0</v>
      </c>
      <c r="B1684" s="26" t="s">
        <v>4108</v>
      </c>
      <c r="C1684" s="26" t="s">
        <v>255</v>
      </c>
      <c r="D1684" s="26">
        <v>1.263E7</v>
      </c>
      <c r="F1684" s="26" t="s">
        <v>2542</v>
      </c>
    </row>
    <row r="1685">
      <c r="A1685" s="27">
        <v>45678.0</v>
      </c>
      <c r="B1685" s="26" t="s">
        <v>4109</v>
      </c>
      <c r="C1685" s="26" t="s">
        <v>255</v>
      </c>
      <c r="D1685" s="26">
        <v>5030000.0</v>
      </c>
      <c r="F1685" s="26" t="s">
        <v>2542</v>
      </c>
    </row>
    <row r="1686">
      <c r="A1686" s="27">
        <v>45678.0</v>
      </c>
      <c r="B1686" s="26" t="s">
        <v>4110</v>
      </c>
      <c r="C1686" s="26" t="s">
        <v>255</v>
      </c>
      <c r="D1686" s="26">
        <v>3600000.0</v>
      </c>
      <c r="F1686" s="26" t="s">
        <v>2542</v>
      </c>
    </row>
    <row r="1687">
      <c r="A1687" s="27">
        <v>45678.0</v>
      </c>
      <c r="B1687" s="26" t="s">
        <v>4111</v>
      </c>
      <c r="C1687" s="26" t="s">
        <v>255</v>
      </c>
      <c r="D1687" s="26">
        <v>5192000.0</v>
      </c>
      <c r="F1687" s="26" t="s">
        <v>2542</v>
      </c>
    </row>
    <row r="1688">
      <c r="A1688" s="27">
        <v>45678.0</v>
      </c>
      <c r="B1688" s="26" t="s">
        <v>4112</v>
      </c>
      <c r="C1688" s="26" t="s">
        <v>2561</v>
      </c>
      <c r="D1688" s="26">
        <v>205000.0</v>
      </c>
      <c r="F1688" s="26" t="s">
        <v>2542</v>
      </c>
      <c r="G1688" s="26">
        <v>6428.0</v>
      </c>
    </row>
    <row r="1689">
      <c r="A1689" s="27">
        <v>45678.0</v>
      </c>
      <c r="B1689" s="26" t="s">
        <v>4113</v>
      </c>
      <c r="C1689" s="26" t="s">
        <v>2655</v>
      </c>
      <c r="D1689" s="26">
        <v>3.0739745E7</v>
      </c>
      <c r="F1689" s="26" t="s">
        <v>2542</v>
      </c>
      <c r="G1689" s="26">
        <v>3383.0</v>
      </c>
    </row>
    <row r="1690">
      <c r="A1690" s="27">
        <v>45678.0</v>
      </c>
      <c r="B1690" s="26" t="s">
        <v>4114</v>
      </c>
      <c r="C1690" s="26" t="s">
        <v>2655</v>
      </c>
      <c r="D1690" s="26">
        <v>2.24E7</v>
      </c>
      <c r="F1690" s="26" t="s">
        <v>2542</v>
      </c>
      <c r="G1690" s="26">
        <v>3383.0</v>
      </c>
    </row>
    <row r="1691">
      <c r="A1691" s="27">
        <v>45678.0</v>
      </c>
      <c r="B1691" s="26" t="s">
        <v>4115</v>
      </c>
      <c r="C1691" s="26" t="s">
        <v>2545</v>
      </c>
      <c r="D1691" s="26">
        <v>1.2E7</v>
      </c>
      <c r="F1691" s="26" t="s">
        <v>2542</v>
      </c>
      <c r="G1691" s="26">
        <v>3341.0</v>
      </c>
    </row>
    <row r="1692">
      <c r="A1692" s="27">
        <v>45678.0</v>
      </c>
      <c r="B1692" s="26" t="s">
        <v>4116</v>
      </c>
      <c r="C1692" s="26" t="s">
        <v>2545</v>
      </c>
      <c r="D1692" s="26">
        <v>1.0E7</v>
      </c>
      <c r="F1692" s="26" t="s">
        <v>2542</v>
      </c>
      <c r="G1692" s="26">
        <v>3341.0</v>
      </c>
    </row>
    <row r="1693">
      <c r="A1693" s="27">
        <v>45678.0</v>
      </c>
      <c r="B1693" s="26" t="s">
        <v>4117</v>
      </c>
      <c r="C1693" s="26" t="s">
        <v>2545</v>
      </c>
      <c r="D1693" s="26">
        <v>8000000.0</v>
      </c>
      <c r="F1693" s="26" t="s">
        <v>2542</v>
      </c>
      <c r="G1693" s="26">
        <v>3341.0</v>
      </c>
    </row>
    <row r="1694">
      <c r="A1694" s="27">
        <v>45678.0</v>
      </c>
      <c r="B1694" s="26" t="s">
        <v>4118</v>
      </c>
      <c r="C1694" s="26" t="s">
        <v>2545</v>
      </c>
      <c r="D1694" s="26">
        <v>8000000.0</v>
      </c>
      <c r="F1694" s="26" t="s">
        <v>2542</v>
      </c>
      <c r="G1694" s="26">
        <v>3341.0</v>
      </c>
    </row>
    <row r="1695">
      <c r="A1695" s="27">
        <v>45678.0</v>
      </c>
      <c r="B1695" s="26" t="s">
        <v>4119</v>
      </c>
      <c r="C1695" s="26" t="s">
        <v>2545</v>
      </c>
      <c r="D1695" s="26">
        <v>1.5E7</v>
      </c>
      <c r="F1695" s="26" t="s">
        <v>2542</v>
      </c>
      <c r="G1695" s="26">
        <v>3341.0</v>
      </c>
    </row>
    <row r="1696">
      <c r="A1696" s="27">
        <v>45678.0</v>
      </c>
      <c r="B1696" s="26" t="s">
        <v>4120</v>
      </c>
      <c r="C1696" s="26" t="s">
        <v>2545</v>
      </c>
      <c r="D1696" s="26">
        <v>8000000.0</v>
      </c>
      <c r="F1696" s="26" t="s">
        <v>2542</v>
      </c>
      <c r="G1696" s="26">
        <v>3341.0</v>
      </c>
    </row>
    <row r="1697">
      <c r="A1697" s="27">
        <v>45678.0</v>
      </c>
      <c r="B1697" s="26" t="s">
        <v>4121</v>
      </c>
      <c r="C1697" s="26" t="s">
        <v>2545</v>
      </c>
      <c r="D1697" s="26">
        <v>8000000.0</v>
      </c>
      <c r="F1697" s="26" t="s">
        <v>2542</v>
      </c>
      <c r="G1697" s="26">
        <v>3341.0</v>
      </c>
    </row>
    <row r="1698">
      <c r="A1698" s="27">
        <v>45677.0</v>
      </c>
      <c r="B1698" s="26" t="s">
        <v>4122</v>
      </c>
      <c r="C1698" s="26" t="s">
        <v>255</v>
      </c>
      <c r="D1698" s="26">
        <v>9000000.0</v>
      </c>
      <c r="F1698" s="26" t="s">
        <v>2542</v>
      </c>
    </row>
    <row r="1699">
      <c r="A1699" s="27">
        <v>45677.0</v>
      </c>
      <c r="B1699" s="26" t="s">
        <v>4123</v>
      </c>
      <c r="C1699" s="26" t="s">
        <v>255</v>
      </c>
      <c r="D1699" s="26">
        <v>8405000.0</v>
      </c>
      <c r="F1699" s="26" t="s">
        <v>2542</v>
      </c>
    </row>
    <row r="1700">
      <c r="A1700" s="27">
        <v>45677.0</v>
      </c>
      <c r="B1700" s="26" t="s">
        <v>4124</v>
      </c>
      <c r="C1700" s="26" t="s">
        <v>255</v>
      </c>
      <c r="D1700" s="26">
        <v>2640000.0</v>
      </c>
      <c r="F1700" s="26" t="s">
        <v>2542</v>
      </c>
    </row>
    <row r="1701">
      <c r="A1701" s="27">
        <v>45677.0</v>
      </c>
      <c r="B1701" s="26" t="s">
        <v>4125</v>
      </c>
      <c r="C1701" s="26" t="s">
        <v>255</v>
      </c>
      <c r="D1701" s="26">
        <v>9337000.0</v>
      </c>
      <c r="F1701" s="26" t="s">
        <v>2542</v>
      </c>
    </row>
    <row r="1702">
      <c r="A1702" s="27">
        <v>45677.0</v>
      </c>
      <c r="B1702" s="26" t="s">
        <v>4126</v>
      </c>
      <c r="C1702" s="26" t="s">
        <v>255</v>
      </c>
      <c r="D1702" s="26">
        <v>1188000.0</v>
      </c>
      <c r="F1702" s="26" t="s">
        <v>2542</v>
      </c>
    </row>
    <row r="1703">
      <c r="A1703" s="27">
        <v>45677.0</v>
      </c>
      <c r="B1703" s="26" t="s">
        <v>4127</v>
      </c>
      <c r="C1703" s="26" t="s">
        <v>255</v>
      </c>
      <c r="D1703" s="26">
        <v>1080000.0</v>
      </c>
      <c r="F1703" s="26" t="s">
        <v>2542</v>
      </c>
    </row>
    <row r="1704">
      <c r="A1704" s="27">
        <v>45677.0</v>
      </c>
      <c r="B1704" s="26" t="s">
        <v>4128</v>
      </c>
      <c r="C1704" s="26" t="s">
        <v>255</v>
      </c>
      <c r="D1704" s="26">
        <v>1188000.0</v>
      </c>
      <c r="F1704" s="26" t="s">
        <v>2542</v>
      </c>
    </row>
    <row r="1705">
      <c r="A1705" s="27">
        <v>45677.0</v>
      </c>
      <c r="B1705" s="26" t="s">
        <v>4129</v>
      </c>
      <c r="C1705" s="26" t="s">
        <v>2571</v>
      </c>
      <c r="D1705" s="26">
        <v>468000.0</v>
      </c>
      <c r="F1705" s="26" t="s">
        <v>2542</v>
      </c>
      <c r="G1705" s="26">
        <v>641.22</v>
      </c>
    </row>
    <row r="1706">
      <c r="A1706" s="27">
        <v>45677.0</v>
      </c>
      <c r="B1706" s="26" t="s">
        <v>4129</v>
      </c>
      <c r="C1706" s="26" t="s">
        <v>2561</v>
      </c>
      <c r="D1706" s="26" t="s">
        <v>4130</v>
      </c>
      <c r="F1706" s="26" t="s">
        <v>2542</v>
      </c>
      <c r="G1706" s="26">
        <v>632.1</v>
      </c>
    </row>
    <row r="1707">
      <c r="A1707" s="27">
        <v>45676.0</v>
      </c>
      <c r="B1707" s="26" t="s">
        <v>4131</v>
      </c>
      <c r="C1707" s="26" t="s">
        <v>255</v>
      </c>
      <c r="D1707" s="26">
        <v>1480000.0</v>
      </c>
      <c r="F1707" s="26" t="s">
        <v>2542</v>
      </c>
    </row>
    <row r="1708">
      <c r="A1708" s="27">
        <v>45675.0</v>
      </c>
      <c r="B1708" s="26" t="s">
        <v>4132</v>
      </c>
      <c r="C1708" s="26" t="s">
        <v>255</v>
      </c>
      <c r="D1708" s="26">
        <v>4350000.0</v>
      </c>
      <c r="F1708" s="26" t="s">
        <v>2542</v>
      </c>
    </row>
    <row r="1709">
      <c r="A1709" s="27">
        <v>45675.0</v>
      </c>
      <c r="B1709" s="26" t="s">
        <v>4133</v>
      </c>
      <c r="C1709" s="26" t="s">
        <v>255</v>
      </c>
      <c r="D1709" s="26">
        <v>1450000.0</v>
      </c>
      <c r="F1709" s="26" t="s">
        <v>2542</v>
      </c>
    </row>
    <row r="1710">
      <c r="A1710" s="27">
        <v>45675.0</v>
      </c>
      <c r="B1710" s="26" t="s">
        <v>2569</v>
      </c>
      <c r="C1710" s="26" t="s">
        <v>255</v>
      </c>
      <c r="D1710" s="26">
        <v>3240000.0</v>
      </c>
      <c r="F1710" s="26" t="s">
        <v>2542</v>
      </c>
    </row>
    <row r="1711">
      <c r="A1711" s="27">
        <v>45674.0</v>
      </c>
      <c r="B1711" s="26" t="s">
        <v>4134</v>
      </c>
      <c r="C1711" s="26" t="s">
        <v>255</v>
      </c>
      <c r="D1711" s="26">
        <v>2160000.0</v>
      </c>
      <c r="F1711" s="26" t="s">
        <v>2542</v>
      </c>
    </row>
    <row r="1712">
      <c r="A1712" s="27">
        <v>45672.0</v>
      </c>
      <c r="B1712" s="26" t="s">
        <v>4135</v>
      </c>
      <c r="C1712" s="26" t="s">
        <v>255</v>
      </c>
      <c r="D1712" s="26">
        <v>1.75284E7</v>
      </c>
      <c r="F1712" s="26" t="s">
        <v>2542</v>
      </c>
    </row>
    <row r="1713">
      <c r="A1713" s="27">
        <v>45672.0</v>
      </c>
      <c r="B1713" s="26" t="s">
        <v>4136</v>
      </c>
      <c r="C1713" s="26" t="s">
        <v>255</v>
      </c>
      <c r="D1713" s="26">
        <v>9200000.0</v>
      </c>
      <c r="F1713" s="26" t="s">
        <v>2542</v>
      </c>
    </row>
    <row r="1714">
      <c r="A1714" s="27">
        <v>45672.0</v>
      </c>
      <c r="B1714" s="26" t="s">
        <v>4137</v>
      </c>
      <c r="C1714" s="26" t="s">
        <v>255</v>
      </c>
      <c r="D1714" s="26">
        <v>1080000.0</v>
      </c>
      <c r="F1714" s="26" t="s">
        <v>2542</v>
      </c>
    </row>
    <row r="1715">
      <c r="A1715" s="27">
        <v>45672.0</v>
      </c>
      <c r="B1715" s="26" t="s">
        <v>4138</v>
      </c>
      <c r="C1715" s="26" t="s">
        <v>255</v>
      </c>
      <c r="D1715" s="26">
        <v>1080000.0</v>
      </c>
      <c r="F1715" s="26" t="s">
        <v>2542</v>
      </c>
    </row>
    <row r="1716">
      <c r="A1716" s="27">
        <v>45672.0</v>
      </c>
      <c r="B1716" s="26" t="s">
        <v>4139</v>
      </c>
      <c r="C1716" s="26" t="s">
        <v>2764</v>
      </c>
      <c r="D1716" s="26">
        <v>1298000.0</v>
      </c>
      <c r="F1716" s="26" t="s">
        <v>2542</v>
      </c>
      <c r="G1716" s="26">
        <v>6273.0</v>
      </c>
    </row>
    <row r="1717">
      <c r="A1717" s="27">
        <v>45671.0</v>
      </c>
      <c r="B1717" s="26" t="s">
        <v>4140</v>
      </c>
      <c r="C1717" s="26" t="s">
        <v>255</v>
      </c>
      <c r="D1717" s="26">
        <v>1593000.0</v>
      </c>
      <c r="F1717" s="26" t="s">
        <v>2542</v>
      </c>
    </row>
    <row r="1718">
      <c r="A1718" s="27">
        <v>45671.0</v>
      </c>
      <c r="B1718" s="26" t="s">
        <v>4141</v>
      </c>
      <c r="C1718" s="26" t="s">
        <v>255</v>
      </c>
      <c r="D1718" s="26">
        <v>2160000.0</v>
      </c>
      <c r="F1718" s="26" t="s">
        <v>2542</v>
      </c>
    </row>
    <row r="1719">
      <c r="A1719" s="27">
        <v>45671.0</v>
      </c>
      <c r="B1719" s="26" t="s">
        <v>4142</v>
      </c>
      <c r="C1719" s="26" t="s">
        <v>255</v>
      </c>
      <c r="D1719" s="26">
        <v>2160000.0</v>
      </c>
      <c r="F1719" s="26" t="s">
        <v>2542</v>
      </c>
    </row>
    <row r="1720">
      <c r="A1720" s="27">
        <v>45671.0</v>
      </c>
      <c r="B1720" s="26" t="s">
        <v>4143</v>
      </c>
      <c r="C1720" s="26" t="s">
        <v>255</v>
      </c>
      <c r="D1720" s="26">
        <v>2160000.0</v>
      </c>
      <c r="F1720" s="26" t="s">
        <v>2542</v>
      </c>
    </row>
    <row r="1721">
      <c r="A1721" s="27">
        <v>45671.0</v>
      </c>
      <c r="B1721" s="26" t="s">
        <v>4144</v>
      </c>
      <c r="C1721" s="26" t="s">
        <v>255</v>
      </c>
      <c r="D1721" s="26">
        <v>6480000.0</v>
      </c>
      <c r="F1721" s="26" t="s">
        <v>2542</v>
      </c>
    </row>
    <row r="1722">
      <c r="A1722" s="27">
        <v>45671.0</v>
      </c>
      <c r="B1722" s="26" t="s">
        <v>4145</v>
      </c>
      <c r="C1722" s="26" t="s">
        <v>255</v>
      </c>
      <c r="D1722" s="26">
        <v>2400000.0</v>
      </c>
      <c r="F1722" s="26" t="s">
        <v>2542</v>
      </c>
    </row>
    <row r="1723">
      <c r="A1723" s="27">
        <v>45671.0</v>
      </c>
      <c r="B1723" s="26" t="s">
        <v>4146</v>
      </c>
      <c r="C1723" s="26" t="s">
        <v>255</v>
      </c>
      <c r="D1723" s="26">
        <v>2244000.0</v>
      </c>
      <c r="F1723" s="26" t="s">
        <v>2542</v>
      </c>
    </row>
    <row r="1724">
      <c r="A1724" s="27">
        <v>45671.0</v>
      </c>
      <c r="B1724" s="26" t="s">
        <v>4147</v>
      </c>
      <c r="C1724" s="26" t="s">
        <v>2593</v>
      </c>
      <c r="D1724" s="26">
        <v>750000.0</v>
      </c>
      <c r="F1724" s="26" t="s">
        <v>2542</v>
      </c>
      <c r="G1724" s="26">
        <v>6423.0</v>
      </c>
    </row>
    <row r="1725">
      <c r="A1725" s="27">
        <v>45670.0</v>
      </c>
      <c r="B1725" s="26" t="s">
        <v>4148</v>
      </c>
      <c r="C1725" s="26" t="s">
        <v>255</v>
      </c>
      <c r="D1725" s="26">
        <v>1450000.0</v>
      </c>
      <c r="F1725" s="26" t="s">
        <v>2542</v>
      </c>
    </row>
    <row r="1726">
      <c r="A1726" s="27">
        <v>45670.0</v>
      </c>
      <c r="B1726" s="26" t="s">
        <v>4149</v>
      </c>
      <c r="C1726" s="26" t="s">
        <v>255</v>
      </c>
      <c r="D1726" s="26">
        <v>1188000.0</v>
      </c>
      <c r="F1726" s="26" t="s">
        <v>2542</v>
      </c>
    </row>
    <row r="1727">
      <c r="A1727" s="27">
        <v>45670.0</v>
      </c>
      <c r="B1727" s="26" t="s">
        <v>4150</v>
      </c>
      <c r="C1727" s="26" t="s">
        <v>255</v>
      </c>
      <c r="D1727" s="26">
        <v>1188000.0</v>
      </c>
      <c r="F1727" s="26" t="s">
        <v>2542</v>
      </c>
    </row>
    <row r="1728">
      <c r="A1728" s="27">
        <v>45670.0</v>
      </c>
      <c r="B1728" s="26" t="s">
        <v>4151</v>
      </c>
      <c r="C1728" s="26" t="s">
        <v>255</v>
      </c>
      <c r="D1728" s="26">
        <v>540000.0</v>
      </c>
      <c r="F1728" s="26" t="s">
        <v>2542</v>
      </c>
    </row>
    <row r="1729">
      <c r="A1729" s="27">
        <v>45670.0</v>
      </c>
      <c r="B1729" s="26" t="s">
        <v>4152</v>
      </c>
      <c r="C1729" s="26" t="s">
        <v>2571</v>
      </c>
      <c r="D1729" s="26">
        <v>831000.0</v>
      </c>
      <c r="F1729" s="26" t="s">
        <v>2542</v>
      </c>
      <c r="G1729" s="26">
        <v>641.22</v>
      </c>
    </row>
    <row r="1730">
      <c r="A1730" s="27">
        <v>45668.0</v>
      </c>
      <c r="B1730" s="26" t="s">
        <v>3397</v>
      </c>
      <c r="C1730" s="26" t="s">
        <v>255</v>
      </c>
      <c r="D1730" s="26">
        <v>1320000.0</v>
      </c>
      <c r="F1730" s="26" t="s">
        <v>2542</v>
      </c>
    </row>
    <row r="1731">
      <c r="A1731" s="27">
        <v>45668.0</v>
      </c>
      <c r="B1731" s="26" t="s">
        <v>4153</v>
      </c>
      <c r="C1731" s="26" t="s">
        <v>2561</v>
      </c>
      <c r="D1731" s="26">
        <v>3905820.0</v>
      </c>
      <c r="F1731" s="26" t="s">
        <v>2542</v>
      </c>
      <c r="G1731" s="26">
        <v>331.0</v>
      </c>
    </row>
    <row r="1732">
      <c r="A1732" s="27">
        <v>45667.0</v>
      </c>
      <c r="B1732" s="26" t="s">
        <v>4154</v>
      </c>
      <c r="C1732" s="26" t="s">
        <v>255</v>
      </c>
      <c r="D1732" s="26">
        <v>1.236E7</v>
      </c>
      <c r="F1732" s="26" t="s">
        <v>2542</v>
      </c>
    </row>
    <row r="1733">
      <c r="A1733" s="27">
        <v>45667.0</v>
      </c>
      <c r="B1733" s="26" t="s">
        <v>4155</v>
      </c>
      <c r="C1733" s="26" t="s">
        <v>255</v>
      </c>
      <c r="D1733" s="26">
        <v>6912000.0</v>
      </c>
      <c r="F1733" s="26" t="s">
        <v>2542</v>
      </c>
    </row>
    <row r="1734">
      <c r="A1734" s="27">
        <v>45667.0</v>
      </c>
      <c r="B1734" s="26" t="s">
        <v>4156</v>
      </c>
      <c r="C1734" s="26" t="s">
        <v>255</v>
      </c>
      <c r="D1734" s="26">
        <v>3720000.0</v>
      </c>
      <c r="F1734" s="26" t="s">
        <v>2542</v>
      </c>
    </row>
    <row r="1735">
      <c r="A1735" s="27">
        <v>45667.0</v>
      </c>
      <c r="B1735" s="26" t="s">
        <v>4157</v>
      </c>
      <c r="C1735" s="26" t="s">
        <v>255</v>
      </c>
      <c r="D1735" s="26">
        <v>3780000.0</v>
      </c>
      <c r="F1735" s="26" t="s">
        <v>2542</v>
      </c>
    </row>
    <row r="1736">
      <c r="A1736" s="27">
        <v>45667.0</v>
      </c>
      <c r="B1736" s="26" t="s">
        <v>4158</v>
      </c>
      <c r="C1736" s="26" t="s">
        <v>255</v>
      </c>
      <c r="D1736" s="26">
        <v>8748750.0</v>
      </c>
      <c r="F1736" s="26" t="s">
        <v>2542</v>
      </c>
    </row>
    <row r="1737">
      <c r="A1737" s="27">
        <v>45667.0</v>
      </c>
      <c r="B1737" s="26" t="s">
        <v>4159</v>
      </c>
      <c r="C1737" s="26" t="s">
        <v>255</v>
      </c>
      <c r="D1737" s="26">
        <v>1200000.0</v>
      </c>
      <c r="F1737" s="26" t="s">
        <v>2542</v>
      </c>
    </row>
    <row r="1738">
      <c r="A1738" s="27">
        <v>45667.0</v>
      </c>
      <c r="B1738" s="26" t="s">
        <v>4160</v>
      </c>
      <c r="C1738" s="26" t="s">
        <v>255</v>
      </c>
      <c r="D1738" s="26">
        <v>9479250.0</v>
      </c>
      <c r="F1738" s="26" t="s">
        <v>2542</v>
      </c>
    </row>
    <row r="1739">
      <c r="A1739" s="27">
        <v>45667.0</v>
      </c>
      <c r="B1739" s="26" t="s">
        <v>4161</v>
      </c>
      <c r="C1739" s="28"/>
      <c r="D1739" s="26">
        <v>1.236E7</v>
      </c>
      <c r="F1739" s="26" t="s">
        <v>2542</v>
      </c>
    </row>
    <row r="1740">
      <c r="A1740" s="27">
        <v>45667.0</v>
      </c>
      <c r="B1740" s="26" t="s">
        <v>4162</v>
      </c>
      <c r="C1740" s="26" t="s">
        <v>2545</v>
      </c>
      <c r="D1740" s="26">
        <v>3.593E7</v>
      </c>
      <c r="F1740" s="26" t="s">
        <v>2542</v>
      </c>
      <c r="G1740" s="26">
        <v>3341.0</v>
      </c>
    </row>
    <row r="1741">
      <c r="A1741" s="27">
        <v>45667.0</v>
      </c>
      <c r="B1741" s="26" t="s">
        <v>4163</v>
      </c>
      <c r="C1741" s="26" t="s">
        <v>2545</v>
      </c>
      <c r="D1741" s="26">
        <v>1.236E7</v>
      </c>
      <c r="F1741" s="26" t="s">
        <v>2542</v>
      </c>
      <c r="G1741" s="26">
        <v>3341.0</v>
      </c>
    </row>
    <row r="1742">
      <c r="A1742" s="27">
        <v>45666.0</v>
      </c>
      <c r="B1742" s="26" t="s">
        <v>4164</v>
      </c>
      <c r="C1742" s="26" t="s">
        <v>255</v>
      </c>
      <c r="D1742" s="26">
        <v>1080000.0</v>
      </c>
      <c r="F1742" s="26" t="s">
        <v>2542</v>
      </c>
    </row>
    <row r="1743">
      <c r="A1743" s="27">
        <v>45666.0</v>
      </c>
      <c r="B1743" s="26" t="s">
        <v>4165</v>
      </c>
      <c r="C1743" s="26" t="s">
        <v>2571</v>
      </c>
      <c r="D1743" s="26">
        <v>38000.0</v>
      </c>
      <c r="F1743" s="26" t="s">
        <v>2542</v>
      </c>
      <c r="G1743" s="26">
        <v>641.22</v>
      </c>
    </row>
    <row r="1744">
      <c r="A1744" s="27">
        <v>45665.0</v>
      </c>
      <c r="B1744" s="26" t="s">
        <v>4166</v>
      </c>
      <c r="C1744" s="26" t="s">
        <v>255</v>
      </c>
      <c r="D1744" s="26">
        <v>5680128.0</v>
      </c>
      <c r="F1744" s="26" t="s">
        <v>2542</v>
      </c>
    </row>
    <row r="1745">
      <c r="A1745" s="27">
        <v>45665.0</v>
      </c>
      <c r="B1745" s="26" t="s">
        <v>4167</v>
      </c>
      <c r="C1745" s="26" t="s">
        <v>255</v>
      </c>
      <c r="D1745" s="26">
        <v>3480000.0</v>
      </c>
      <c r="F1745" s="26" t="s">
        <v>2542</v>
      </c>
    </row>
    <row r="1746">
      <c r="A1746" s="27">
        <v>45665.0</v>
      </c>
      <c r="B1746" s="26" t="s">
        <v>4166</v>
      </c>
      <c r="C1746" s="28"/>
      <c r="D1746" s="26">
        <v>5680128.0</v>
      </c>
      <c r="F1746" s="26" t="s">
        <v>2542</v>
      </c>
    </row>
    <row r="1747">
      <c r="A1747" s="27">
        <v>45665.0</v>
      </c>
      <c r="B1747" s="26" t="s">
        <v>4168</v>
      </c>
      <c r="C1747" s="26" t="s">
        <v>2561</v>
      </c>
      <c r="D1747" s="26">
        <v>3440000.0</v>
      </c>
      <c r="F1747" s="26" t="s">
        <v>2542</v>
      </c>
      <c r="G1747" s="26">
        <v>331.0</v>
      </c>
    </row>
    <row r="1748">
      <c r="A1748" s="27">
        <v>45664.0</v>
      </c>
      <c r="B1748" s="26" t="s">
        <v>4169</v>
      </c>
      <c r="C1748" s="26" t="s">
        <v>255</v>
      </c>
      <c r="D1748" s="26">
        <v>4251000.0</v>
      </c>
      <c r="F1748" s="26" t="s">
        <v>2542</v>
      </c>
    </row>
    <row r="1749">
      <c r="A1749" s="27">
        <v>45664.0</v>
      </c>
      <c r="B1749" s="26" t="s">
        <v>4170</v>
      </c>
      <c r="C1749" s="26" t="s">
        <v>2593</v>
      </c>
      <c r="D1749" s="26">
        <v>60000.0</v>
      </c>
      <c r="F1749" s="26" t="s">
        <v>2542</v>
      </c>
      <c r="G1749" s="26">
        <v>6423.0</v>
      </c>
    </row>
    <row r="1750">
      <c r="A1750" s="27">
        <v>45664.0</v>
      </c>
      <c r="B1750" s="26" t="s">
        <v>4171</v>
      </c>
      <c r="C1750" s="26" t="s">
        <v>2561</v>
      </c>
      <c r="D1750" s="26">
        <v>7000000.0</v>
      </c>
      <c r="F1750" s="26" t="s">
        <v>2542</v>
      </c>
      <c r="G1750" s="26">
        <v>331.0</v>
      </c>
    </row>
    <row r="1751">
      <c r="A1751" s="27">
        <v>45664.0</v>
      </c>
      <c r="B1751" s="26" t="s">
        <v>4172</v>
      </c>
      <c r="C1751" s="26" t="s">
        <v>2561</v>
      </c>
      <c r="D1751" s="26">
        <v>2800000.0</v>
      </c>
      <c r="F1751" s="26" t="s">
        <v>2542</v>
      </c>
      <c r="G1751" s="26">
        <v>331.0</v>
      </c>
    </row>
    <row r="1752">
      <c r="A1752" s="27">
        <v>45663.0</v>
      </c>
      <c r="B1752" s="26" t="s">
        <v>4173</v>
      </c>
      <c r="C1752" s="26" t="s">
        <v>255</v>
      </c>
      <c r="D1752" s="26">
        <v>1450000.0</v>
      </c>
      <c r="F1752" s="26" t="s">
        <v>2542</v>
      </c>
    </row>
    <row r="1753">
      <c r="A1753" s="27">
        <v>45663.0</v>
      </c>
      <c r="B1753" s="26" t="s">
        <v>4174</v>
      </c>
      <c r="C1753" s="26" t="s">
        <v>255</v>
      </c>
      <c r="D1753" s="26">
        <v>1595000.0</v>
      </c>
      <c r="F1753" s="26" t="s">
        <v>2542</v>
      </c>
    </row>
    <row r="1754">
      <c r="A1754" s="27">
        <v>45663.0</v>
      </c>
      <c r="B1754" s="26" t="s">
        <v>4175</v>
      </c>
      <c r="C1754" s="26" t="s">
        <v>255</v>
      </c>
      <c r="D1754" s="26">
        <v>1.8895E7</v>
      </c>
      <c r="F1754" s="26" t="s">
        <v>2542</v>
      </c>
    </row>
    <row r="1755">
      <c r="A1755" s="27">
        <v>45663.0</v>
      </c>
      <c r="B1755" s="26" t="s">
        <v>4176</v>
      </c>
      <c r="C1755" s="26" t="s">
        <v>255</v>
      </c>
      <c r="D1755" s="26">
        <v>1.0995E7</v>
      </c>
      <c r="F1755" s="26" t="s">
        <v>2542</v>
      </c>
    </row>
    <row r="1756">
      <c r="A1756" s="27">
        <v>45663.0</v>
      </c>
      <c r="B1756" s="26" t="s">
        <v>4177</v>
      </c>
      <c r="C1756" s="26" t="s">
        <v>255</v>
      </c>
      <c r="D1756" s="26">
        <v>7560000.0</v>
      </c>
      <c r="F1756" s="26" t="s">
        <v>2542</v>
      </c>
    </row>
    <row r="1757">
      <c r="A1757" s="27">
        <v>45663.0</v>
      </c>
      <c r="B1757" s="26" t="s">
        <v>4178</v>
      </c>
      <c r="C1757" s="26" t="s">
        <v>255</v>
      </c>
      <c r="D1757" s="26">
        <v>5400000.0</v>
      </c>
      <c r="F1757" s="26" t="s">
        <v>2542</v>
      </c>
    </row>
    <row r="1758">
      <c r="A1758" s="27">
        <v>45663.0</v>
      </c>
      <c r="B1758" s="26" t="s">
        <v>4179</v>
      </c>
      <c r="C1758" s="26" t="s">
        <v>255</v>
      </c>
      <c r="D1758" s="26">
        <v>299500.0</v>
      </c>
      <c r="F1758" s="26" t="s">
        <v>2542</v>
      </c>
    </row>
    <row r="1759">
      <c r="A1759" s="27">
        <v>45663.0</v>
      </c>
      <c r="B1759" s="26" t="s">
        <v>4180</v>
      </c>
      <c r="C1759" s="26" t="s">
        <v>255</v>
      </c>
      <c r="D1759" s="26">
        <v>471600.0</v>
      </c>
      <c r="F1759" s="26" t="s">
        <v>2542</v>
      </c>
    </row>
    <row r="1760">
      <c r="A1760" s="27">
        <v>45663.0</v>
      </c>
      <c r="B1760" s="26" t="s">
        <v>4181</v>
      </c>
      <c r="C1760" s="26" t="s">
        <v>255</v>
      </c>
      <c r="D1760" s="26">
        <v>1080000.0</v>
      </c>
      <c r="F1760" s="26" t="s">
        <v>2542</v>
      </c>
    </row>
    <row r="1761">
      <c r="A1761" s="27">
        <v>45663.0</v>
      </c>
      <c r="B1761" s="26" t="s">
        <v>4182</v>
      </c>
      <c r="C1761" s="26" t="s">
        <v>255</v>
      </c>
      <c r="D1761" s="26">
        <v>1080000.0</v>
      </c>
      <c r="F1761" s="26" t="s">
        <v>2542</v>
      </c>
    </row>
    <row r="1762">
      <c r="A1762" s="27">
        <v>45663.0</v>
      </c>
      <c r="B1762" s="26" t="s">
        <v>4183</v>
      </c>
      <c r="C1762" s="26" t="s">
        <v>255</v>
      </c>
      <c r="D1762" s="26">
        <v>99910.0</v>
      </c>
      <c r="F1762" s="26" t="s">
        <v>2542</v>
      </c>
    </row>
    <row r="1763">
      <c r="A1763" s="27">
        <v>45663.0</v>
      </c>
      <c r="B1763" s="26" t="s">
        <v>4184</v>
      </c>
      <c r="C1763" s="26" t="s">
        <v>2571</v>
      </c>
      <c r="D1763" s="26">
        <v>2226000.0</v>
      </c>
      <c r="F1763" s="26" t="s">
        <v>2542</v>
      </c>
      <c r="G1763" s="26">
        <v>641.12</v>
      </c>
    </row>
    <row r="1764">
      <c r="A1764" s="27">
        <v>45662.0</v>
      </c>
      <c r="B1764" s="26" t="s">
        <v>4185</v>
      </c>
      <c r="C1764" s="26" t="s">
        <v>255</v>
      </c>
      <c r="D1764" s="26">
        <v>1380000.0</v>
      </c>
      <c r="F1764" s="26" t="s">
        <v>2542</v>
      </c>
    </row>
    <row r="1765">
      <c r="A1765" s="27">
        <v>45661.0</v>
      </c>
      <c r="B1765" s="26" t="s">
        <v>4186</v>
      </c>
      <c r="C1765" s="26" t="s">
        <v>255</v>
      </c>
      <c r="D1765" s="26">
        <v>5280000.0</v>
      </c>
      <c r="F1765" s="26" t="s">
        <v>2542</v>
      </c>
    </row>
    <row r="1766">
      <c r="A1766" s="27">
        <v>45661.0</v>
      </c>
      <c r="B1766" s="26" t="s">
        <v>4187</v>
      </c>
      <c r="C1766" s="26" t="s">
        <v>2571</v>
      </c>
      <c r="D1766" s="26">
        <v>1388120.0</v>
      </c>
      <c r="F1766" s="26" t="s">
        <v>2542</v>
      </c>
      <c r="G1766" s="26">
        <v>641.22</v>
      </c>
    </row>
    <row r="1767">
      <c r="A1767" s="27">
        <v>45659.0</v>
      </c>
      <c r="B1767" s="26" t="s">
        <v>4188</v>
      </c>
      <c r="C1767" s="26" t="s">
        <v>255</v>
      </c>
      <c r="D1767" s="26">
        <v>7160000.0</v>
      </c>
      <c r="F1767" s="26" t="s">
        <v>2542</v>
      </c>
    </row>
    <row r="1768">
      <c r="A1768" s="27">
        <v>45659.0</v>
      </c>
      <c r="B1768" s="26" t="s">
        <v>4189</v>
      </c>
      <c r="C1768" s="26" t="s">
        <v>255</v>
      </c>
      <c r="D1768" s="26">
        <v>3720000.0</v>
      </c>
      <c r="F1768" s="26" t="s">
        <v>2542</v>
      </c>
    </row>
    <row r="1769">
      <c r="A1769" s="27">
        <v>45659.0</v>
      </c>
      <c r="B1769" s="26" t="s">
        <v>4190</v>
      </c>
      <c r="C1769" s="26" t="s">
        <v>255</v>
      </c>
      <c r="D1769" s="26">
        <v>1400000.0</v>
      </c>
      <c r="F1769" s="26" t="s">
        <v>2542</v>
      </c>
    </row>
    <row r="1770">
      <c r="A1770" s="27">
        <v>45659.0</v>
      </c>
      <c r="B1770" s="26" t="s">
        <v>4191</v>
      </c>
      <c r="C1770" s="26" t="s">
        <v>255</v>
      </c>
      <c r="D1770" s="26">
        <v>2142000.0</v>
      </c>
      <c r="F1770" s="26" t="s">
        <v>2542</v>
      </c>
    </row>
    <row r="1771">
      <c r="A1771" s="27">
        <v>45659.0</v>
      </c>
      <c r="B1771" s="26" t="s">
        <v>4192</v>
      </c>
      <c r="C1771" s="26" t="s">
        <v>255</v>
      </c>
      <c r="D1771" s="26">
        <v>4320000.0</v>
      </c>
      <c r="F1771" s="26" t="s">
        <v>2542</v>
      </c>
    </row>
    <row r="1772">
      <c r="A1772" s="27">
        <v>45659.0</v>
      </c>
      <c r="B1772" s="26" t="s">
        <v>4193</v>
      </c>
      <c r="C1772" s="26" t="s">
        <v>255</v>
      </c>
      <c r="D1772" s="26">
        <v>1188000.0</v>
      </c>
      <c r="F1772" s="26" t="s">
        <v>2542</v>
      </c>
    </row>
    <row r="1773">
      <c r="A1773" s="27">
        <v>45659.0</v>
      </c>
      <c r="B1773" s="26" t="s">
        <v>4194</v>
      </c>
      <c r="C1773" s="26" t="s">
        <v>255</v>
      </c>
      <c r="D1773" s="26">
        <v>5760000.0</v>
      </c>
      <c r="F1773" s="26" t="s">
        <v>2542</v>
      </c>
    </row>
    <row r="1774">
      <c r="A1774" s="27">
        <v>45659.0</v>
      </c>
      <c r="B1774" s="26" t="s">
        <v>4195</v>
      </c>
      <c r="C1774" s="26" t="s">
        <v>255</v>
      </c>
      <c r="D1774" s="26">
        <v>1.97428E7</v>
      </c>
      <c r="F1774" s="26" t="s">
        <v>2542</v>
      </c>
    </row>
    <row r="1775">
      <c r="A1775" s="27">
        <v>45658.0</v>
      </c>
      <c r="B1775" s="26" t="s">
        <v>2543</v>
      </c>
      <c r="C1775" s="26" t="s">
        <v>255</v>
      </c>
      <c r="D1775" s="26">
        <v>2535.0</v>
      </c>
      <c r="F1775" s="26" t="s">
        <v>2542</v>
      </c>
    </row>
    <row r="1776">
      <c r="A1776" s="27">
        <v>45657.0</v>
      </c>
      <c r="B1776" s="26" t="s">
        <v>4196</v>
      </c>
      <c r="C1776" s="26" t="s">
        <v>255</v>
      </c>
      <c r="D1776" s="26">
        <v>1875000.0</v>
      </c>
      <c r="F1776" s="26" t="s">
        <v>2542</v>
      </c>
    </row>
    <row r="1777">
      <c r="A1777" s="27">
        <v>45657.0</v>
      </c>
      <c r="B1777" s="26" t="s">
        <v>4197</v>
      </c>
      <c r="C1777" s="26" t="s">
        <v>2593</v>
      </c>
      <c r="D1777" s="26">
        <v>430000.0</v>
      </c>
      <c r="F1777" s="26" t="s">
        <v>2542</v>
      </c>
      <c r="G1777" s="26">
        <v>6423.0</v>
      </c>
    </row>
    <row r="1778">
      <c r="A1778" s="27">
        <v>45656.0</v>
      </c>
      <c r="B1778" s="26" t="s">
        <v>4198</v>
      </c>
      <c r="C1778" s="26" t="s">
        <v>255</v>
      </c>
      <c r="D1778" s="26">
        <v>4775000.0</v>
      </c>
      <c r="F1778" s="26" t="s">
        <v>2542</v>
      </c>
    </row>
    <row r="1779">
      <c r="A1779" s="27">
        <v>45656.0</v>
      </c>
      <c r="B1779" s="26" t="s">
        <v>4199</v>
      </c>
      <c r="C1779" s="26" t="s">
        <v>3620</v>
      </c>
      <c r="D1779" s="26">
        <v>500000.0</v>
      </c>
      <c r="F1779" s="26" t="s">
        <v>2542</v>
      </c>
      <c r="G1779" s="26">
        <v>6428.0</v>
      </c>
    </row>
    <row r="1780">
      <c r="A1780" s="27">
        <v>45656.0</v>
      </c>
      <c r="B1780" s="26" t="s">
        <v>4200</v>
      </c>
      <c r="C1780" s="26" t="s">
        <v>3620</v>
      </c>
      <c r="D1780" s="26">
        <v>500000.0</v>
      </c>
      <c r="F1780" s="26" t="s">
        <v>2542</v>
      </c>
      <c r="G1780" s="26">
        <v>6428.0</v>
      </c>
    </row>
    <row r="1781">
      <c r="A1781" s="27">
        <v>45656.0</v>
      </c>
      <c r="B1781" s="26" t="s">
        <v>4201</v>
      </c>
      <c r="C1781" s="26" t="s">
        <v>3620</v>
      </c>
      <c r="D1781" s="26">
        <v>500000.0</v>
      </c>
      <c r="F1781" s="26" t="s">
        <v>2542</v>
      </c>
      <c r="G1781" s="26">
        <v>6428.0</v>
      </c>
    </row>
    <row r="1782">
      <c r="A1782" s="27">
        <v>45656.0</v>
      </c>
      <c r="B1782" s="26" t="s">
        <v>4202</v>
      </c>
      <c r="C1782" s="26" t="s">
        <v>3620</v>
      </c>
      <c r="D1782" s="26">
        <v>500000.0</v>
      </c>
      <c r="F1782" s="26" t="s">
        <v>2542</v>
      </c>
      <c r="G1782" s="26">
        <v>6428.0</v>
      </c>
    </row>
    <row r="1783">
      <c r="A1783" s="27">
        <v>45656.0</v>
      </c>
      <c r="B1783" s="26" t="s">
        <v>4203</v>
      </c>
      <c r="C1783" s="26" t="s">
        <v>3620</v>
      </c>
      <c r="D1783" s="26">
        <v>500000.0</v>
      </c>
      <c r="F1783" s="26" t="s">
        <v>2542</v>
      </c>
      <c r="G1783" s="26">
        <v>6428.0</v>
      </c>
    </row>
    <row r="1784">
      <c r="A1784" s="27">
        <v>45656.0</v>
      </c>
      <c r="B1784" s="26" t="s">
        <v>4204</v>
      </c>
      <c r="C1784" s="26" t="s">
        <v>2545</v>
      </c>
      <c r="D1784" s="26">
        <v>1.9895E7</v>
      </c>
      <c r="F1784" s="26" t="s">
        <v>2542</v>
      </c>
      <c r="G1784" s="26">
        <v>3341.0</v>
      </c>
    </row>
    <row r="1785">
      <c r="A1785" s="27">
        <v>45656.0</v>
      </c>
      <c r="B1785" s="26" t="s">
        <v>4205</v>
      </c>
      <c r="C1785" s="26" t="s">
        <v>2545</v>
      </c>
      <c r="D1785" s="26">
        <v>1.56E7</v>
      </c>
      <c r="F1785" s="26" t="s">
        <v>2542</v>
      </c>
      <c r="G1785" s="26">
        <v>3341.0</v>
      </c>
    </row>
    <row r="1786">
      <c r="A1786" s="27">
        <v>45656.0</v>
      </c>
      <c r="B1786" s="26" t="s">
        <v>4206</v>
      </c>
      <c r="C1786" s="26" t="s">
        <v>2545</v>
      </c>
      <c r="D1786" s="26">
        <v>1.536E7</v>
      </c>
      <c r="F1786" s="26" t="s">
        <v>2542</v>
      </c>
      <c r="G1786" s="26">
        <v>3341.0</v>
      </c>
    </row>
    <row r="1787">
      <c r="A1787" s="27">
        <v>45656.0</v>
      </c>
      <c r="B1787" s="26" t="s">
        <v>4207</v>
      </c>
      <c r="C1787" s="26" t="s">
        <v>2545</v>
      </c>
      <c r="D1787" s="26">
        <v>1.116E7</v>
      </c>
      <c r="F1787" s="26" t="s">
        <v>2542</v>
      </c>
      <c r="G1787" s="26">
        <v>3341.0</v>
      </c>
    </row>
    <row r="1788">
      <c r="A1788" s="27">
        <v>45656.0</v>
      </c>
      <c r="B1788" s="26" t="s">
        <v>4208</v>
      </c>
      <c r="C1788" s="26" t="s">
        <v>2545</v>
      </c>
      <c r="D1788" s="26">
        <v>9370000.0</v>
      </c>
      <c r="F1788" s="26" t="s">
        <v>2542</v>
      </c>
      <c r="G1788" s="26">
        <v>3341.0</v>
      </c>
    </row>
    <row r="1789">
      <c r="A1789" s="27">
        <v>45656.0</v>
      </c>
      <c r="B1789" s="26" t="s">
        <v>4209</v>
      </c>
      <c r="C1789" s="26" t="s">
        <v>2545</v>
      </c>
      <c r="D1789" s="26">
        <v>2.2E7</v>
      </c>
      <c r="F1789" s="26" t="s">
        <v>2542</v>
      </c>
      <c r="G1789" s="26">
        <v>3341.0</v>
      </c>
    </row>
    <row r="1790">
      <c r="A1790" s="27">
        <v>45656.0</v>
      </c>
      <c r="B1790" s="26" t="s">
        <v>4210</v>
      </c>
      <c r="C1790" s="26" t="s">
        <v>2545</v>
      </c>
      <c r="D1790" s="26">
        <v>1.2E7</v>
      </c>
      <c r="F1790" s="26" t="s">
        <v>2542</v>
      </c>
      <c r="G1790" s="26">
        <v>3341.0</v>
      </c>
    </row>
    <row r="1791">
      <c r="A1791" s="27">
        <v>45655.0</v>
      </c>
      <c r="B1791" s="26" t="s">
        <v>2555</v>
      </c>
      <c r="C1791" s="26" t="s">
        <v>255</v>
      </c>
      <c r="D1791" s="26">
        <v>1080000.0</v>
      </c>
      <c r="F1791" s="26" t="s">
        <v>2542</v>
      </c>
    </row>
    <row r="1792">
      <c r="A1792" s="27">
        <v>45654.0</v>
      </c>
      <c r="B1792" s="26" t="s">
        <v>4109</v>
      </c>
      <c r="C1792" s="26" t="s">
        <v>255</v>
      </c>
      <c r="D1792" s="26">
        <v>5592000.0</v>
      </c>
      <c r="F1792" s="26" t="s">
        <v>2542</v>
      </c>
    </row>
    <row r="1793">
      <c r="A1793" s="27">
        <v>45653.0</v>
      </c>
      <c r="B1793" s="26" t="s">
        <v>4211</v>
      </c>
      <c r="C1793" s="26" t="s">
        <v>255</v>
      </c>
      <c r="D1793" s="26">
        <v>5.0E7</v>
      </c>
      <c r="F1793" s="26" t="s">
        <v>2542</v>
      </c>
    </row>
    <row r="1794">
      <c r="A1794" s="27">
        <v>45653.0</v>
      </c>
      <c r="B1794" s="26" t="s">
        <v>4212</v>
      </c>
      <c r="C1794" s="26" t="s">
        <v>255</v>
      </c>
      <c r="D1794" s="26">
        <v>4605820.0</v>
      </c>
      <c r="F1794" s="26" t="s">
        <v>2542</v>
      </c>
    </row>
    <row r="1795">
      <c r="A1795" s="27">
        <v>45653.0</v>
      </c>
      <c r="B1795" s="26" t="s">
        <v>4213</v>
      </c>
      <c r="C1795" s="26" t="s">
        <v>255</v>
      </c>
      <c r="D1795" s="26">
        <v>9000000.0</v>
      </c>
      <c r="F1795" s="26" t="s">
        <v>2542</v>
      </c>
    </row>
    <row r="1796">
      <c r="A1796" s="27">
        <v>45653.0</v>
      </c>
      <c r="B1796" s="26" t="s">
        <v>4214</v>
      </c>
      <c r="C1796" s="26" t="s">
        <v>255</v>
      </c>
      <c r="D1796" s="26">
        <v>8540000.0</v>
      </c>
      <c r="F1796" s="26" t="s">
        <v>2542</v>
      </c>
    </row>
    <row r="1797">
      <c r="A1797" s="27">
        <v>45653.0</v>
      </c>
      <c r="B1797" s="26" t="s">
        <v>2572</v>
      </c>
      <c r="C1797" s="26" t="s">
        <v>255</v>
      </c>
      <c r="D1797" s="26">
        <v>1080000.0</v>
      </c>
      <c r="F1797" s="26" t="s">
        <v>2542</v>
      </c>
    </row>
    <row r="1798">
      <c r="A1798" s="27">
        <v>45653.0</v>
      </c>
      <c r="B1798" s="26" t="s">
        <v>4215</v>
      </c>
      <c r="C1798" s="26" t="s">
        <v>255</v>
      </c>
      <c r="D1798" s="26">
        <v>2062500.0</v>
      </c>
      <c r="F1798" s="26" t="s">
        <v>2542</v>
      </c>
    </row>
    <row r="1799">
      <c r="A1799" s="27">
        <v>45653.0</v>
      </c>
      <c r="B1799" s="26" t="s">
        <v>4216</v>
      </c>
      <c r="C1799" s="26" t="s">
        <v>255</v>
      </c>
      <c r="D1799" s="26">
        <v>1320000.0</v>
      </c>
      <c r="F1799" s="26" t="s">
        <v>2542</v>
      </c>
    </row>
    <row r="1800">
      <c r="A1800" s="27">
        <v>45653.0</v>
      </c>
      <c r="B1800" s="26" t="s">
        <v>4211</v>
      </c>
      <c r="C1800" s="28"/>
      <c r="D1800" s="26">
        <v>5.0E7</v>
      </c>
      <c r="F1800" s="26" t="s">
        <v>2542</v>
      </c>
    </row>
    <row r="1801">
      <c r="A1801" s="27">
        <v>45653.0</v>
      </c>
      <c r="B1801" s="26" t="s">
        <v>4217</v>
      </c>
      <c r="C1801" s="28"/>
      <c r="D1801" s="26">
        <v>2159995.0</v>
      </c>
      <c r="F1801" s="26" t="s">
        <v>2542</v>
      </c>
      <c r="G1801" s="26">
        <v>3388.0</v>
      </c>
    </row>
    <row r="1802">
      <c r="A1802" s="27">
        <v>45653.0</v>
      </c>
      <c r="B1802" s="26" t="s">
        <v>4218</v>
      </c>
      <c r="C1802" s="26" t="s">
        <v>2574</v>
      </c>
      <c r="D1802" s="26">
        <v>5583600.0</v>
      </c>
      <c r="F1802" s="26" t="s">
        <v>2542</v>
      </c>
      <c r="G1802" s="26">
        <v>331.0</v>
      </c>
    </row>
    <row r="1803">
      <c r="A1803" s="27">
        <v>45653.0</v>
      </c>
      <c r="B1803" s="26" t="s">
        <v>4219</v>
      </c>
      <c r="C1803" s="26" t="s">
        <v>2561</v>
      </c>
      <c r="D1803" s="26" t="s">
        <v>4220</v>
      </c>
      <c r="F1803" s="26" t="s">
        <v>2542</v>
      </c>
      <c r="G1803" s="26">
        <v>632.1</v>
      </c>
    </row>
    <row r="1804">
      <c r="A1804" s="27">
        <v>45652.0</v>
      </c>
      <c r="B1804" s="26" t="s">
        <v>4221</v>
      </c>
      <c r="C1804" s="26" t="s">
        <v>2887</v>
      </c>
      <c r="D1804" s="26" t="s">
        <v>4222</v>
      </c>
      <c r="F1804" s="26" t="s">
        <v>2542</v>
      </c>
    </row>
    <row r="1805">
      <c r="A1805" s="27">
        <v>45652.0</v>
      </c>
      <c r="B1805" s="26" t="s">
        <v>4223</v>
      </c>
      <c r="C1805" s="26" t="s">
        <v>255</v>
      </c>
      <c r="D1805" s="26">
        <v>1080000.0</v>
      </c>
      <c r="F1805" s="26" t="s">
        <v>2542</v>
      </c>
    </row>
    <row r="1806">
      <c r="A1806" s="27">
        <v>45652.0</v>
      </c>
      <c r="B1806" s="26" t="s">
        <v>4224</v>
      </c>
      <c r="C1806" s="26" t="s">
        <v>255</v>
      </c>
      <c r="D1806" s="26">
        <v>2554000.0</v>
      </c>
      <c r="F1806" s="26" t="s">
        <v>2542</v>
      </c>
    </row>
    <row r="1807">
      <c r="A1807" s="27">
        <v>45652.0</v>
      </c>
      <c r="B1807" s="26" t="s">
        <v>4225</v>
      </c>
      <c r="C1807" s="26" t="s">
        <v>255</v>
      </c>
      <c r="D1807" s="26">
        <v>1790000.0</v>
      </c>
      <c r="F1807" s="26" t="s">
        <v>2542</v>
      </c>
    </row>
    <row r="1808">
      <c r="A1808" s="27">
        <v>45652.0</v>
      </c>
      <c r="B1808" s="26" t="s">
        <v>4226</v>
      </c>
      <c r="C1808" s="26" t="s">
        <v>255</v>
      </c>
      <c r="D1808" s="26">
        <v>8220000.0</v>
      </c>
      <c r="F1808" s="26" t="s">
        <v>2542</v>
      </c>
    </row>
    <row r="1809">
      <c r="A1809" s="27">
        <v>45652.0</v>
      </c>
      <c r="B1809" s="26" t="s">
        <v>4227</v>
      </c>
      <c r="C1809" s="26" t="s">
        <v>255</v>
      </c>
      <c r="D1809" s="26">
        <v>2160000.0</v>
      </c>
      <c r="F1809" s="26" t="s">
        <v>2542</v>
      </c>
    </row>
    <row r="1810">
      <c r="A1810" s="27">
        <v>45652.0</v>
      </c>
      <c r="B1810" s="26" t="s">
        <v>4228</v>
      </c>
      <c r="C1810" s="26" t="s">
        <v>255</v>
      </c>
      <c r="D1810" s="26">
        <v>64000.0</v>
      </c>
      <c r="F1810" s="26" t="s">
        <v>2542</v>
      </c>
    </row>
    <row r="1811">
      <c r="A1811" s="27">
        <v>45652.0</v>
      </c>
      <c r="B1811" s="26" t="s">
        <v>4221</v>
      </c>
      <c r="C1811" s="28"/>
      <c r="D1811" s="26">
        <v>8000000.0</v>
      </c>
      <c r="F1811" s="26" t="s">
        <v>2542</v>
      </c>
    </row>
    <row r="1812">
      <c r="A1812" s="27">
        <v>45652.0</v>
      </c>
      <c r="B1812" s="26" t="s">
        <v>4229</v>
      </c>
      <c r="C1812" s="26" t="s">
        <v>2561</v>
      </c>
      <c r="D1812" s="26">
        <v>4500000.0</v>
      </c>
      <c r="F1812" s="26" t="s">
        <v>2542</v>
      </c>
      <c r="G1812" s="26">
        <v>331.0</v>
      </c>
    </row>
    <row r="1813">
      <c r="A1813" s="27">
        <v>45652.0</v>
      </c>
      <c r="B1813" s="26" t="s">
        <v>4230</v>
      </c>
      <c r="C1813" s="26" t="s">
        <v>2583</v>
      </c>
      <c r="D1813" s="26">
        <v>378000.0</v>
      </c>
      <c r="F1813" s="26" t="s">
        <v>2542</v>
      </c>
      <c r="G1813" s="26">
        <v>641.24</v>
      </c>
    </row>
    <row r="1814">
      <c r="A1814" s="27">
        <v>45651.0</v>
      </c>
      <c r="B1814" s="26" t="s">
        <v>4231</v>
      </c>
      <c r="C1814" s="26" t="s">
        <v>255</v>
      </c>
      <c r="D1814" s="26">
        <v>2159995.0</v>
      </c>
      <c r="F1814" s="26" t="s">
        <v>2542</v>
      </c>
    </row>
    <row r="1815">
      <c r="A1815" s="27">
        <v>45651.0</v>
      </c>
      <c r="B1815" s="26" t="s">
        <v>4232</v>
      </c>
      <c r="C1815" s="26" t="s">
        <v>2564</v>
      </c>
      <c r="D1815" s="26" t="s">
        <v>4233</v>
      </c>
      <c r="F1815" s="26" t="s">
        <v>2542</v>
      </c>
      <c r="G1815" s="26">
        <v>3332.0</v>
      </c>
    </row>
    <row r="1816">
      <c r="A1816" s="27">
        <v>45651.0</v>
      </c>
      <c r="B1816" s="26" t="s">
        <v>4234</v>
      </c>
      <c r="C1816" s="26" t="s">
        <v>2545</v>
      </c>
      <c r="D1816" s="26">
        <v>1.2E7</v>
      </c>
      <c r="F1816" s="26" t="s">
        <v>2542</v>
      </c>
      <c r="G1816" s="26">
        <v>3341.0</v>
      </c>
    </row>
    <row r="1817">
      <c r="A1817" s="27">
        <v>45651.0</v>
      </c>
      <c r="B1817" s="26" t="s">
        <v>4235</v>
      </c>
      <c r="C1817" s="26" t="s">
        <v>2561</v>
      </c>
      <c r="D1817" s="26">
        <v>6480000.0</v>
      </c>
      <c r="F1817" s="26" t="s">
        <v>2542</v>
      </c>
      <c r="G1817" s="26">
        <v>331.0</v>
      </c>
    </row>
    <row r="1818">
      <c r="A1818" s="27">
        <v>45650.0</v>
      </c>
      <c r="B1818" s="26" t="s">
        <v>2586</v>
      </c>
      <c r="C1818" s="26" t="s">
        <v>255</v>
      </c>
      <c r="D1818" s="26">
        <v>20046.0</v>
      </c>
      <c r="F1818" s="26" t="s">
        <v>2542</v>
      </c>
    </row>
    <row r="1819">
      <c r="A1819" s="27">
        <v>45649.0</v>
      </c>
      <c r="B1819" s="26" t="s">
        <v>4236</v>
      </c>
      <c r="C1819" s="26" t="s">
        <v>255</v>
      </c>
      <c r="D1819" s="26">
        <v>1480000.0</v>
      </c>
      <c r="F1819" s="26" t="s">
        <v>2542</v>
      </c>
    </row>
    <row r="1820">
      <c r="A1820" s="27">
        <v>45649.0</v>
      </c>
      <c r="B1820" s="26" t="s">
        <v>4237</v>
      </c>
      <c r="C1820" s="26" t="s">
        <v>255</v>
      </c>
      <c r="D1820" s="26">
        <v>8316000.0</v>
      </c>
      <c r="F1820" s="26" t="s">
        <v>2542</v>
      </c>
    </row>
    <row r="1821">
      <c r="A1821" s="27">
        <v>45649.0</v>
      </c>
      <c r="B1821" s="26" t="s">
        <v>4238</v>
      </c>
      <c r="C1821" s="26" t="s">
        <v>255</v>
      </c>
      <c r="D1821" s="26">
        <v>300000.0</v>
      </c>
      <c r="F1821" s="26" t="s">
        <v>2542</v>
      </c>
    </row>
    <row r="1822">
      <c r="A1822" s="27">
        <v>45649.0</v>
      </c>
      <c r="B1822" s="26" t="s">
        <v>4239</v>
      </c>
      <c r="C1822" s="26" t="s">
        <v>255</v>
      </c>
      <c r="D1822" s="26">
        <v>1080000.0</v>
      </c>
      <c r="F1822" s="26" t="s">
        <v>2542</v>
      </c>
    </row>
    <row r="1823">
      <c r="A1823" s="27">
        <v>45649.0</v>
      </c>
      <c r="B1823" s="26" t="s">
        <v>4240</v>
      </c>
      <c r="C1823" s="26" t="s">
        <v>2561</v>
      </c>
      <c r="D1823" s="26">
        <v>4960000.0</v>
      </c>
      <c r="F1823" s="26" t="s">
        <v>2542</v>
      </c>
      <c r="G1823" s="26">
        <v>331.0</v>
      </c>
    </row>
    <row r="1824">
      <c r="A1824" s="27">
        <v>45648.0</v>
      </c>
      <c r="B1824" s="26" t="s">
        <v>4241</v>
      </c>
      <c r="C1824" s="26" t="s">
        <v>255</v>
      </c>
      <c r="D1824" s="26">
        <v>1.0995E7</v>
      </c>
      <c r="F1824" s="26" t="s">
        <v>2542</v>
      </c>
    </row>
    <row r="1825">
      <c r="A1825" s="27">
        <v>45648.0</v>
      </c>
      <c r="B1825" s="26" t="s">
        <v>4242</v>
      </c>
      <c r="C1825" s="26" t="s">
        <v>255</v>
      </c>
      <c r="D1825" s="26">
        <v>7860000.0</v>
      </c>
      <c r="F1825" s="26" t="s">
        <v>2542</v>
      </c>
    </row>
    <row r="1826">
      <c r="A1826" s="27">
        <v>45648.0</v>
      </c>
      <c r="B1826" s="26" t="s">
        <v>4243</v>
      </c>
      <c r="C1826" s="26" t="s">
        <v>255</v>
      </c>
      <c r="D1826" s="26">
        <v>2160000.0</v>
      </c>
      <c r="F1826" s="26" t="s">
        <v>2542</v>
      </c>
    </row>
    <row r="1827">
      <c r="A1827" s="27">
        <v>45648.0</v>
      </c>
      <c r="B1827" s="26" t="s">
        <v>4244</v>
      </c>
      <c r="C1827" s="26" t="s">
        <v>255</v>
      </c>
      <c r="D1827" s="26">
        <v>2860000.0</v>
      </c>
      <c r="F1827" s="26" t="s">
        <v>2542</v>
      </c>
    </row>
    <row r="1828">
      <c r="A1828" s="27">
        <v>45648.0</v>
      </c>
      <c r="B1828" s="26" t="s">
        <v>4245</v>
      </c>
      <c r="C1828" s="26" t="s">
        <v>255</v>
      </c>
      <c r="D1828" s="26">
        <v>1080000.0</v>
      </c>
      <c r="F1828" s="26" t="s">
        <v>2542</v>
      </c>
    </row>
    <row r="1829">
      <c r="A1829" s="27">
        <v>45648.0</v>
      </c>
      <c r="B1829" s="26" t="s">
        <v>4246</v>
      </c>
      <c r="C1829" s="26" t="s">
        <v>255</v>
      </c>
      <c r="D1829" s="26">
        <v>1080000.0</v>
      </c>
      <c r="F1829" s="26" t="s">
        <v>2542</v>
      </c>
    </row>
    <row r="1830">
      <c r="A1830" s="27">
        <v>45648.0</v>
      </c>
      <c r="B1830" s="26" t="s">
        <v>4247</v>
      </c>
      <c r="C1830" s="26" t="s">
        <v>255</v>
      </c>
      <c r="D1830" s="26">
        <v>2160000.0</v>
      </c>
      <c r="F1830" s="26" t="s">
        <v>2542</v>
      </c>
    </row>
    <row r="1831">
      <c r="A1831" s="27">
        <v>45648.0</v>
      </c>
      <c r="B1831" s="26" t="s">
        <v>4248</v>
      </c>
      <c r="C1831" s="26" t="s">
        <v>255</v>
      </c>
      <c r="D1831" s="26">
        <v>2040000.0</v>
      </c>
      <c r="F1831" s="26" t="s">
        <v>2542</v>
      </c>
    </row>
    <row r="1832">
      <c r="A1832" s="27">
        <v>45648.0</v>
      </c>
      <c r="B1832" s="26" t="s">
        <v>4249</v>
      </c>
      <c r="C1832" s="26" t="s">
        <v>255</v>
      </c>
      <c r="D1832" s="26">
        <v>3240000.0</v>
      </c>
      <c r="F1832" s="26" t="s">
        <v>2542</v>
      </c>
    </row>
    <row r="1833">
      <c r="A1833" s="27">
        <v>45648.0</v>
      </c>
      <c r="B1833" s="26" t="s">
        <v>4250</v>
      </c>
      <c r="C1833" s="26" t="s">
        <v>255</v>
      </c>
      <c r="D1833" s="26">
        <v>1568000.0</v>
      </c>
      <c r="F1833" s="26" t="s">
        <v>2542</v>
      </c>
    </row>
    <row r="1834">
      <c r="A1834" s="27">
        <v>45648.0</v>
      </c>
      <c r="B1834" s="26" t="s">
        <v>4251</v>
      </c>
      <c r="C1834" s="26" t="s">
        <v>255</v>
      </c>
      <c r="D1834" s="26">
        <v>1080000.0</v>
      </c>
      <c r="F1834" s="26" t="s">
        <v>2542</v>
      </c>
    </row>
    <row r="1835">
      <c r="A1835" s="27">
        <v>45648.0</v>
      </c>
      <c r="B1835" s="26" t="s">
        <v>4252</v>
      </c>
      <c r="C1835" s="26" t="s">
        <v>255</v>
      </c>
      <c r="D1835" s="26">
        <v>1593000.0</v>
      </c>
      <c r="F1835" s="26" t="s">
        <v>2542</v>
      </c>
    </row>
    <row r="1836">
      <c r="A1836" s="27">
        <v>45648.0</v>
      </c>
      <c r="B1836" s="26" t="s">
        <v>4253</v>
      </c>
      <c r="C1836" s="26" t="s">
        <v>2571</v>
      </c>
      <c r="D1836" s="26">
        <v>1000000.0</v>
      </c>
      <c r="F1836" s="26" t="s">
        <v>2542</v>
      </c>
      <c r="G1836" s="26">
        <v>641.16</v>
      </c>
    </row>
    <row r="1837">
      <c r="A1837" s="27">
        <v>45647.0</v>
      </c>
      <c r="B1837" s="26" t="s">
        <v>4254</v>
      </c>
      <c r="C1837" s="26" t="s">
        <v>255</v>
      </c>
      <c r="D1837" s="26">
        <v>9855000.0</v>
      </c>
      <c r="F1837" s="26" t="s">
        <v>2542</v>
      </c>
    </row>
    <row r="1838">
      <c r="A1838" s="27">
        <v>45647.0</v>
      </c>
      <c r="B1838" s="26" t="s">
        <v>4255</v>
      </c>
      <c r="C1838" s="26" t="s">
        <v>255</v>
      </c>
      <c r="D1838" s="26">
        <v>4715000.0</v>
      </c>
      <c r="F1838" s="26" t="s">
        <v>2542</v>
      </c>
    </row>
    <row r="1839">
      <c r="A1839" s="27">
        <v>45647.0</v>
      </c>
      <c r="B1839" s="26" t="s">
        <v>2708</v>
      </c>
      <c r="C1839" s="26" t="s">
        <v>255</v>
      </c>
      <c r="D1839" s="26">
        <v>1836000.0</v>
      </c>
      <c r="F1839" s="26" t="s">
        <v>2542</v>
      </c>
    </row>
    <row r="1840">
      <c r="A1840" s="27">
        <v>45645.0</v>
      </c>
      <c r="B1840" s="26" t="s">
        <v>3444</v>
      </c>
      <c r="C1840" s="26" t="s">
        <v>2564</v>
      </c>
      <c r="D1840" s="26" t="s">
        <v>4256</v>
      </c>
      <c r="F1840" s="26" t="s">
        <v>2542</v>
      </c>
      <c r="G1840" s="26">
        <v>3332.0</v>
      </c>
    </row>
    <row r="1841">
      <c r="A1841" s="27">
        <v>45644.0</v>
      </c>
      <c r="B1841" s="26" t="s">
        <v>4257</v>
      </c>
      <c r="C1841" s="26" t="s">
        <v>255</v>
      </c>
      <c r="D1841" s="26">
        <v>1.1814E7</v>
      </c>
      <c r="F1841" s="26" t="s">
        <v>2542</v>
      </c>
    </row>
    <row r="1842">
      <c r="A1842" s="27">
        <v>45644.0</v>
      </c>
      <c r="B1842" s="26" t="s">
        <v>4258</v>
      </c>
      <c r="C1842" s="26" t="s">
        <v>255</v>
      </c>
      <c r="D1842" s="26">
        <v>3120000.0</v>
      </c>
      <c r="F1842" s="26" t="s">
        <v>2542</v>
      </c>
    </row>
    <row r="1843">
      <c r="A1843" s="27">
        <v>45644.0</v>
      </c>
      <c r="B1843" s="26" t="s">
        <v>2663</v>
      </c>
      <c r="C1843" s="26" t="s">
        <v>255</v>
      </c>
      <c r="D1843" s="26">
        <v>6899200.0</v>
      </c>
      <c r="F1843" s="26" t="s">
        <v>2542</v>
      </c>
    </row>
    <row r="1844">
      <c r="A1844" s="27">
        <v>45644.0</v>
      </c>
      <c r="B1844" s="26" t="s">
        <v>4259</v>
      </c>
      <c r="C1844" s="26" t="s">
        <v>3620</v>
      </c>
      <c r="D1844" s="26">
        <v>3000000.0</v>
      </c>
      <c r="F1844" s="26" t="s">
        <v>2542</v>
      </c>
      <c r="G1844" s="26">
        <v>6428.0</v>
      </c>
    </row>
    <row r="1845">
      <c r="A1845" s="27">
        <v>45644.0</v>
      </c>
      <c r="B1845" s="26" t="s">
        <v>4260</v>
      </c>
      <c r="C1845" s="26" t="s">
        <v>2561</v>
      </c>
      <c r="D1845" s="26">
        <v>3.100433E7</v>
      </c>
      <c r="F1845" s="26" t="s">
        <v>2542</v>
      </c>
      <c r="G1845" s="26">
        <v>331.0</v>
      </c>
    </row>
    <row r="1846">
      <c r="A1846" s="27">
        <v>45644.0</v>
      </c>
      <c r="B1846" s="26" t="s">
        <v>4261</v>
      </c>
      <c r="C1846" s="26" t="s">
        <v>2574</v>
      </c>
      <c r="D1846" s="26">
        <v>1.1448E7</v>
      </c>
      <c r="F1846" s="26" t="s">
        <v>2542</v>
      </c>
      <c r="G1846" s="26">
        <v>331.0</v>
      </c>
    </row>
    <row r="1847">
      <c r="A1847" s="27">
        <v>45643.0</v>
      </c>
      <c r="B1847" s="26" t="s">
        <v>4262</v>
      </c>
      <c r="C1847" s="26" t="s">
        <v>255</v>
      </c>
      <c r="D1847" s="26">
        <v>1.74856E7</v>
      </c>
      <c r="F1847" s="26" t="s">
        <v>2542</v>
      </c>
    </row>
    <row r="1848">
      <c r="A1848" s="27">
        <v>45643.0</v>
      </c>
      <c r="B1848" s="26" t="s">
        <v>3829</v>
      </c>
      <c r="C1848" s="26" t="s">
        <v>255</v>
      </c>
      <c r="D1848" s="26">
        <v>3950000.0</v>
      </c>
      <c r="F1848" s="26" t="s">
        <v>2542</v>
      </c>
    </row>
    <row r="1849">
      <c r="A1849" s="27">
        <v>45643.0</v>
      </c>
      <c r="B1849" s="26" t="s">
        <v>4160</v>
      </c>
      <c r="C1849" s="26" t="s">
        <v>255</v>
      </c>
      <c r="D1849" s="26">
        <v>1.3101E7</v>
      </c>
      <c r="F1849" s="26" t="s">
        <v>2542</v>
      </c>
    </row>
    <row r="1850">
      <c r="A1850" s="27">
        <v>45643.0</v>
      </c>
      <c r="B1850" s="26" t="s">
        <v>4263</v>
      </c>
      <c r="C1850" s="26" t="s">
        <v>255</v>
      </c>
      <c r="D1850" s="26">
        <v>3190000.0</v>
      </c>
      <c r="F1850" s="26" t="s">
        <v>2542</v>
      </c>
    </row>
    <row r="1851">
      <c r="A1851" s="27">
        <v>45642.0</v>
      </c>
      <c r="B1851" s="26" t="s">
        <v>4264</v>
      </c>
      <c r="C1851" s="26" t="s">
        <v>255</v>
      </c>
      <c r="D1851" s="26">
        <v>6650000.0</v>
      </c>
      <c r="F1851" s="26" t="s">
        <v>2542</v>
      </c>
    </row>
    <row r="1852">
      <c r="A1852" s="27">
        <v>45642.0</v>
      </c>
      <c r="B1852" s="26" t="s">
        <v>4265</v>
      </c>
      <c r="C1852" s="26" t="s">
        <v>255</v>
      </c>
      <c r="D1852" s="26">
        <v>969000.0</v>
      </c>
      <c r="F1852" s="26" t="s">
        <v>2542</v>
      </c>
    </row>
    <row r="1853">
      <c r="A1853" s="27">
        <v>45642.0</v>
      </c>
      <c r="B1853" s="26" t="s">
        <v>4266</v>
      </c>
      <c r="C1853" s="26" t="s">
        <v>255</v>
      </c>
      <c r="D1853" s="26">
        <v>9.285512E7</v>
      </c>
      <c r="F1853" s="26" t="s">
        <v>2542</v>
      </c>
    </row>
    <row r="1854">
      <c r="A1854" s="27">
        <v>45642.0</v>
      </c>
      <c r="B1854" s="26" t="s">
        <v>4267</v>
      </c>
      <c r="C1854" s="26" t="s">
        <v>255</v>
      </c>
      <c r="D1854" s="26">
        <v>1320000.0</v>
      </c>
      <c r="F1854" s="26" t="s">
        <v>2542</v>
      </c>
    </row>
    <row r="1855">
      <c r="A1855" s="27">
        <v>45642.0</v>
      </c>
      <c r="B1855" s="26" t="s">
        <v>3835</v>
      </c>
      <c r="C1855" s="26" t="s">
        <v>255</v>
      </c>
      <c r="D1855" s="26">
        <v>1320000.0</v>
      </c>
      <c r="F1855" s="26" t="s">
        <v>2542</v>
      </c>
    </row>
    <row r="1856">
      <c r="A1856" s="27">
        <v>45642.0</v>
      </c>
      <c r="B1856" s="26" t="s">
        <v>4268</v>
      </c>
      <c r="C1856" s="26" t="s">
        <v>255</v>
      </c>
      <c r="D1856" s="26">
        <v>1080000.0</v>
      </c>
      <c r="F1856" s="26" t="s">
        <v>2542</v>
      </c>
    </row>
    <row r="1857">
      <c r="A1857" s="27">
        <v>45642.0</v>
      </c>
      <c r="B1857" s="26" t="s">
        <v>4269</v>
      </c>
      <c r="C1857" s="26" t="s">
        <v>2593</v>
      </c>
      <c r="D1857" s="26">
        <v>943752.0</v>
      </c>
      <c r="F1857" s="26" t="s">
        <v>2542</v>
      </c>
      <c r="G1857" s="26">
        <v>6423.0</v>
      </c>
    </row>
    <row r="1858">
      <c r="A1858" s="27">
        <v>45641.0</v>
      </c>
      <c r="B1858" s="26" t="s">
        <v>3397</v>
      </c>
      <c r="C1858" s="26" t="s">
        <v>255</v>
      </c>
      <c r="D1858" s="26">
        <v>2160000.0</v>
      </c>
      <c r="F1858" s="26" t="s">
        <v>2542</v>
      </c>
    </row>
    <row r="1859">
      <c r="A1859" s="27">
        <v>45639.0</v>
      </c>
      <c r="B1859" s="26" t="s">
        <v>2604</v>
      </c>
      <c r="C1859" s="26" t="s">
        <v>255</v>
      </c>
      <c r="D1859" s="26">
        <v>7723750.0</v>
      </c>
      <c r="F1859" s="26" t="s">
        <v>2542</v>
      </c>
    </row>
    <row r="1860">
      <c r="A1860" s="27">
        <v>45639.0</v>
      </c>
      <c r="B1860" s="26" t="s">
        <v>2613</v>
      </c>
      <c r="C1860" s="26" t="s">
        <v>255</v>
      </c>
      <c r="D1860" s="26">
        <v>1480000.0</v>
      </c>
      <c r="F1860" s="26" t="s">
        <v>2542</v>
      </c>
    </row>
    <row r="1861">
      <c r="A1861" s="27">
        <v>45639.0</v>
      </c>
      <c r="B1861" s="26" t="s">
        <v>4270</v>
      </c>
      <c r="C1861" s="26" t="s">
        <v>2593</v>
      </c>
      <c r="D1861" s="26">
        <v>469000.0</v>
      </c>
      <c r="F1861" s="26" t="s">
        <v>2542</v>
      </c>
      <c r="G1861" s="26">
        <v>6423.0</v>
      </c>
    </row>
    <row r="1862">
      <c r="A1862" s="27">
        <v>45638.0</v>
      </c>
      <c r="B1862" s="26" t="s">
        <v>4271</v>
      </c>
      <c r="C1862" s="26" t="s">
        <v>255</v>
      </c>
      <c r="D1862" s="26">
        <v>3325000.0</v>
      </c>
      <c r="F1862" s="26" t="s">
        <v>2542</v>
      </c>
    </row>
    <row r="1863">
      <c r="A1863" s="27">
        <v>45638.0</v>
      </c>
      <c r="B1863" s="26" t="s">
        <v>2656</v>
      </c>
      <c r="C1863" s="26" t="s">
        <v>255</v>
      </c>
      <c r="D1863" s="26">
        <v>1.15075E7</v>
      </c>
      <c r="F1863" s="26" t="s">
        <v>2542</v>
      </c>
    </row>
    <row r="1864">
      <c r="A1864" s="27">
        <v>45638.0</v>
      </c>
      <c r="B1864" s="26" t="s">
        <v>2626</v>
      </c>
      <c r="C1864" s="26" t="s">
        <v>255</v>
      </c>
      <c r="D1864" s="26">
        <v>2400000.0</v>
      </c>
      <c r="F1864" s="26" t="s">
        <v>2542</v>
      </c>
    </row>
    <row r="1865">
      <c r="A1865" s="27">
        <v>45638.0</v>
      </c>
      <c r="B1865" s="26" t="s">
        <v>4272</v>
      </c>
      <c r="C1865" s="26" t="s">
        <v>255</v>
      </c>
      <c r="D1865" s="26">
        <v>3564000.0</v>
      </c>
      <c r="F1865" s="26" t="s">
        <v>2542</v>
      </c>
    </row>
    <row r="1866">
      <c r="A1866" s="27">
        <v>45638.0</v>
      </c>
      <c r="B1866" s="26" t="s">
        <v>4273</v>
      </c>
      <c r="C1866" s="26" t="s">
        <v>2561</v>
      </c>
      <c r="D1866" s="26">
        <v>9160000.0</v>
      </c>
      <c r="F1866" s="26" t="s">
        <v>2542</v>
      </c>
      <c r="G1866" s="26">
        <v>331.0</v>
      </c>
    </row>
    <row r="1867">
      <c r="A1867" s="27">
        <v>45638.0</v>
      </c>
      <c r="B1867" s="26" t="s">
        <v>4274</v>
      </c>
      <c r="C1867" s="26" t="s">
        <v>2545</v>
      </c>
      <c r="D1867" s="26">
        <v>3.593E7</v>
      </c>
      <c r="F1867" s="26" t="s">
        <v>2542</v>
      </c>
      <c r="G1867" s="26">
        <v>3341.0</v>
      </c>
    </row>
    <row r="1868">
      <c r="A1868" s="27">
        <v>45638.0</v>
      </c>
      <c r="B1868" s="26" t="s">
        <v>4275</v>
      </c>
      <c r="C1868" s="26" t="s">
        <v>2545</v>
      </c>
      <c r="D1868" s="26">
        <v>1.236E7</v>
      </c>
      <c r="F1868" s="26" t="s">
        <v>2542</v>
      </c>
      <c r="G1868" s="26">
        <v>3341.0</v>
      </c>
    </row>
    <row r="1869">
      <c r="A1869" s="27">
        <v>45638.0</v>
      </c>
      <c r="B1869" s="26" t="s">
        <v>2634</v>
      </c>
      <c r="C1869" s="26" t="s">
        <v>2545</v>
      </c>
      <c r="D1869" s="26">
        <v>1.2E7</v>
      </c>
      <c r="F1869" s="26" t="s">
        <v>2542</v>
      </c>
      <c r="G1869" s="26">
        <v>3341.0</v>
      </c>
    </row>
    <row r="1870">
      <c r="A1870" s="27">
        <v>45638.0</v>
      </c>
      <c r="B1870" s="26" t="s">
        <v>2635</v>
      </c>
      <c r="C1870" s="26" t="s">
        <v>2545</v>
      </c>
      <c r="D1870" s="26">
        <v>1.2E7</v>
      </c>
      <c r="F1870" s="26" t="s">
        <v>2542</v>
      </c>
      <c r="G1870" s="26">
        <v>3341.0</v>
      </c>
    </row>
    <row r="1871">
      <c r="A1871" s="27">
        <v>45638.0</v>
      </c>
      <c r="B1871" s="26" t="s">
        <v>4276</v>
      </c>
      <c r="C1871" s="26" t="s">
        <v>2574</v>
      </c>
      <c r="D1871" s="26">
        <v>5400000.0</v>
      </c>
      <c r="F1871" s="26" t="s">
        <v>2542</v>
      </c>
      <c r="G1871" s="26">
        <v>331.0</v>
      </c>
    </row>
    <row r="1872">
      <c r="A1872" s="27">
        <v>45637.0</v>
      </c>
      <c r="B1872" s="26" t="s">
        <v>2606</v>
      </c>
      <c r="C1872" s="26" t="s">
        <v>255</v>
      </c>
      <c r="D1872" s="26">
        <v>3830000.0</v>
      </c>
      <c r="F1872" s="26" t="s">
        <v>2542</v>
      </c>
    </row>
    <row r="1873">
      <c r="A1873" s="27">
        <v>45637.0</v>
      </c>
      <c r="B1873" s="26" t="s">
        <v>4277</v>
      </c>
      <c r="C1873" s="26" t="s">
        <v>2581</v>
      </c>
      <c r="D1873" s="26">
        <v>3575000.0</v>
      </c>
      <c r="F1873" s="26" t="s">
        <v>2542</v>
      </c>
      <c r="G1873" s="26">
        <v>6422.0</v>
      </c>
    </row>
    <row r="1874">
      <c r="A1874" s="27">
        <v>45636.0</v>
      </c>
      <c r="B1874" s="26" t="s">
        <v>2607</v>
      </c>
      <c r="C1874" s="26" t="s">
        <v>255</v>
      </c>
      <c r="D1874" s="26">
        <v>1380000.0</v>
      </c>
      <c r="F1874" s="26" t="s">
        <v>2542</v>
      </c>
    </row>
    <row r="1875">
      <c r="A1875" s="27">
        <v>45636.0</v>
      </c>
      <c r="B1875" s="26" t="s">
        <v>2624</v>
      </c>
      <c r="C1875" s="26" t="s">
        <v>255</v>
      </c>
      <c r="D1875" s="26">
        <v>4005000.0</v>
      </c>
      <c r="F1875" s="26" t="s">
        <v>2542</v>
      </c>
    </row>
    <row r="1876">
      <c r="A1876" s="27">
        <v>45636.0</v>
      </c>
      <c r="B1876" s="26" t="s">
        <v>2625</v>
      </c>
      <c r="C1876" s="26" t="s">
        <v>255</v>
      </c>
      <c r="D1876" s="26">
        <v>1260000.0</v>
      </c>
      <c r="F1876" s="26" t="s">
        <v>2542</v>
      </c>
    </row>
    <row r="1877">
      <c r="A1877" s="27">
        <v>45636.0</v>
      </c>
      <c r="B1877" s="26" t="s">
        <v>4278</v>
      </c>
      <c r="C1877" s="26" t="s">
        <v>255</v>
      </c>
      <c r="D1877" s="26">
        <v>1680000.0</v>
      </c>
      <c r="F1877" s="26" t="s">
        <v>2542</v>
      </c>
    </row>
    <row r="1878">
      <c r="A1878" s="27">
        <v>45636.0</v>
      </c>
      <c r="B1878" s="26" t="s">
        <v>4279</v>
      </c>
      <c r="C1878" s="26" t="s">
        <v>255</v>
      </c>
      <c r="D1878" s="26">
        <v>1320000.0</v>
      </c>
      <c r="F1878" s="26" t="s">
        <v>2542</v>
      </c>
    </row>
    <row r="1879">
      <c r="A1879" s="27">
        <v>45635.0</v>
      </c>
      <c r="B1879" s="26" t="s">
        <v>4280</v>
      </c>
      <c r="C1879" s="26" t="s">
        <v>255</v>
      </c>
      <c r="D1879" s="26">
        <v>5760000.0</v>
      </c>
      <c r="F1879" s="26" t="s">
        <v>2542</v>
      </c>
    </row>
    <row r="1880">
      <c r="A1880" s="27">
        <v>45635.0</v>
      </c>
      <c r="B1880" s="26" t="s">
        <v>2616</v>
      </c>
      <c r="C1880" s="26" t="s">
        <v>255</v>
      </c>
      <c r="D1880" s="26">
        <v>1.71116E7</v>
      </c>
      <c r="F1880" s="26" t="s">
        <v>2542</v>
      </c>
    </row>
    <row r="1881">
      <c r="A1881" s="27">
        <v>45635.0</v>
      </c>
      <c r="B1881" s="26" t="s">
        <v>4281</v>
      </c>
      <c r="C1881" s="26" t="s">
        <v>2545</v>
      </c>
      <c r="D1881" s="26">
        <v>5000000.0</v>
      </c>
      <c r="F1881" s="26" t="s">
        <v>2542</v>
      </c>
      <c r="G1881" s="26">
        <v>3341.0</v>
      </c>
    </row>
    <row r="1882">
      <c r="A1882" s="27">
        <v>45635.0</v>
      </c>
      <c r="B1882" s="26" t="s">
        <v>4282</v>
      </c>
      <c r="C1882" s="26" t="s">
        <v>2564</v>
      </c>
      <c r="D1882" s="26" t="s">
        <v>4283</v>
      </c>
      <c r="F1882" s="26" t="s">
        <v>2542</v>
      </c>
      <c r="G1882" s="26">
        <v>3335.0</v>
      </c>
    </row>
    <row r="1883">
      <c r="A1883" s="27">
        <v>45635.0</v>
      </c>
      <c r="B1883" s="26" t="s">
        <v>3568</v>
      </c>
      <c r="C1883" s="26" t="s">
        <v>2564</v>
      </c>
      <c r="D1883" s="26">
        <v>55.0</v>
      </c>
      <c r="F1883" s="26" t="s">
        <v>2542</v>
      </c>
      <c r="G1883" s="26">
        <v>3335.0</v>
      </c>
    </row>
    <row r="1884">
      <c r="A1884" s="27">
        <v>45632.0</v>
      </c>
      <c r="B1884" s="26" t="s">
        <v>4284</v>
      </c>
      <c r="C1884" s="26" t="s">
        <v>2545</v>
      </c>
      <c r="D1884" s="26">
        <v>2.2E7</v>
      </c>
      <c r="F1884" s="26" t="s">
        <v>2542</v>
      </c>
      <c r="G1884" s="26">
        <v>3341.0</v>
      </c>
    </row>
    <row r="1885">
      <c r="A1885" s="27">
        <v>45632.0</v>
      </c>
      <c r="B1885" s="26" t="s">
        <v>4285</v>
      </c>
      <c r="C1885" s="26" t="s">
        <v>2545</v>
      </c>
      <c r="D1885" s="26">
        <v>1.536E7</v>
      </c>
      <c r="F1885" s="26" t="s">
        <v>2542</v>
      </c>
      <c r="G1885" s="26">
        <v>3341.0</v>
      </c>
    </row>
    <row r="1886">
      <c r="A1886" s="27">
        <v>45632.0</v>
      </c>
      <c r="B1886" s="26" t="s">
        <v>4286</v>
      </c>
      <c r="C1886" s="26" t="s">
        <v>2545</v>
      </c>
      <c r="D1886" s="26">
        <v>1.56E7</v>
      </c>
      <c r="F1886" s="26" t="s">
        <v>2542</v>
      </c>
      <c r="G1886" s="26">
        <v>3341.0</v>
      </c>
    </row>
    <row r="1887">
      <c r="A1887" s="27">
        <v>45632.0</v>
      </c>
      <c r="B1887" s="26" t="s">
        <v>4287</v>
      </c>
      <c r="C1887" s="26" t="s">
        <v>2545</v>
      </c>
      <c r="D1887" s="26">
        <v>1.116E7</v>
      </c>
      <c r="F1887" s="26" t="s">
        <v>2542</v>
      </c>
      <c r="G1887" s="26">
        <v>3341.0</v>
      </c>
    </row>
    <row r="1888">
      <c r="A1888" s="27">
        <v>45632.0</v>
      </c>
      <c r="B1888" s="26" t="s">
        <v>4288</v>
      </c>
      <c r="C1888" s="26" t="s">
        <v>2545</v>
      </c>
      <c r="D1888" s="26">
        <v>9370000.0</v>
      </c>
      <c r="F1888" s="26" t="s">
        <v>2542</v>
      </c>
      <c r="G1888" s="26">
        <v>3341.0</v>
      </c>
    </row>
    <row r="1889">
      <c r="A1889" s="27">
        <v>45631.0</v>
      </c>
      <c r="B1889" s="26" t="s">
        <v>4289</v>
      </c>
      <c r="C1889" s="26" t="s">
        <v>255</v>
      </c>
      <c r="D1889" s="26">
        <v>1.5854984E7</v>
      </c>
      <c r="F1889" s="26" t="s">
        <v>2542</v>
      </c>
    </row>
    <row r="1890">
      <c r="A1890" s="27">
        <v>45631.0</v>
      </c>
      <c r="B1890" s="26" t="s">
        <v>4289</v>
      </c>
      <c r="C1890" s="26" t="s">
        <v>255</v>
      </c>
      <c r="D1890" s="26">
        <v>2006960.0</v>
      </c>
      <c r="F1890" s="26" t="s">
        <v>2542</v>
      </c>
    </row>
    <row r="1891">
      <c r="A1891" s="27">
        <v>45631.0</v>
      </c>
      <c r="B1891" s="26" t="s">
        <v>2596</v>
      </c>
      <c r="C1891" s="26" t="s">
        <v>255</v>
      </c>
      <c r="D1891" s="26">
        <v>1.4556E7</v>
      </c>
      <c r="F1891" s="26" t="s">
        <v>2542</v>
      </c>
    </row>
    <row r="1892">
      <c r="A1892" s="27">
        <v>45631.0</v>
      </c>
      <c r="B1892" s="26" t="s">
        <v>4290</v>
      </c>
      <c r="C1892" s="26" t="s">
        <v>2764</v>
      </c>
      <c r="D1892" s="26">
        <v>5.5E7</v>
      </c>
      <c r="F1892" s="26" t="s">
        <v>2542</v>
      </c>
      <c r="G1892" s="26">
        <v>6273.0</v>
      </c>
    </row>
    <row r="1893">
      <c r="A1893" s="27">
        <v>45630.0</v>
      </c>
      <c r="B1893" s="26" t="s">
        <v>4291</v>
      </c>
      <c r="C1893" s="26" t="s">
        <v>255</v>
      </c>
      <c r="D1893" s="26">
        <v>1969000.0</v>
      </c>
      <c r="F1893" s="26" t="s">
        <v>2542</v>
      </c>
    </row>
    <row r="1894">
      <c r="A1894" s="27">
        <v>45630.0</v>
      </c>
      <c r="B1894" s="26" t="s">
        <v>4292</v>
      </c>
      <c r="C1894" s="26" t="s">
        <v>2545</v>
      </c>
      <c r="D1894" s="26">
        <v>3.58E7</v>
      </c>
      <c r="F1894" s="26" t="s">
        <v>2542</v>
      </c>
      <c r="G1894" s="26">
        <v>3341.0</v>
      </c>
    </row>
    <row r="1895">
      <c r="A1895" s="27">
        <v>45630.0</v>
      </c>
      <c r="B1895" s="26" t="s">
        <v>4293</v>
      </c>
      <c r="C1895" s="26" t="s">
        <v>2561</v>
      </c>
      <c r="D1895" s="26">
        <v>5.24205E7</v>
      </c>
      <c r="F1895" s="26" t="s">
        <v>2542</v>
      </c>
      <c r="G1895" s="26">
        <v>331.0</v>
      </c>
    </row>
    <row r="1896">
      <c r="A1896" s="27">
        <v>45629.0</v>
      </c>
      <c r="B1896" s="26" t="s">
        <v>4294</v>
      </c>
      <c r="C1896" s="26" t="s">
        <v>255</v>
      </c>
      <c r="D1896" s="26">
        <v>9280000.0</v>
      </c>
      <c r="F1896" s="26" t="s">
        <v>2542</v>
      </c>
    </row>
    <row r="1897">
      <c r="A1897" s="27">
        <v>45629.0</v>
      </c>
      <c r="B1897" s="26" t="s">
        <v>4295</v>
      </c>
      <c r="C1897" s="26" t="s">
        <v>255</v>
      </c>
      <c r="D1897" s="26">
        <v>5390000.0</v>
      </c>
      <c r="F1897" s="26" t="s">
        <v>2542</v>
      </c>
    </row>
    <row r="1898">
      <c r="A1898" s="27">
        <v>45629.0</v>
      </c>
      <c r="B1898" s="26" t="s">
        <v>4296</v>
      </c>
      <c r="C1898" s="26" t="s">
        <v>255</v>
      </c>
      <c r="D1898" s="26">
        <v>9000000.0</v>
      </c>
      <c r="F1898" s="26" t="s">
        <v>2542</v>
      </c>
    </row>
    <row r="1899">
      <c r="A1899" s="27">
        <v>45629.0</v>
      </c>
      <c r="B1899" s="26" t="s">
        <v>4297</v>
      </c>
      <c r="C1899" s="26" t="s">
        <v>255</v>
      </c>
      <c r="D1899" s="26">
        <v>3657500.0</v>
      </c>
      <c r="F1899" s="26" t="s">
        <v>2542</v>
      </c>
    </row>
    <row r="1900">
      <c r="A1900" s="27">
        <v>45628.0</v>
      </c>
      <c r="B1900" s="26" t="s">
        <v>4298</v>
      </c>
      <c r="C1900" s="26" t="s">
        <v>255</v>
      </c>
      <c r="D1900" s="26">
        <v>1.0625E7</v>
      </c>
      <c r="F1900" s="26" t="s">
        <v>2542</v>
      </c>
    </row>
    <row r="1901">
      <c r="A1901" s="27">
        <v>45628.0</v>
      </c>
      <c r="B1901" s="26" t="s">
        <v>4299</v>
      </c>
      <c r="C1901" s="26" t="s">
        <v>255</v>
      </c>
      <c r="D1901" s="26">
        <v>7610000.0</v>
      </c>
      <c r="F1901" s="26" t="s">
        <v>2542</v>
      </c>
    </row>
    <row r="1902">
      <c r="A1902" s="27">
        <v>45628.0</v>
      </c>
      <c r="B1902" s="26" t="s">
        <v>2679</v>
      </c>
      <c r="C1902" s="26" t="s">
        <v>255</v>
      </c>
      <c r="D1902" s="26">
        <v>2515000.0</v>
      </c>
      <c r="F1902" s="26" t="s">
        <v>2542</v>
      </c>
    </row>
    <row r="1903">
      <c r="A1903" s="27">
        <v>45628.0</v>
      </c>
      <c r="B1903" s="26" t="s">
        <v>4300</v>
      </c>
      <c r="C1903" s="26" t="s">
        <v>255</v>
      </c>
      <c r="D1903" s="26">
        <v>404500.0</v>
      </c>
      <c r="F1903" s="26" t="s">
        <v>2542</v>
      </c>
    </row>
    <row r="1904">
      <c r="A1904" s="27">
        <v>45628.0</v>
      </c>
      <c r="B1904" s="26" t="s">
        <v>4301</v>
      </c>
      <c r="C1904" s="26" t="s">
        <v>255</v>
      </c>
      <c r="D1904" s="26">
        <v>2900000.0</v>
      </c>
      <c r="F1904" s="26" t="s">
        <v>2542</v>
      </c>
    </row>
    <row r="1905">
      <c r="A1905" s="27">
        <v>45628.0</v>
      </c>
      <c r="B1905" s="26" t="s">
        <v>2680</v>
      </c>
      <c r="C1905" s="26" t="s">
        <v>255</v>
      </c>
      <c r="D1905" s="26">
        <v>1.015E7</v>
      </c>
      <c r="F1905" s="26" t="s">
        <v>2542</v>
      </c>
    </row>
    <row r="1906">
      <c r="A1906" s="27">
        <v>45628.0</v>
      </c>
      <c r="B1906" s="26" t="s">
        <v>4302</v>
      </c>
      <c r="C1906" s="26" t="s">
        <v>255</v>
      </c>
      <c r="D1906" s="26">
        <v>4775000.0</v>
      </c>
      <c r="F1906" s="26" t="s">
        <v>2542</v>
      </c>
    </row>
    <row r="1907">
      <c r="A1907" s="27">
        <v>45628.0</v>
      </c>
      <c r="B1907" s="26" t="s">
        <v>4298</v>
      </c>
      <c r="C1907" s="28"/>
      <c r="D1907" s="26">
        <v>1.0625E7</v>
      </c>
      <c r="F1907" s="26" t="s">
        <v>2542</v>
      </c>
    </row>
    <row r="1908">
      <c r="A1908" s="27">
        <v>45628.0</v>
      </c>
      <c r="B1908" s="26" t="s">
        <v>4303</v>
      </c>
      <c r="C1908" s="26" t="s">
        <v>2593</v>
      </c>
      <c r="D1908" s="26">
        <v>312000.0</v>
      </c>
      <c r="F1908" s="26" t="s">
        <v>2542</v>
      </c>
      <c r="G1908" s="26">
        <v>6423.0</v>
      </c>
    </row>
    <row r="1909">
      <c r="A1909" s="27">
        <v>45627.0</v>
      </c>
      <c r="B1909" s="26" t="s">
        <v>2543</v>
      </c>
      <c r="C1909" s="26" t="s">
        <v>255</v>
      </c>
      <c r="D1909" s="26">
        <v>9427.0</v>
      </c>
      <c r="F1909" s="26" t="s">
        <v>2542</v>
      </c>
    </row>
    <row r="1910">
      <c r="A1910" s="27">
        <v>45626.0</v>
      </c>
      <c r="B1910" s="26" t="s">
        <v>4304</v>
      </c>
      <c r="C1910" s="26" t="s">
        <v>255</v>
      </c>
      <c r="D1910" s="26">
        <v>1.1814E7</v>
      </c>
      <c r="F1910" s="26" t="s">
        <v>2542</v>
      </c>
    </row>
    <row r="1911">
      <c r="A1911" s="27">
        <v>45625.0</v>
      </c>
      <c r="B1911" s="26" t="s">
        <v>2709</v>
      </c>
      <c r="C1911" s="26" t="s">
        <v>255</v>
      </c>
      <c r="D1911" s="26">
        <v>3270000.0</v>
      </c>
      <c r="F1911" s="26" t="s">
        <v>2542</v>
      </c>
    </row>
    <row r="1912">
      <c r="A1912" s="27">
        <v>45625.0</v>
      </c>
      <c r="B1912" s="26" t="s">
        <v>2709</v>
      </c>
      <c r="C1912" s="26" t="s">
        <v>255</v>
      </c>
      <c r="D1912" s="26">
        <v>3860000.0</v>
      </c>
      <c r="F1912" s="26" t="s">
        <v>2542</v>
      </c>
    </row>
    <row r="1913">
      <c r="A1913" s="27">
        <v>45625.0</v>
      </c>
      <c r="B1913" s="26" t="s">
        <v>4305</v>
      </c>
      <c r="C1913" s="26" t="s">
        <v>255</v>
      </c>
      <c r="D1913" s="26">
        <v>7975000.0</v>
      </c>
      <c r="F1913" s="26" t="s">
        <v>2542</v>
      </c>
    </row>
    <row r="1914">
      <c r="A1914" s="27">
        <v>45625.0</v>
      </c>
      <c r="B1914" s="26" t="s">
        <v>4306</v>
      </c>
      <c r="C1914" s="26" t="s">
        <v>255</v>
      </c>
      <c r="D1914" s="26">
        <v>6770117.0</v>
      </c>
      <c r="F1914" s="26" t="s">
        <v>2542</v>
      </c>
    </row>
    <row r="1915">
      <c r="A1915" s="27">
        <v>45625.0</v>
      </c>
      <c r="B1915" s="26" t="s">
        <v>4307</v>
      </c>
      <c r="C1915" s="26" t="s">
        <v>255</v>
      </c>
      <c r="D1915" s="26">
        <v>1595000.0</v>
      </c>
      <c r="F1915" s="26" t="s">
        <v>2542</v>
      </c>
    </row>
    <row r="1916">
      <c r="A1916" s="27">
        <v>45625.0</v>
      </c>
      <c r="B1916" s="26" t="s">
        <v>4308</v>
      </c>
      <c r="C1916" s="26" t="s">
        <v>255</v>
      </c>
      <c r="D1916" s="26">
        <v>1595000.0</v>
      </c>
      <c r="F1916" s="26" t="s">
        <v>2542</v>
      </c>
    </row>
    <row r="1917">
      <c r="A1917" s="27">
        <v>45625.0</v>
      </c>
      <c r="B1917" s="26" t="s">
        <v>4309</v>
      </c>
      <c r="C1917" s="26" t="s">
        <v>255</v>
      </c>
      <c r="D1917" s="26">
        <v>1188000.0</v>
      </c>
      <c r="F1917" s="26" t="s">
        <v>2542</v>
      </c>
    </row>
    <row r="1918">
      <c r="A1918" s="27">
        <v>45625.0</v>
      </c>
      <c r="B1918" s="26" t="s">
        <v>4310</v>
      </c>
      <c r="C1918" s="26" t="s">
        <v>255</v>
      </c>
      <c r="D1918" s="26">
        <v>2400000.0</v>
      </c>
      <c r="F1918" s="26" t="s">
        <v>2542</v>
      </c>
    </row>
    <row r="1919">
      <c r="A1919" s="27">
        <v>45625.0</v>
      </c>
      <c r="B1919" s="26" t="s">
        <v>2750</v>
      </c>
      <c r="C1919" s="26" t="s">
        <v>255</v>
      </c>
      <c r="D1919" s="26">
        <v>2376000.0</v>
      </c>
      <c r="F1919" s="26" t="s">
        <v>2542</v>
      </c>
    </row>
    <row r="1920">
      <c r="A1920" s="27">
        <v>45625.0</v>
      </c>
      <c r="B1920" s="26" t="s">
        <v>4311</v>
      </c>
      <c r="C1920" s="26" t="s">
        <v>255</v>
      </c>
      <c r="D1920" s="26">
        <v>740000.0</v>
      </c>
      <c r="F1920" s="26" t="s">
        <v>2542</v>
      </c>
    </row>
    <row r="1921">
      <c r="A1921" s="27">
        <v>45625.0</v>
      </c>
      <c r="B1921" s="26" t="s">
        <v>4312</v>
      </c>
      <c r="C1921" s="26" t="s">
        <v>255</v>
      </c>
      <c r="D1921" s="26">
        <v>1080000.0</v>
      </c>
      <c r="F1921" s="26" t="s">
        <v>2542</v>
      </c>
    </row>
    <row r="1922">
      <c r="A1922" s="27">
        <v>45625.0</v>
      </c>
      <c r="B1922" s="26" t="s">
        <v>4313</v>
      </c>
      <c r="C1922" s="26" t="s">
        <v>255</v>
      </c>
      <c r="D1922" s="26">
        <v>1080000.0</v>
      </c>
      <c r="F1922" s="26" t="s">
        <v>2542</v>
      </c>
    </row>
    <row r="1923">
      <c r="A1923" s="27">
        <v>45625.0</v>
      </c>
      <c r="B1923" s="26" t="s">
        <v>4314</v>
      </c>
      <c r="C1923" s="26" t="s">
        <v>255</v>
      </c>
      <c r="D1923" s="26">
        <v>1080000.0</v>
      </c>
      <c r="F1923" s="26" t="s">
        <v>2542</v>
      </c>
    </row>
    <row r="1924">
      <c r="A1924" s="27">
        <v>45625.0</v>
      </c>
      <c r="B1924" s="26" t="s">
        <v>4315</v>
      </c>
      <c r="C1924" s="26" t="s">
        <v>255</v>
      </c>
      <c r="D1924" s="26">
        <v>1000000.0</v>
      </c>
      <c r="F1924" s="26" t="s">
        <v>2542</v>
      </c>
    </row>
    <row r="1925">
      <c r="A1925" s="27">
        <v>45625.0</v>
      </c>
      <c r="B1925" s="26" t="s">
        <v>4316</v>
      </c>
      <c r="C1925" s="26" t="s">
        <v>255</v>
      </c>
      <c r="D1925" s="26">
        <v>1000000.0</v>
      </c>
      <c r="F1925" s="26" t="s">
        <v>2542</v>
      </c>
    </row>
    <row r="1926">
      <c r="A1926" s="27">
        <v>45625.0</v>
      </c>
      <c r="B1926" s="26" t="s">
        <v>4317</v>
      </c>
      <c r="C1926" s="26" t="s">
        <v>255</v>
      </c>
      <c r="D1926" s="26">
        <v>1800000.0</v>
      </c>
      <c r="F1926" s="26" t="s">
        <v>2542</v>
      </c>
    </row>
    <row r="1927">
      <c r="A1927" s="27">
        <v>45625.0</v>
      </c>
      <c r="B1927" s="26" t="s">
        <v>4318</v>
      </c>
      <c r="C1927" s="26" t="s">
        <v>2561</v>
      </c>
      <c r="D1927" s="26" t="s">
        <v>4319</v>
      </c>
      <c r="F1927" s="26" t="s">
        <v>2542</v>
      </c>
      <c r="G1927" s="26">
        <v>632.1</v>
      </c>
    </row>
    <row r="1928">
      <c r="A1928" s="27">
        <v>45625.0</v>
      </c>
      <c r="B1928" s="26" t="s">
        <v>4320</v>
      </c>
      <c r="C1928" s="26" t="s">
        <v>2764</v>
      </c>
      <c r="D1928" s="26">
        <v>1160000.0</v>
      </c>
      <c r="F1928" s="26" t="s">
        <v>2542</v>
      </c>
      <c r="G1928" s="26">
        <v>6273.0</v>
      </c>
    </row>
    <row r="1929">
      <c r="A1929" s="27">
        <v>45625.0</v>
      </c>
      <c r="B1929" s="26" t="s">
        <v>4321</v>
      </c>
      <c r="C1929" s="26" t="s">
        <v>2583</v>
      </c>
      <c r="D1929" s="26">
        <v>1355000.0</v>
      </c>
      <c r="F1929" s="26" t="s">
        <v>2542</v>
      </c>
      <c r="G1929" s="26">
        <v>641.24</v>
      </c>
    </row>
    <row r="1930">
      <c r="A1930" s="27">
        <v>45625.0</v>
      </c>
      <c r="B1930" s="26" t="s">
        <v>4322</v>
      </c>
      <c r="C1930" s="26" t="s">
        <v>2574</v>
      </c>
      <c r="D1930" s="26">
        <v>955000.0</v>
      </c>
      <c r="F1930" s="26" t="s">
        <v>2542</v>
      </c>
      <c r="G1930" s="26">
        <v>641.4</v>
      </c>
    </row>
    <row r="1931">
      <c r="A1931" s="27">
        <v>45624.0</v>
      </c>
      <c r="B1931" s="26" t="s">
        <v>4323</v>
      </c>
      <c r="C1931" s="26" t="s">
        <v>255</v>
      </c>
      <c r="D1931" s="26">
        <v>1700000.0</v>
      </c>
      <c r="F1931" s="26" t="s">
        <v>2542</v>
      </c>
    </row>
    <row r="1932">
      <c r="A1932" s="27">
        <v>45624.0</v>
      </c>
      <c r="B1932" s="26" t="s">
        <v>4196</v>
      </c>
      <c r="C1932" s="26" t="s">
        <v>255</v>
      </c>
      <c r="D1932" s="26">
        <v>1875000.0</v>
      </c>
      <c r="F1932" s="26" t="s">
        <v>2542</v>
      </c>
    </row>
    <row r="1933">
      <c r="A1933" s="27">
        <v>45624.0</v>
      </c>
      <c r="B1933" s="26" t="s">
        <v>4324</v>
      </c>
      <c r="C1933" s="26" t="s">
        <v>255</v>
      </c>
      <c r="D1933" s="26">
        <v>1080000.0</v>
      </c>
      <c r="F1933" s="26" t="s">
        <v>2542</v>
      </c>
    </row>
    <row r="1934">
      <c r="A1934" s="27">
        <v>45624.0</v>
      </c>
      <c r="B1934" s="26" t="s">
        <v>4325</v>
      </c>
      <c r="C1934" s="26" t="s">
        <v>255</v>
      </c>
      <c r="D1934" s="26">
        <v>1080000.0</v>
      </c>
      <c r="F1934" s="26" t="s">
        <v>2542</v>
      </c>
    </row>
    <row r="1935">
      <c r="A1935" s="27">
        <v>45624.0</v>
      </c>
      <c r="B1935" s="26" t="s">
        <v>4326</v>
      </c>
      <c r="C1935" s="26" t="s">
        <v>2561</v>
      </c>
      <c r="D1935" s="26" t="s">
        <v>4327</v>
      </c>
      <c r="F1935" s="26" t="s">
        <v>2542</v>
      </c>
      <c r="G1935" s="26">
        <v>632.1</v>
      </c>
    </row>
    <row r="1936">
      <c r="A1936" s="27">
        <v>45624.0</v>
      </c>
      <c r="B1936" s="26" t="s">
        <v>4328</v>
      </c>
      <c r="C1936" s="26" t="s">
        <v>2571</v>
      </c>
      <c r="D1936" s="26">
        <v>97000.0</v>
      </c>
      <c r="F1936" s="26" t="s">
        <v>2542</v>
      </c>
      <c r="G1936" s="26">
        <v>641.22</v>
      </c>
    </row>
    <row r="1937">
      <c r="A1937" s="27">
        <v>45623.0</v>
      </c>
      <c r="B1937" s="26" t="s">
        <v>4329</v>
      </c>
      <c r="C1937" s="26" t="s">
        <v>255</v>
      </c>
      <c r="D1937" s="26">
        <v>5000000.0</v>
      </c>
      <c r="F1937" s="26" t="s">
        <v>2542</v>
      </c>
    </row>
    <row r="1938">
      <c r="A1938" s="27">
        <v>45623.0</v>
      </c>
      <c r="B1938" s="26" t="s">
        <v>4330</v>
      </c>
      <c r="C1938" s="26" t="s">
        <v>2764</v>
      </c>
      <c r="D1938" s="26">
        <v>1.217E7</v>
      </c>
      <c r="F1938" s="26" t="s">
        <v>2542</v>
      </c>
      <c r="G1938" s="26">
        <v>6273.0</v>
      </c>
    </row>
    <row r="1939">
      <c r="A1939" s="27">
        <v>45622.0</v>
      </c>
      <c r="B1939" s="26" t="s">
        <v>4329</v>
      </c>
      <c r="C1939" s="26" t="s">
        <v>255</v>
      </c>
      <c r="D1939" s="26">
        <v>5765000.0</v>
      </c>
      <c r="F1939" s="26" t="s">
        <v>2542</v>
      </c>
    </row>
    <row r="1940">
      <c r="A1940" s="27">
        <v>45622.0</v>
      </c>
      <c r="B1940" s="26" t="s">
        <v>2775</v>
      </c>
      <c r="C1940" s="26" t="s">
        <v>255</v>
      </c>
      <c r="D1940" s="26">
        <v>8280000.0</v>
      </c>
      <c r="F1940" s="26" t="s">
        <v>2542</v>
      </c>
    </row>
    <row r="1941">
      <c r="A1941" s="27">
        <v>45622.0</v>
      </c>
      <c r="B1941" s="26" t="s">
        <v>4331</v>
      </c>
      <c r="C1941" s="26" t="s">
        <v>2581</v>
      </c>
      <c r="D1941" s="26">
        <v>1.0454184E7</v>
      </c>
      <c r="F1941" s="26" t="s">
        <v>2542</v>
      </c>
      <c r="G1941" s="26">
        <v>6422.0</v>
      </c>
    </row>
    <row r="1942">
      <c r="A1942" s="27">
        <v>45621.0</v>
      </c>
      <c r="B1942" s="26" t="s">
        <v>4332</v>
      </c>
      <c r="C1942" s="26" t="s">
        <v>255</v>
      </c>
      <c r="D1942" s="26">
        <v>1080000.0</v>
      </c>
      <c r="F1942" s="26" t="s">
        <v>2542</v>
      </c>
    </row>
    <row r="1943">
      <c r="A1943" s="27">
        <v>45621.0</v>
      </c>
      <c r="B1943" s="26" t="s">
        <v>2700</v>
      </c>
      <c r="C1943" s="26" t="s">
        <v>255</v>
      </c>
      <c r="D1943" s="26">
        <v>5540000.0</v>
      </c>
      <c r="F1943" s="26" t="s">
        <v>2542</v>
      </c>
    </row>
    <row r="1944">
      <c r="A1944" s="27">
        <v>45621.0</v>
      </c>
      <c r="B1944" s="26" t="s">
        <v>2705</v>
      </c>
      <c r="C1944" s="26" t="s">
        <v>255</v>
      </c>
      <c r="D1944" s="26">
        <v>2062500.0</v>
      </c>
      <c r="F1944" s="26" t="s">
        <v>2542</v>
      </c>
    </row>
    <row r="1945">
      <c r="A1945" s="27">
        <v>45621.0</v>
      </c>
      <c r="B1945" s="26" t="s">
        <v>4333</v>
      </c>
      <c r="C1945" s="26" t="s">
        <v>255</v>
      </c>
      <c r="D1945" s="26">
        <v>9504000.0</v>
      </c>
      <c r="F1945" s="26" t="s">
        <v>2542</v>
      </c>
    </row>
    <row r="1946">
      <c r="A1946" s="27">
        <v>45620.0</v>
      </c>
      <c r="B1946" s="26" t="s">
        <v>2586</v>
      </c>
      <c r="C1946" s="26" t="s">
        <v>255</v>
      </c>
      <c r="D1946" s="26">
        <v>6337.0</v>
      </c>
      <c r="F1946" s="26" t="s">
        <v>2542</v>
      </c>
    </row>
    <row r="1947">
      <c r="A1947" s="27">
        <v>45620.0</v>
      </c>
      <c r="B1947" s="26" t="s">
        <v>4334</v>
      </c>
      <c r="C1947" s="26" t="s">
        <v>255</v>
      </c>
      <c r="D1947" s="26">
        <v>3325000.0</v>
      </c>
      <c r="F1947" s="26" t="s">
        <v>2542</v>
      </c>
    </row>
    <row r="1948">
      <c r="A1948" s="27">
        <v>45619.0</v>
      </c>
      <c r="B1948" s="26" t="s">
        <v>4335</v>
      </c>
      <c r="C1948" s="26" t="s">
        <v>255</v>
      </c>
      <c r="D1948" s="26">
        <v>5400000.0</v>
      </c>
      <c r="F1948" s="26" t="s">
        <v>2542</v>
      </c>
    </row>
    <row r="1949">
      <c r="A1949" s="27">
        <v>45619.0</v>
      </c>
      <c r="B1949" s="26" t="s">
        <v>4336</v>
      </c>
      <c r="C1949" s="26" t="s">
        <v>255</v>
      </c>
      <c r="D1949" s="26">
        <v>2160000.0</v>
      </c>
      <c r="F1949" s="26" t="s">
        <v>2542</v>
      </c>
    </row>
    <row r="1950">
      <c r="A1950" s="27">
        <v>45619.0</v>
      </c>
      <c r="B1950" s="26" t="s">
        <v>4337</v>
      </c>
      <c r="C1950" s="26" t="s">
        <v>255</v>
      </c>
      <c r="D1950" s="26">
        <v>1080000.0</v>
      </c>
      <c r="F1950" s="26" t="s">
        <v>2542</v>
      </c>
    </row>
    <row r="1951">
      <c r="A1951" s="27">
        <v>45619.0</v>
      </c>
      <c r="B1951" s="26" t="s">
        <v>4338</v>
      </c>
      <c r="C1951" s="26" t="s">
        <v>255</v>
      </c>
      <c r="D1951" s="26">
        <v>1.644E7</v>
      </c>
      <c r="F1951" s="26" t="s">
        <v>2542</v>
      </c>
    </row>
    <row r="1952">
      <c r="A1952" s="27">
        <v>45619.0</v>
      </c>
      <c r="B1952" s="26" t="s">
        <v>4339</v>
      </c>
      <c r="C1952" s="26" t="s">
        <v>255</v>
      </c>
      <c r="D1952" s="26">
        <v>3780000.0</v>
      </c>
      <c r="F1952" s="26" t="s">
        <v>2542</v>
      </c>
    </row>
    <row r="1953">
      <c r="A1953" s="27">
        <v>45619.0</v>
      </c>
      <c r="B1953" s="26" t="s">
        <v>4340</v>
      </c>
      <c r="C1953" s="26" t="s">
        <v>255</v>
      </c>
      <c r="D1953" s="26">
        <v>1280000.0</v>
      </c>
      <c r="F1953" s="26" t="s">
        <v>2542</v>
      </c>
    </row>
    <row r="1954">
      <c r="A1954" s="27">
        <v>45619.0</v>
      </c>
      <c r="B1954" s="26" t="s">
        <v>4341</v>
      </c>
      <c r="C1954" s="26" t="s">
        <v>255</v>
      </c>
      <c r="D1954" s="26">
        <v>1080000.0</v>
      </c>
      <c r="F1954" s="26" t="s">
        <v>2542</v>
      </c>
    </row>
    <row r="1955">
      <c r="A1955" s="27">
        <v>45619.0</v>
      </c>
      <c r="B1955" s="26" t="s">
        <v>4342</v>
      </c>
      <c r="C1955" s="26" t="s">
        <v>255</v>
      </c>
      <c r="D1955" s="26">
        <v>2160000.0</v>
      </c>
      <c r="F1955" s="26" t="s">
        <v>2542</v>
      </c>
    </row>
    <row r="1956">
      <c r="A1956" s="27">
        <v>45619.0</v>
      </c>
      <c r="B1956" s="26" t="s">
        <v>4343</v>
      </c>
      <c r="C1956" s="26" t="s">
        <v>255</v>
      </c>
      <c r="D1956" s="26">
        <v>1080000.0</v>
      </c>
      <c r="F1956" s="26" t="s">
        <v>2542</v>
      </c>
    </row>
    <row r="1957">
      <c r="A1957" s="27">
        <v>45619.0</v>
      </c>
      <c r="B1957" s="26" t="s">
        <v>4344</v>
      </c>
      <c r="C1957" s="26" t="s">
        <v>255</v>
      </c>
      <c r="D1957" s="26">
        <v>1568000.0</v>
      </c>
      <c r="F1957" s="26" t="s">
        <v>2542</v>
      </c>
    </row>
    <row r="1958">
      <c r="A1958" s="27">
        <v>45619.0</v>
      </c>
      <c r="B1958" s="26" t="s">
        <v>4345</v>
      </c>
      <c r="C1958" s="26" t="s">
        <v>255</v>
      </c>
      <c r="D1958" s="26">
        <v>3136000.0</v>
      </c>
      <c r="F1958" s="26" t="s">
        <v>2542</v>
      </c>
    </row>
    <row r="1959">
      <c r="A1959" s="27">
        <v>45619.0</v>
      </c>
      <c r="B1959" s="26" t="s">
        <v>4346</v>
      </c>
      <c r="C1959" s="26" t="s">
        <v>255</v>
      </c>
      <c r="D1959" s="26">
        <v>3240000.0</v>
      </c>
      <c r="F1959" s="26" t="s">
        <v>2542</v>
      </c>
    </row>
    <row r="1960">
      <c r="A1960" s="27">
        <v>45619.0</v>
      </c>
      <c r="B1960" s="26" t="s">
        <v>4347</v>
      </c>
      <c r="C1960" s="26" t="s">
        <v>255</v>
      </c>
      <c r="D1960" s="26">
        <v>3240000.0</v>
      </c>
      <c r="F1960" s="26" t="s">
        <v>2542</v>
      </c>
    </row>
    <row r="1961">
      <c r="A1961" s="27">
        <v>45618.0</v>
      </c>
      <c r="B1961" s="26" t="s">
        <v>4348</v>
      </c>
      <c r="C1961" s="26" t="s">
        <v>255</v>
      </c>
      <c r="D1961" s="26">
        <v>2400000.0</v>
      </c>
      <c r="F1961" s="26" t="s">
        <v>2542</v>
      </c>
    </row>
    <row r="1962">
      <c r="A1962" s="27">
        <v>45618.0</v>
      </c>
      <c r="B1962" s="26" t="s">
        <v>4349</v>
      </c>
      <c r="C1962" s="26" t="s">
        <v>2581</v>
      </c>
      <c r="D1962" s="26">
        <v>3000000.0</v>
      </c>
      <c r="F1962" s="26" t="s">
        <v>2542</v>
      </c>
      <c r="G1962" s="26">
        <v>6422.0</v>
      </c>
    </row>
    <row r="1963">
      <c r="A1963" s="27">
        <v>45618.0</v>
      </c>
      <c r="B1963" s="26" t="s">
        <v>4350</v>
      </c>
      <c r="C1963" s="26" t="s">
        <v>2561</v>
      </c>
      <c r="D1963" s="26">
        <v>307000.0</v>
      </c>
      <c r="F1963" s="26" t="s">
        <v>2542</v>
      </c>
      <c r="G1963" s="26">
        <v>331.0</v>
      </c>
    </row>
    <row r="1964">
      <c r="A1964" s="27">
        <v>45618.0</v>
      </c>
      <c r="B1964" s="26" t="s">
        <v>4351</v>
      </c>
      <c r="C1964" s="26" t="s">
        <v>2561</v>
      </c>
      <c r="D1964" s="26" t="s">
        <v>4352</v>
      </c>
      <c r="F1964" s="26" t="s">
        <v>2542</v>
      </c>
      <c r="G1964" s="26">
        <v>632.1</v>
      </c>
    </row>
    <row r="1965">
      <c r="A1965" s="27">
        <v>45618.0</v>
      </c>
      <c r="B1965" s="26" t="s">
        <v>4353</v>
      </c>
      <c r="C1965" s="26" t="s">
        <v>2581</v>
      </c>
      <c r="D1965" s="26">
        <v>3150000.0</v>
      </c>
      <c r="F1965" s="26" t="s">
        <v>2542</v>
      </c>
      <c r="G1965" s="26">
        <v>6422.0</v>
      </c>
    </row>
    <row r="1966">
      <c r="A1966" s="27">
        <v>45617.0</v>
      </c>
      <c r="B1966" s="26" t="s">
        <v>4354</v>
      </c>
      <c r="C1966" s="26" t="s">
        <v>255</v>
      </c>
      <c r="D1966" s="26">
        <v>4138750.0</v>
      </c>
      <c r="F1966" s="26" t="s">
        <v>2542</v>
      </c>
    </row>
    <row r="1967">
      <c r="A1967" s="27">
        <v>45617.0</v>
      </c>
      <c r="B1967" s="26" t="s">
        <v>4355</v>
      </c>
      <c r="C1967" s="26" t="s">
        <v>255</v>
      </c>
      <c r="D1967" s="26">
        <v>1595000.0</v>
      </c>
      <c r="F1967" s="26" t="s">
        <v>2542</v>
      </c>
    </row>
    <row r="1968">
      <c r="A1968" s="27">
        <v>45617.0</v>
      </c>
      <c r="B1968" s="26" t="s">
        <v>4356</v>
      </c>
      <c r="C1968" s="26" t="s">
        <v>2561</v>
      </c>
      <c r="D1968" s="26">
        <v>1.70262E7</v>
      </c>
      <c r="F1968" s="26" t="s">
        <v>2542</v>
      </c>
      <c r="G1968" s="26">
        <v>331.0</v>
      </c>
    </row>
    <row r="1969">
      <c r="A1969" s="27">
        <v>45617.0</v>
      </c>
      <c r="B1969" s="26" t="s">
        <v>4357</v>
      </c>
      <c r="C1969" s="26" t="s">
        <v>2655</v>
      </c>
      <c r="D1969" s="26">
        <v>2.048E7</v>
      </c>
      <c r="F1969" s="26" t="s">
        <v>2542</v>
      </c>
      <c r="G1969" s="26">
        <v>3383.0</v>
      </c>
    </row>
    <row r="1970">
      <c r="A1970" s="27">
        <v>45616.0</v>
      </c>
      <c r="B1970" s="26" t="s">
        <v>4358</v>
      </c>
      <c r="C1970" s="26" t="s">
        <v>255</v>
      </c>
      <c r="D1970" s="26">
        <v>4540000.0</v>
      </c>
      <c r="F1970" s="26" t="s">
        <v>2542</v>
      </c>
    </row>
    <row r="1971">
      <c r="A1971" s="27">
        <v>45616.0</v>
      </c>
      <c r="B1971" s="26" t="s">
        <v>4359</v>
      </c>
      <c r="C1971" s="26" t="s">
        <v>2574</v>
      </c>
      <c r="D1971" s="26">
        <v>2195640.0</v>
      </c>
      <c r="F1971" s="26" t="s">
        <v>2542</v>
      </c>
      <c r="G1971" s="26">
        <v>331.0</v>
      </c>
    </row>
    <row r="1972">
      <c r="A1972" s="27">
        <v>45616.0</v>
      </c>
      <c r="B1972" s="26" t="s">
        <v>4360</v>
      </c>
      <c r="C1972" s="26" t="s">
        <v>2574</v>
      </c>
      <c r="D1972" s="26">
        <v>5749920.0</v>
      </c>
      <c r="F1972" s="26" t="s">
        <v>2542</v>
      </c>
      <c r="G1972" s="26">
        <v>331.0</v>
      </c>
    </row>
    <row r="1973">
      <c r="A1973" s="27">
        <v>45615.0</v>
      </c>
      <c r="B1973" s="26" t="s">
        <v>4361</v>
      </c>
      <c r="C1973" s="26" t="s">
        <v>255</v>
      </c>
      <c r="D1973" s="26">
        <v>3945500.0</v>
      </c>
      <c r="F1973" s="26" t="s">
        <v>2542</v>
      </c>
    </row>
    <row r="1974">
      <c r="A1974" s="27">
        <v>45615.0</v>
      </c>
      <c r="B1974" s="26" t="s">
        <v>2754</v>
      </c>
      <c r="C1974" s="26" t="s">
        <v>255</v>
      </c>
      <c r="D1974" s="26">
        <v>1.618E7</v>
      </c>
      <c r="F1974" s="26" t="s">
        <v>2542</v>
      </c>
    </row>
    <row r="1975">
      <c r="A1975" s="27">
        <v>45615.0</v>
      </c>
      <c r="B1975" s="26" t="s">
        <v>4362</v>
      </c>
      <c r="C1975" s="26" t="s">
        <v>2583</v>
      </c>
      <c r="D1975" s="26">
        <v>4000000.0</v>
      </c>
      <c r="F1975" s="26" t="s">
        <v>2542</v>
      </c>
      <c r="G1975" s="26">
        <v>641.24</v>
      </c>
    </row>
    <row r="1976">
      <c r="A1976" s="27">
        <v>45615.0</v>
      </c>
      <c r="B1976" s="26" t="s">
        <v>3444</v>
      </c>
      <c r="C1976" s="26" t="s">
        <v>2564</v>
      </c>
      <c r="D1976" s="26" t="s">
        <v>4363</v>
      </c>
      <c r="F1976" s="26" t="s">
        <v>2542</v>
      </c>
      <c r="G1976" s="26">
        <v>3332.0</v>
      </c>
    </row>
    <row r="1977">
      <c r="A1977" s="27">
        <v>45614.0</v>
      </c>
      <c r="B1977" s="26" t="s">
        <v>4364</v>
      </c>
      <c r="C1977" s="26" t="s">
        <v>255</v>
      </c>
      <c r="D1977" s="26">
        <v>4.968632E7</v>
      </c>
      <c r="F1977" s="26" t="s">
        <v>2542</v>
      </c>
    </row>
    <row r="1978">
      <c r="A1978" s="27">
        <v>45614.0</v>
      </c>
      <c r="B1978" s="26" t="s">
        <v>4365</v>
      </c>
      <c r="C1978" s="26" t="s">
        <v>255</v>
      </c>
      <c r="D1978" s="26">
        <v>5.175E7</v>
      </c>
      <c r="F1978" s="26" t="s">
        <v>2542</v>
      </c>
    </row>
    <row r="1979">
      <c r="A1979" s="27">
        <v>45614.0</v>
      </c>
      <c r="B1979" s="26" t="s">
        <v>4366</v>
      </c>
      <c r="C1979" s="26" t="s">
        <v>255</v>
      </c>
      <c r="D1979" s="26">
        <v>1320000.0</v>
      </c>
      <c r="F1979" s="26" t="s">
        <v>2542</v>
      </c>
    </row>
    <row r="1980">
      <c r="A1980" s="27">
        <v>45612.0</v>
      </c>
      <c r="B1980" s="26" t="s">
        <v>4367</v>
      </c>
      <c r="C1980" s="26" t="s">
        <v>255</v>
      </c>
      <c r="D1980" s="26">
        <v>1479000.0</v>
      </c>
      <c r="F1980" s="26" t="s">
        <v>2542</v>
      </c>
    </row>
    <row r="1981">
      <c r="A1981" s="27">
        <v>45612.0</v>
      </c>
      <c r="B1981" s="26" t="s">
        <v>4368</v>
      </c>
      <c r="C1981" s="26" t="s">
        <v>255</v>
      </c>
      <c r="D1981" s="26">
        <v>5000000.0</v>
      </c>
      <c r="F1981" s="26" t="s">
        <v>2542</v>
      </c>
    </row>
    <row r="1982">
      <c r="A1982" s="27">
        <v>45611.0</v>
      </c>
      <c r="B1982" s="26" t="s">
        <v>4369</v>
      </c>
      <c r="C1982" s="26" t="s">
        <v>255</v>
      </c>
      <c r="D1982" s="26">
        <v>3000000.0</v>
      </c>
      <c r="F1982" s="26" t="s">
        <v>2542</v>
      </c>
    </row>
    <row r="1983">
      <c r="A1983" s="27">
        <v>45611.0</v>
      </c>
      <c r="B1983" s="26" t="s">
        <v>4370</v>
      </c>
      <c r="C1983" s="26" t="s">
        <v>255</v>
      </c>
      <c r="D1983" s="26">
        <v>1.1352E7</v>
      </c>
      <c r="F1983" s="26" t="s">
        <v>2542</v>
      </c>
    </row>
    <row r="1984">
      <c r="A1984" s="27">
        <v>45611.0</v>
      </c>
      <c r="B1984" s="26" t="s">
        <v>4371</v>
      </c>
      <c r="C1984" s="26" t="s">
        <v>255</v>
      </c>
      <c r="D1984" s="26">
        <v>1920000.0</v>
      </c>
      <c r="F1984" s="26" t="s">
        <v>2542</v>
      </c>
    </row>
    <row r="1985">
      <c r="A1985" s="27">
        <v>45611.0</v>
      </c>
      <c r="B1985" s="26" t="s">
        <v>4372</v>
      </c>
      <c r="C1985" s="26" t="s">
        <v>2561</v>
      </c>
      <c r="D1985" s="26" t="s">
        <v>4373</v>
      </c>
      <c r="F1985" s="26" t="s">
        <v>2542</v>
      </c>
      <c r="G1985" s="26">
        <v>632.1</v>
      </c>
    </row>
    <row r="1986">
      <c r="A1986" s="27">
        <v>45611.0</v>
      </c>
      <c r="B1986" s="26" t="s">
        <v>4374</v>
      </c>
      <c r="C1986" s="26" t="s">
        <v>2571</v>
      </c>
      <c r="D1986" s="26">
        <v>355000.0</v>
      </c>
      <c r="F1986" s="26" t="s">
        <v>2542</v>
      </c>
      <c r="G1986" s="26">
        <v>641.22</v>
      </c>
    </row>
    <row r="1987">
      <c r="A1987" s="27">
        <v>45610.0</v>
      </c>
      <c r="B1987" s="26" t="s">
        <v>4375</v>
      </c>
      <c r="C1987" s="26" t="s">
        <v>255</v>
      </c>
      <c r="D1987" s="26">
        <v>7030000.0</v>
      </c>
      <c r="F1987" s="26" t="s">
        <v>2542</v>
      </c>
    </row>
    <row r="1988">
      <c r="A1988" s="27">
        <v>45610.0</v>
      </c>
      <c r="B1988" s="26" t="s">
        <v>2772</v>
      </c>
      <c r="C1988" s="26" t="s">
        <v>255</v>
      </c>
      <c r="D1988" s="26">
        <v>6210000.0</v>
      </c>
      <c r="F1988" s="26" t="s">
        <v>2542</v>
      </c>
    </row>
    <row r="1989">
      <c r="A1989" s="27">
        <v>45610.0</v>
      </c>
      <c r="B1989" s="26" t="s">
        <v>2741</v>
      </c>
      <c r="C1989" s="26" t="s">
        <v>255</v>
      </c>
      <c r="D1989" s="26">
        <v>1320000.0</v>
      </c>
      <c r="F1989" s="26" t="s">
        <v>2542</v>
      </c>
    </row>
    <row r="1990">
      <c r="A1990" s="27">
        <v>45610.0</v>
      </c>
      <c r="B1990" s="26" t="s">
        <v>4376</v>
      </c>
      <c r="C1990" s="26" t="s">
        <v>255</v>
      </c>
      <c r="D1990" s="26">
        <v>1080000.0</v>
      </c>
      <c r="F1990" s="26" t="s">
        <v>2542</v>
      </c>
    </row>
    <row r="1991">
      <c r="A1991" s="27">
        <v>45610.0</v>
      </c>
      <c r="B1991" s="26" t="s">
        <v>4377</v>
      </c>
      <c r="C1991" s="26" t="s">
        <v>2545</v>
      </c>
      <c r="D1991" s="26">
        <v>1.236E7</v>
      </c>
      <c r="F1991" s="26" t="s">
        <v>2542</v>
      </c>
      <c r="G1991" s="26">
        <v>3341.0</v>
      </c>
    </row>
    <row r="1992">
      <c r="A1992" s="27">
        <v>45610.0</v>
      </c>
      <c r="B1992" s="26" t="s">
        <v>4378</v>
      </c>
      <c r="C1992" s="26" t="s">
        <v>2593</v>
      </c>
      <c r="D1992" s="26">
        <v>386000.0</v>
      </c>
      <c r="F1992" s="26" t="s">
        <v>2542</v>
      </c>
      <c r="G1992" s="26">
        <v>6423.0</v>
      </c>
    </row>
    <row r="1993">
      <c r="A1993" s="27">
        <v>45609.0</v>
      </c>
      <c r="B1993" s="26" t="s">
        <v>2777</v>
      </c>
      <c r="C1993" s="26" t="s">
        <v>255</v>
      </c>
      <c r="D1993" s="26">
        <v>2380000.0</v>
      </c>
      <c r="F1993" s="26" t="s">
        <v>2542</v>
      </c>
    </row>
    <row r="1994">
      <c r="A1994" s="27">
        <v>45609.0</v>
      </c>
      <c r="B1994" s="26" t="s">
        <v>4379</v>
      </c>
      <c r="C1994" s="26" t="s">
        <v>2561</v>
      </c>
      <c r="D1994" s="26">
        <v>2.7240659E7</v>
      </c>
      <c r="F1994" s="26" t="s">
        <v>2542</v>
      </c>
      <c r="G1994" s="26">
        <v>331.0</v>
      </c>
    </row>
    <row r="1995">
      <c r="A1995" s="27">
        <v>45609.0</v>
      </c>
      <c r="B1995" s="26" t="s">
        <v>3444</v>
      </c>
      <c r="C1995" s="26" t="s">
        <v>2564</v>
      </c>
      <c r="D1995" s="26" t="s">
        <v>4380</v>
      </c>
      <c r="F1995" s="26" t="s">
        <v>2542</v>
      </c>
      <c r="G1995" s="26">
        <v>3332.0</v>
      </c>
    </row>
    <row r="1996">
      <c r="A1996" s="27">
        <v>45609.0</v>
      </c>
      <c r="B1996" s="26" t="s">
        <v>3568</v>
      </c>
      <c r="C1996" s="26" t="s">
        <v>2564</v>
      </c>
      <c r="D1996" s="26">
        <v>200.0</v>
      </c>
      <c r="F1996" s="26" t="s">
        <v>2542</v>
      </c>
      <c r="G1996" s="26">
        <v>3335.0</v>
      </c>
    </row>
    <row r="1997">
      <c r="A1997" s="27">
        <v>45608.0</v>
      </c>
      <c r="B1997" s="26" t="s">
        <v>4381</v>
      </c>
      <c r="C1997" s="26" t="s">
        <v>255</v>
      </c>
      <c r="D1997" s="26">
        <v>1875000.0</v>
      </c>
      <c r="F1997" s="26" t="s">
        <v>2542</v>
      </c>
    </row>
    <row r="1998">
      <c r="A1998" s="27">
        <v>45608.0</v>
      </c>
      <c r="B1998" s="26" t="s">
        <v>4382</v>
      </c>
      <c r="C1998" s="26" t="s">
        <v>255</v>
      </c>
      <c r="D1998" s="26">
        <v>1.57856E7</v>
      </c>
      <c r="F1998" s="26" t="s">
        <v>2542</v>
      </c>
    </row>
    <row r="1999">
      <c r="A1999" s="27">
        <v>45607.0</v>
      </c>
      <c r="B1999" s="26" t="s">
        <v>2726</v>
      </c>
      <c r="C1999" s="26" t="s">
        <v>255</v>
      </c>
      <c r="D1999" s="26">
        <v>4080000.0</v>
      </c>
      <c r="F1999" s="26" t="s">
        <v>2542</v>
      </c>
    </row>
    <row r="2000">
      <c r="A2000" s="27">
        <v>45607.0</v>
      </c>
      <c r="B2000" s="26" t="s">
        <v>2774</v>
      </c>
      <c r="C2000" s="26" t="s">
        <v>255</v>
      </c>
      <c r="D2000" s="26">
        <v>2.30505E7</v>
      </c>
      <c r="F2000" s="26" t="s">
        <v>2542</v>
      </c>
    </row>
    <row r="2001">
      <c r="A2001" s="27">
        <v>45607.0</v>
      </c>
      <c r="B2001" s="26" t="s">
        <v>2702</v>
      </c>
      <c r="C2001" s="26" t="s">
        <v>255</v>
      </c>
      <c r="D2001" s="26">
        <v>1080000.0</v>
      </c>
      <c r="F2001" s="26" t="s">
        <v>2542</v>
      </c>
    </row>
    <row r="2002">
      <c r="A2002" s="27">
        <v>45607.0</v>
      </c>
      <c r="B2002" s="26" t="s">
        <v>4383</v>
      </c>
      <c r="C2002" s="26" t="s">
        <v>255</v>
      </c>
      <c r="D2002" s="26">
        <v>1080000.0</v>
      </c>
      <c r="F2002" s="26" t="s">
        <v>2542</v>
      </c>
    </row>
    <row r="2003">
      <c r="A2003" s="27">
        <v>45607.0</v>
      </c>
      <c r="B2003" s="26" t="s">
        <v>4384</v>
      </c>
      <c r="C2003" s="26" t="s">
        <v>2593</v>
      </c>
      <c r="D2003" s="26">
        <v>175000.0</v>
      </c>
      <c r="F2003" s="26" t="s">
        <v>2542</v>
      </c>
      <c r="G2003" s="26">
        <v>6423.0</v>
      </c>
    </row>
    <row r="2004">
      <c r="A2004" s="27">
        <v>45606.0</v>
      </c>
      <c r="B2004" s="26" t="s">
        <v>4385</v>
      </c>
      <c r="C2004" s="26" t="s">
        <v>255</v>
      </c>
      <c r="D2004" s="26">
        <v>1.2785E7</v>
      </c>
      <c r="F2004" s="26" t="s">
        <v>2542</v>
      </c>
    </row>
    <row r="2005">
      <c r="A2005" s="27">
        <v>45606.0</v>
      </c>
      <c r="B2005" s="26" t="s">
        <v>4386</v>
      </c>
      <c r="C2005" s="26" t="s">
        <v>255</v>
      </c>
      <c r="D2005" s="26">
        <v>4320000.0</v>
      </c>
      <c r="F2005" s="26" t="s">
        <v>2542</v>
      </c>
    </row>
    <row r="2006">
      <c r="A2006" s="27">
        <v>45606.0</v>
      </c>
      <c r="B2006" s="26" t="s">
        <v>4387</v>
      </c>
      <c r="C2006" s="26" t="s">
        <v>255</v>
      </c>
      <c r="D2006" s="26">
        <v>3240000.0</v>
      </c>
      <c r="F2006" s="26" t="s">
        <v>2542</v>
      </c>
    </row>
    <row r="2007">
      <c r="A2007" s="27">
        <v>45606.0</v>
      </c>
      <c r="B2007" s="26" t="s">
        <v>4388</v>
      </c>
      <c r="C2007" s="26" t="s">
        <v>255</v>
      </c>
      <c r="D2007" s="26">
        <v>2160000.0</v>
      </c>
      <c r="F2007" s="26" t="s">
        <v>2542</v>
      </c>
    </row>
    <row r="2008">
      <c r="A2008" s="27">
        <v>45606.0</v>
      </c>
      <c r="B2008" s="26" t="s">
        <v>4389</v>
      </c>
      <c r="C2008" s="26" t="s">
        <v>255</v>
      </c>
      <c r="D2008" s="26">
        <v>1230000.0</v>
      </c>
      <c r="F2008" s="26" t="s">
        <v>2542</v>
      </c>
    </row>
    <row r="2009">
      <c r="A2009" s="27">
        <v>45604.0</v>
      </c>
      <c r="B2009" s="26" t="s">
        <v>4390</v>
      </c>
      <c r="C2009" s="26" t="s">
        <v>255</v>
      </c>
      <c r="D2009" s="26">
        <v>1661128.0</v>
      </c>
      <c r="F2009" s="26" t="s">
        <v>2542</v>
      </c>
    </row>
    <row r="2010">
      <c r="A2010" s="27">
        <v>45604.0</v>
      </c>
      <c r="B2010" s="26" t="s">
        <v>4390</v>
      </c>
      <c r="C2010" s="28"/>
      <c r="D2010" s="26">
        <v>1661128.0</v>
      </c>
      <c r="F2010" s="26" t="s">
        <v>2542</v>
      </c>
    </row>
    <row r="2011">
      <c r="A2011" s="27">
        <v>45603.0</v>
      </c>
      <c r="B2011" s="26" t="s">
        <v>2699</v>
      </c>
      <c r="C2011" s="26" t="s">
        <v>255</v>
      </c>
      <c r="D2011" s="26">
        <v>3349600.0</v>
      </c>
      <c r="F2011" s="26" t="s">
        <v>2542</v>
      </c>
    </row>
    <row r="2012">
      <c r="A2012" s="27">
        <v>45603.0</v>
      </c>
      <c r="B2012" s="26" t="s">
        <v>4391</v>
      </c>
      <c r="C2012" s="26" t="s">
        <v>2561</v>
      </c>
      <c r="D2012" s="26">
        <v>8000000.0</v>
      </c>
      <c r="F2012" s="26" t="s">
        <v>2542</v>
      </c>
      <c r="G2012" s="26">
        <v>331.0</v>
      </c>
    </row>
    <row r="2013">
      <c r="A2013" s="27">
        <v>45603.0</v>
      </c>
      <c r="B2013" s="26" t="s">
        <v>4392</v>
      </c>
      <c r="C2013" s="26" t="s">
        <v>2583</v>
      </c>
      <c r="D2013" s="26">
        <v>3000000.0</v>
      </c>
      <c r="F2013" s="26" t="s">
        <v>2542</v>
      </c>
      <c r="G2013" s="26">
        <v>641.24</v>
      </c>
    </row>
    <row r="2014">
      <c r="A2014" s="27">
        <v>45602.0</v>
      </c>
      <c r="B2014" s="26" t="s">
        <v>4393</v>
      </c>
      <c r="C2014" s="26" t="s">
        <v>255</v>
      </c>
      <c r="D2014" s="26">
        <v>1.0E8</v>
      </c>
      <c r="F2014" s="26" t="s">
        <v>2542</v>
      </c>
    </row>
    <row r="2015">
      <c r="A2015" s="27">
        <v>45602.0</v>
      </c>
      <c r="B2015" s="26" t="s">
        <v>2761</v>
      </c>
      <c r="C2015" s="26" t="s">
        <v>255</v>
      </c>
      <c r="D2015" s="26">
        <v>1.062375E7</v>
      </c>
      <c r="F2015" s="26" t="s">
        <v>2542</v>
      </c>
    </row>
    <row r="2016">
      <c r="A2016" s="27">
        <v>45602.0</v>
      </c>
      <c r="B2016" s="26" t="s">
        <v>4393</v>
      </c>
      <c r="C2016" s="28"/>
      <c r="D2016" s="26">
        <v>1.0E8</v>
      </c>
      <c r="F2016" s="26" t="s">
        <v>2542</v>
      </c>
    </row>
    <row r="2017">
      <c r="A2017" s="27">
        <v>45602.0</v>
      </c>
      <c r="B2017" s="26" t="s">
        <v>4394</v>
      </c>
      <c r="C2017" s="26" t="s">
        <v>2545</v>
      </c>
      <c r="D2017" s="26">
        <v>1.536E7</v>
      </c>
      <c r="F2017" s="26" t="s">
        <v>2542</v>
      </c>
      <c r="G2017" s="26">
        <v>3341.0</v>
      </c>
    </row>
    <row r="2018">
      <c r="A2018" s="27">
        <v>45602.0</v>
      </c>
      <c r="B2018" s="26" t="s">
        <v>4395</v>
      </c>
      <c r="C2018" s="26" t="s">
        <v>2545</v>
      </c>
      <c r="D2018" s="26">
        <v>9775000.0</v>
      </c>
      <c r="F2018" s="26" t="s">
        <v>2542</v>
      </c>
      <c r="G2018" s="26">
        <v>3341.0</v>
      </c>
    </row>
    <row r="2019">
      <c r="A2019" s="27">
        <v>45602.0</v>
      </c>
      <c r="B2019" s="26" t="s">
        <v>4396</v>
      </c>
      <c r="C2019" s="26" t="s">
        <v>2545</v>
      </c>
      <c r="D2019" s="26">
        <v>8775000.0</v>
      </c>
      <c r="F2019" s="26" t="s">
        <v>2542</v>
      </c>
      <c r="G2019" s="26">
        <v>3341.0</v>
      </c>
    </row>
    <row r="2020">
      <c r="A2020" s="27">
        <v>45602.0</v>
      </c>
      <c r="B2020" s="26" t="s">
        <v>4397</v>
      </c>
      <c r="C2020" s="26" t="s">
        <v>2545</v>
      </c>
      <c r="D2020" s="26">
        <v>1.116E7</v>
      </c>
      <c r="F2020" s="26" t="s">
        <v>2542</v>
      </c>
      <c r="G2020" s="26">
        <v>3341.0</v>
      </c>
    </row>
    <row r="2021">
      <c r="A2021" s="27">
        <v>45602.0</v>
      </c>
      <c r="B2021" s="26" t="s">
        <v>4398</v>
      </c>
      <c r="C2021" s="26" t="s">
        <v>2561</v>
      </c>
      <c r="D2021" s="26">
        <v>5000000.0</v>
      </c>
      <c r="F2021" s="26" t="s">
        <v>2542</v>
      </c>
      <c r="G2021" s="26">
        <v>331.0</v>
      </c>
    </row>
    <row r="2022">
      <c r="A2022" s="27">
        <v>45602.0</v>
      </c>
      <c r="B2022" s="26" t="s">
        <v>4399</v>
      </c>
      <c r="C2022" s="26" t="s">
        <v>2545</v>
      </c>
      <c r="D2022" s="26">
        <v>1.56E7</v>
      </c>
      <c r="F2022" s="26" t="s">
        <v>2542</v>
      </c>
      <c r="G2022" s="26">
        <v>3341.0</v>
      </c>
    </row>
    <row r="2023">
      <c r="A2023" s="27">
        <v>45602.0</v>
      </c>
      <c r="B2023" s="26" t="s">
        <v>4400</v>
      </c>
      <c r="C2023" s="26" t="s">
        <v>2545</v>
      </c>
      <c r="D2023" s="26">
        <v>2.2E7</v>
      </c>
      <c r="F2023" s="26" t="s">
        <v>2542</v>
      </c>
      <c r="G2023" s="26">
        <v>3341.0</v>
      </c>
    </row>
    <row r="2024">
      <c r="A2024" s="27">
        <v>45602.0</v>
      </c>
      <c r="B2024" s="26" t="s">
        <v>4401</v>
      </c>
      <c r="C2024" s="26" t="s">
        <v>2545</v>
      </c>
      <c r="D2024" s="26">
        <v>1.2E7</v>
      </c>
      <c r="F2024" s="26" t="s">
        <v>2542</v>
      </c>
      <c r="G2024" s="26">
        <v>3341.0</v>
      </c>
    </row>
    <row r="2025">
      <c r="A2025" s="27">
        <v>45602.0</v>
      </c>
      <c r="B2025" s="26" t="s">
        <v>4402</v>
      </c>
      <c r="C2025" s="26" t="s">
        <v>2545</v>
      </c>
      <c r="D2025" s="26">
        <v>1.2E7</v>
      </c>
      <c r="F2025" s="26" t="s">
        <v>2542</v>
      </c>
      <c r="G2025" s="26">
        <v>3341.0</v>
      </c>
    </row>
    <row r="2026">
      <c r="A2026" s="27">
        <v>45602.0</v>
      </c>
      <c r="B2026" s="26" t="s">
        <v>4403</v>
      </c>
      <c r="C2026" s="26" t="s">
        <v>2545</v>
      </c>
      <c r="D2026" s="26">
        <v>3.549215E7</v>
      </c>
      <c r="F2026" s="26" t="s">
        <v>2542</v>
      </c>
      <c r="G2026" s="26">
        <v>3341.0</v>
      </c>
    </row>
    <row r="2027">
      <c r="A2027" s="27">
        <v>45601.0</v>
      </c>
      <c r="B2027" s="26" t="s">
        <v>2743</v>
      </c>
      <c r="C2027" s="26" t="s">
        <v>255</v>
      </c>
      <c r="D2027" s="26">
        <v>2062500.0</v>
      </c>
      <c r="F2027" s="26" t="s">
        <v>2542</v>
      </c>
    </row>
    <row r="2028">
      <c r="A2028" s="27">
        <v>45601.0</v>
      </c>
      <c r="B2028" s="26" t="s">
        <v>4404</v>
      </c>
      <c r="C2028" s="26" t="s">
        <v>255</v>
      </c>
      <c r="D2028" s="26">
        <v>600000.0</v>
      </c>
      <c r="F2028" s="26" t="s">
        <v>2542</v>
      </c>
    </row>
    <row r="2029">
      <c r="A2029" s="27">
        <v>45601.0</v>
      </c>
      <c r="B2029" s="26" t="s">
        <v>4405</v>
      </c>
      <c r="C2029" s="26" t="s">
        <v>255</v>
      </c>
      <c r="D2029" s="26">
        <v>1944000.0</v>
      </c>
      <c r="F2029" s="26" t="s">
        <v>2542</v>
      </c>
    </row>
    <row r="2030">
      <c r="A2030" s="27">
        <v>45600.0</v>
      </c>
      <c r="B2030" s="26" t="s">
        <v>2807</v>
      </c>
      <c r="C2030" s="26" t="s">
        <v>255</v>
      </c>
      <c r="D2030" s="26">
        <v>1.412E7</v>
      </c>
      <c r="F2030" s="26" t="s">
        <v>2542</v>
      </c>
    </row>
    <row r="2031">
      <c r="A2031" s="27">
        <v>45600.0</v>
      </c>
      <c r="B2031" s="26" t="s">
        <v>4406</v>
      </c>
      <c r="C2031" s="26" t="s">
        <v>255</v>
      </c>
      <c r="D2031" s="26">
        <v>2840000.0</v>
      </c>
      <c r="F2031" s="26" t="s">
        <v>2542</v>
      </c>
    </row>
    <row r="2032">
      <c r="A2032" s="27">
        <v>45600.0</v>
      </c>
      <c r="B2032" s="26" t="s">
        <v>4407</v>
      </c>
      <c r="C2032" s="26" t="s">
        <v>255</v>
      </c>
      <c r="D2032" s="26">
        <v>1242000.0</v>
      </c>
      <c r="F2032" s="26" t="s">
        <v>2542</v>
      </c>
    </row>
    <row r="2033">
      <c r="A2033" s="27">
        <v>45600.0</v>
      </c>
      <c r="B2033" s="26" t="s">
        <v>4408</v>
      </c>
      <c r="C2033" s="26" t="s">
        <v>255</v>
      </c>
      <c r="D2033" s="26">
        <v>1.1814E7</v>
      </c>
      <c r="F2033" s="26" t="s">
        <v>2542</v>
      </c>
    </row>
    <row r="2034">
      <c r="A2034" s="27">
        <v>45600.0</v>
      </c>
      <c r="B2034" s="26" t="s">
        <v>4409</v>
      </c>
      <c r="C2034" s="26" t="s">
        <v>2593</v>
      </c>
      <c r="D2034" s="26">
        <v>529000.0</v>
      </c>
      <c r="F2034" s="26" t="s">
        <v>2542</v>
      </c>
      <c r="G2034" s="26">
        <v>6423.0</v>
      </c>
    </row>
    <row r="2035">
      <c r="A2035" s="27">
        <v>45600.0</v>
      </c>
      <c r="B2035" s="26" t="s">
        <v>3999</v>
      </c>
      <c r="C2035" s="26" t="s">
        <v>2561</v>
      </c>
      <c r="D2035" s="26">
        <v>7300000.0</v>
      </c>
      <c r="F2035" s="26" t="s">
        <v>2542</v>
      </c>
      <c r="G2035" s="26">
        <v>331.0</v>
      </c>
    </row>
    <row r="2036">
      <c r="A2036" s="27">
        <v>45598.0</v>
      </c>
      <c r="B2036" s="26" t="s">
        <v>4410</v>
      </c>
      <c r="C2036" s="26" t="s">
        <v>255</v>
      </c>
      <c r="D2036" s="26">
        <v>2030000.0</v>
      </c>
      <c r="F2036" s="26" t="s">
        <v>2542</v>
      </c>
    </row>
    <row r="2037">
      <c r="A2037" s="27">
        <v>45597.0</v>
      </c>
      <c r="B2037" s="26" t="s">
        <v>4150</v>
      </c>
      <c r="C2037" s="26" t="s">
        <v>255</v>
      </c>
      <c r="D2037" s="26">
        <v>1188000.0</v>
      </c>
      <c r="F2037" s="26" t="s">
        <v>2542</v>
      </c>
    </row>
    <row r="2038">
      <c r="A2038" s="27">
        <v>45597.0</v>
      </c>
      <c r="B2038" s="26" t="s">
        <v>2745</v>
      </c>
      <c r="C2038" s="26" t="s">
        <v>255</v>
      </c>
      <c r="D2038" s="26">
        <v>1000000.0</v>
      </c>
      <c r="F2038" s="26" t="s">
        <v>2542</v>
      </c>
    </row>
    <row r="2039">
      <c r="A2039" s="27">
        <v>45597.0</v>
      </c>
      <c r="B2039" s="26" t="s">
        <v>4411</v>
      </c>
      <c r="C2039" s="26" t="s">
        <v>255</v>
      </c>
      <c r="D2039" s="26">
        <v>3325000.0</v>
      </c>
      <c r="F2039" s="26" t="s">
        <v>2542</v>
      </c>
    </row>
    <row r="2040">
      <c r="A2040" s="27">
        <v>45597.0</v>
      </c>
      <c r="B2040" s="26" t="s">
        <v>4412</v>
      </c>
      <c r="C2040" s="26" t="s">
        <v>255</v>
      </c>
      <c r="D2040" s="26">
        <v>5800000.0</v>
      </c>
      <c r="F2040" s="26" t="s">
        <v>2542</v>
      </c>
    </row>
    <row r="2041">
      <c r="A2041" s="27">
        <v>45597.0</v>
      </c>
      <c r="B2041" s="26" t="s">
        <v>2813</v>
      </c>
      <c r="C2041" s="26" t="s">
        <v>255</v>
      </c>
      <c r="D2041" s="26">
        <v>7860000.0</v>
      </c>
      <c r="F2041" s="26" t="s">
        <v>2542</v>
      </c>
    </row>
    <row r="2042">
      <c r="A2042" s="27">
        <v>45597.0</v>
      </c>
      <c r="B2042" s="26" t="s">
        <v>4413</v>
      </c>
      <c r="C2042" s="26" t="s">
        <v>255</v>
      </c>
      <c r="D2042" s="26">
        <v>1320000.0</v>
      </c>
      <c r="F2042" s="26" t="s">
        <v>2542</v>
      </c>
    </row>
    <row r="2043">
      <c r="A2043" s="27">
        <v>45597.0</v>
      </c>
      <c r="B2043" s="26" t="s">
        <v>2543</v>
      </c>
      <c r="C2043" s="26" t="s">
        <v>255</v>
      </c>
      <c r="D2043" s="26">
        <v>11065.0</v>
      </c>
      <c r="F2043" s="26" t="s">
        <v>2542</v>
      </c>
    </row>
    <row r="2044">
      <c r="A2044" s="27">
        <v>45597.0</v>
      </c>
      <c r="B2044" s="26" t="s">
        <v>4414</v>
      </c>
      <c r="C2044" s="26" t="s">
        <v>2574</v>
      </c>
      <c r="D2044" s="26">
        <v>7234920.0</v>
      </c>
      <c r="F2044" s="26" t="s">
        <v>2542</v>
      </c>
      <c r="G2044" s="26">
        <v>331.0</v>
      </c>
    </row>
    <row r="2045">
      <c r="A2045" s="27">
        <v>45597.0</v>
      </c>
      <c r="B2045" s="26" t="s">
        <v>4415</v>
      </c>
      <c r="C2045" s="26" t="s">
        <v>2561</v>
      </c>
      <c r="D2045" s="26">
        <v>275000.0</v>
      </c>
      <c r="F2045" s="26" t="s">
        <v>2542</v>
      </c>
      <c r="G2045" s="26">
        <v>331.0</v>
      </c>
    </row>
    <row r="2046">
      <c r="A2046" s="27">
        <v>45597.0</v>
      </c>
      <c r="B2046" s="26" t="s">
        <v>4416</v>
      </c>
      <c r="C2046" s="26" t="s">
        <v>2593</v>
      </c>
      <c r="D2046" s="26">
        <v>875016.0</v>
      </c>
      <c r="F2046" s="26" t="s">
        <v>2542</v>
      </c>
      <c r="G2046" s="26">
        <v>6423.0</v>
      </c>
    </row>
    <row r="2047">
      <c r="A2047" s="27">
        <v>45596.0</v>
      </c>
      <c r="B2047" s="26" t="s">
        <v>4417</v>
      </c>
      <c r="C2047" s="26" t="s">
        <v>2887</v>
      </c>
      <c r="D2047" s="26" t="s">
        <v>4222</v>
      </c>
      <c r="F2047" s="26" t="s">
        <v>2542</v>
      </c>
    </row>
    <row r="2048">
      <c r="A2048" s="27">
        <v>45596.0</v>
      </c>
      <c r="B2048" s="26" t="s">
        <v>4418</v>
      </c>
      <c r="C2048" s="26" t="s">
        <v>255</v>
      </c>
      <c r="D2048" s="26">
        <v>1080000.0</v>
      </c>
      <c r="F2048" s="26" t="s">
        <v>2542</v>
      </c>
    </row>
    <row r="2049">
      <c r="A2049" s="27">
        <v>45596.0</v>
      </c>
      <c r="B2049" s="26" t="s">
        <v>4417</v>
      </c>
      <c r="C2049" s="28"/>
      <c r="D2049" s="26">
        <v>8000000.0</v>
      </c>
      <c r="F2049" s="26" t="s">
        <v>2542</v>
      </c>
    </row>
    <row r="2050">
      <c r="A2050" s="27">
        <v>45596.0</v>
      </c>
      <c r="B2050" s="26" t="s">
        <v>4419</v>
      </c>
      <c r="C2050" s="26" t="s">
        <v>2545</v>
      </c>
      <c r="D2050" s="26">
        <v>1000000.0</v>
      </c>
      <c r="F2050" s="26" t="s">
        <v>2542</v>
      </c>
      <c r="G2050" s="26">
        <v>3341.0</v>
      </c>
    </row>
    <row r="2051">
      <c r="A2051" s="27">
        <v>45595.0</v>
      </c>
      <c r="B2051" s="26" t="s">
        <v>4420</v>
      </c>
      <c r="C2051" s="26" t="s">
        <v>2574</v>
      </c>
      <c r="D2051" s="26">
        <v>1956000.0</v>
      </c>
      <c r="F2051" s="26" t="s">
        <v>2542</v>
      </c>
      <c r="G2051" s="26">
        <v>331.0</v>
      </c>
    </row>
    <row r="2052">
      <c r="A2052" s="27">
        <v>45595.0</v>
      </c>
      <c r="B2052" s="26" t="s">
        <v>4421</v>
      </c>
      <c r="C2052" s="26" t="s">
        <v>2574</v>
      </c>
      <c r="D2052" s="26">
        <v>2292000.0</v>
      </c>
      <c r="F2052" s="26" t="s">
        <v>2542</v>
      </c>
      <c r="G2052" s="26">
        <v>331.0</v>
      </c>
    </row>
    <row r="2053">
      <c r="A2053" s="27">
        <v>45595.0</v>
      </c>
      <c r="B2053" s="26" t="s">
        <v>4422</v>
      </c>
      <c r="C2053" s="26" t="s">
        <v>2561</v>
      </c>
      <c r="D2053" s="26" t="s">
        <v>4222</v>
      </c>
      <c r="F2053" s="26" t="s">
        <v>2542</v>
      </c>
      <c r="G2053" s="26">
        <v>632.1</v>
      </c>
    </row>
    <row r="2054">
      <c r="A2054" s="27">
        <v>45594.0</v>
      </c>
      <c r="B2054" s="26" t="s">
        <v>4423</v>
      </c>
      <c r="C2054" s="26" t="s">
        <v>255</v>
      </c>
      <c r="D2054" s="26">
        <v>5801000.0</v>
      </c>
      <c r="F2054" s="26" t="s">
        <v>2542</v>
      </c>
    </row>
    <row r="2055">
      <c r="A2055" s="27">
        <v>45594.0</v>
      </c>
      <c r="B2055" s="26" t="s">
        <v>4424</v>
      </c>
      <c r="C2055" s="26" t="s">
        <v>255</v>
      </c>
      <c r="D2055" s="26">
        <v>3240000.0</v>
      </c>
      <c r="F2055" s="26" t="s">
        <v>2542</v>
      </c>
    </row>
    <row r="2056">
      <c r="A2056" s="27">
        <v>45594.0</v>
      </c>
      <c r="B2056" s="26" t="s">
        <v>4425</v>
      </c>
      <c r="C2056" s="26" t="s">
        <v>255</v>
      </c>
      <c r="D2056" s="26">
        <v>2160000.0</v>
      </c>
      <c r="F2056" s="26" t="s">
        <v>2542</v>
      </c>
    </row>
    <row r="2057">
      <c r="A2057" s="27">
        <v>45594.0</v>
      </c>
      <c r="B2057" s="26" t="s">
        <v>4426</v>
      </c>
      <c r="C2057" s="26" t="s">
        <v>255</v>
      </c>
      <c r="D2057" s="26">
        <v>4560000.0</v>
      </c>
      <c r="F2057" s="26" t="s">
        <v>2542</v>
      </c>
    </row>
    <row r="2058">
      <c r="A2058" s="27">
        <v>45594.0</v>
      </c>
      <c r="B2058" s="26" t="s">
        <v>4427</v>
      </c>
      <c r="C2058" s="26" t="s">
        <v>2571</v>
      </c>
      <c r="D2058" s="26">
        <v>1000000.0</v>
      </c>
      <c r="F2058" s="26" t="s">
        <v>2542</v>
      </c>
      <c r="G2058" s="26">
        <v>641.12</v>
      </c>
    </row>
    <row r="2059">
      <c r="A2059" s="27">
        <v>45594.0</v>
      </c>
      <c r="B2059" s="26" t="s">
        <v>4428</v>
      </c>
      <c r="C2059" s="26" t="s">
        <v>2561</v>
      </c>
      <c r="D2059" s="26">
        <v>8754000.0</v>
      </c>
      <c r="F2059" s="26" t="s">
        <v>2542</v>
      </c>
      <c r="G2059" s="26">
        <v>331.0</v>
      </c>
    </row>
    <row r="2060">
      <c r="A2060" s="27">
        <v>45593.0</v>
      </c>
      <c r="B2060" s="26" t="s">
        <v>4429</v>
      </c>
      <c r="C2060" s="26" t="s">
        <v>2561</v>
      </c>
      <c r="D2060" s="26">
        <v>4960000.0</v>
      </c>
      <c r="F2060" s="26" t="s">
        <v>2542</v>
      </c>
      <c r="G2060" s="26">
        <v>331.0</v>
      </c>
    </row>
    <row r="2061">
      <c r="A2061" s="27">
        <v>45593.0</v>
      </c>
      <c r="B2061" s="26" t="s">
        <v>4430</v>
      </c>
      <c r="C2061" s="26" t="s">
        <v>2561</v>
      </c>
      <c r="D2061" s="26">
        <v>2.699136E7</v>
      </c>
      <c r="F2061" s="26" t="s">
        <v>2542</v>
      </c>
      <c r="G2061" s="26">
        <v>331.0</v>
      </c>
    </row>
    <row r="2062">
      <c r="A2062" s="27">
        <v>45593.0</v>
      </c>
      <c r="B2062" s="26" t="s">
        <v>4431</v>
      </c>
      <c r="C2062" s="26" t="s">
        <v>2545</v>
      </c>
      <c r="D2062" s="26">
        <v>1000000.0</v>
      </c>
      <c r="F2062" s="26" t="s">
        <v>2542</v>
      </c>
      <c r="G2062" s="26">
        <v>3341.0</v>
      </c>
    </row>
    <row r="2063">
      <c r="A2063" s="27">
        <v>45593.0</v>
      </c>
      <c r="B2063" s="26" t="s">
        <v>4282</v>
      </c>
      <c r="C2063" s="26" t="s">
        <v>2564</v>
      </c>
      <c r="D2063" s="26" t="s">
        <v>4432</v>
      </c>
      <c r="F2063" s="26" t="s">
        <v>2542</v>
      </c>
      <c r="G2063" s="26">
        <v>3335.0</v>
      </c>
    </row>
    <row r="2064">
      <c r="A2064" s="27">
        <v>45592.0</v>
      </c>
      <c r="B2064" s="26" t="s">
        <v>4433</v>
      </c>
      <c r="C2064" s="26" t="s">
        <v>2574</v>
      </c>
      <c r="D2064" s="26">
        <v>7160000.0</v>
      </c>
      <c r="F2064" s="26" t="s">
        <v>2542</v>
      </c>
      <c r="G2064" s="26">
        <v>331.0</v>
      </c>
    </row>
    <row r="2065">
      <c r="A2065" s="27">
        <v>45591.0</v>
      </c>
      <c r="B2065" s="26" t="s">
        <v>2830</v>
      </c>
      <c r="C2065" s="26" t="s">
        <v>255</v>
      </c>
      <c r="D2065" s="26">
        <v>2160000.0</v>
      </c>
      <c r="F2065" s="26" t="s">
        <v>2542</v>
      </c>
    </row>
    <row r="2066">
      <c r="A2066" s="27">
        <v>45591.0</v>
      </c>
      <c r="B2066" s="26" t="s">
        <v>4434</v>
      </c>
      <c r="C2066" s="26" t="s">
        <v>255</v>
      </c>
      <c r="D2066" s="26">
        <v>3325000.0</v>
      </c>
      <c r="F2066" s="26" t="s">
        <v>2542</v>
      </c>
    </row>
    <row r="2067">
      <c r="A2067" s="27">
        <v>45590.0</v>
      </c>
      <c r="B2067" s="26" t="s">
        <v>2776</v>
      </c>
      <c r="C2067" s="26" t="s">
        <v>255</v>
      </c>
      <c r="D2067" s="26">
        <v>3325000.0</v>
      </c>
      <c r="F2067" s="26" t="s">
        <v>2542</v>
      </c>
    </row>
    <row r="2068">
      <c r="A2068" s="27">
        <v>45590.0</v>
      </c>
      <c r="B2068" s="26" t="s">
        <v>4435</v>
      </c>
      <c r="C2068" s="26" t="s">
        <v>255</v>
      </c>
      <c r="D2068" s="26">
        <v>3190000.0</v>
      </c>
      <c r="F2068" s="26" t="s">
        <v>2542</v>
      </c>
    </row>
    <row r="2069">
      <c r="A2069" s="27">
        <v>45590.0</v>
      </c>
      <c r="B2069" s="26" t="s">
        <v>4436</v>
      </c>
      <c r="C2069" s="26" t="s">
        <v>255</v>
      </c>
      <c r="D2069" s="26">
        <v>2161000.0</v>
      </c>
      <c r="F2069" s="26" t="s">
        <v>2542</v>
      </c>
    </row>
    <row r="2070">
      <c r="A2070" s="27">
        <v>45590.0</v>
      </c>
      <c r="B2070" s="26" t="s">
        <v>4437</v>
      </c>
      <c r="C2070" s="26" t="s">
        <v>255</v>
      </c>
      <c r="D2070" s="26">
        <v>1.1686913E7</v>
      </c>
      <c r="F2070" s="26" t="s">
        <v>2542</v>
      </c>
    </row>
    <row r="2071">
      <c r="A2071" s="27">
        <v>45590.0</v>
      </c>
      <c r="B2071" s="26" t="s">
        <v>4438</v>
      </c>
      <c r="C2071" s="26" t="s">
        <v>255</v>
      </c>
      <c r="D2071" s="26">
        <v>5973000.0</v>
      </c>
      <c r="F2071" s="26" t="s">
        <v>2542</v>
      </c>
    </row>
    <row r="2072">
      <c r="A2072" s="27">
        <v>45590.0</v>
      </c>
      <c r="B2072" s="26" t="s">
        <v>2837</v>
      </c>
      <c r="C2072" s="26" t="s">
        <v>255</v>
      </c>
      <c r="D2072" s="26">
        <v>1.5444E7</v>
      </c>
      <c r="F2072" s="26" t="s">
        <v>2542</v>
      </c>
    </row>
    <row r="2073">
      <c r="A2073" s="27">
        <v>45590.0</v>
      </c>
      <c r="B2073" s="26" t="s">
        <v>4437</v>
      </c>
      <c r="C2073" s="26" t="s">
        <v>255</v>
      </c>
      <c r="D2073" s="26">
        <v>3190000.0</v>
      </c>
      <c r="F2073" s="26" t="s">
        <v>2542</v>
      </c>
    </row>
    <row r="2074">
      <c r="A2074" s="27">
        <v>45590.0</v>
      </c>
      <c r="B2074" s="26" t="s">
        <v>4437</v>
      </c>
      <c r="C2074" s="26" t="s">
        <v>255</v>
      </c>
      <c r="D2074" s="26">
        <v>3190000.0</v>
      </c>
      <c r="F2074" s="26" t="s">
        <v>2542</v>
      </c>
    </row>
    <row r="2075">
      <c r="A2075" s="27">
        <v>45589.0</v>
      </c>
      <c r="B2075" s="26" t="s">
        <v>2586</v>
      </c>
      <c r="C2075" s="26" t="s">
        <v>255</v>
      </c>
      <c r="D2075" s="26">
        <v>2817.0</v>
      </c>
      <c r="F2075" s="26" t="s">
        <v>2542</v>
      </c>
    </row>
    <row r="2076">
      <c r="A2076" s="27">
        <v>45587.0</v>
      </c>
      <c r="B2076" s="26" t="s">
        <v>4439</v>
      </c>
      <c r="C2076" s="26" t="s">
        <v>255</v>
      </c>
      <c r="D2076" s="26">
        <v>1.6525E7</v>
      </c>
      <c r="F2076" s="26" t="s">
        <v>2542</v>
      </c>
    </row>
    <row r="2077">
      <c r="A2077" s="27">
        <v>45586.0</v>
      </c>
      <c r="B2077" s="26" t="s">
        <v>4440</v>
      </c>
      <c r="C2077" s="26" t="s">
        <v>255</v>
      </c>
      <c r="D2077" s="26">
        <v>1969000.0</v>
      </c>
      <c r="F2077" s="26" t="s">
        <v>2542</v>
      </c>
    </row>
    <row r="2078">
      <c r="A2078" s="27">
        <v>45586.0</v>
      </c>
      <c r="B2078" s="26" t="s">
        <v>4441</v>
      </c>
      <c r="C2078" s="26" t="s">
        <v>255</v>
      </c>
      <c r="D2078" s="26">
        <v>3945500.0</v>
      </c>
      <c r="F2078" s="26" t="s">
        <v>2542</v>
      </c>
    </row>
    <row r="2079">
      <c r="A2079" s="27">
        <v>45586.0</v>
      </c>
      <c r="B2079" s="26" t="s">
        <v>4442</v>
      </c>
      <c r="C2079" s="26" t="s">
        <v>255</v>
      </c>
      <c r="D2079" s="26">
        <v>1595000.0</v>
      </c>
      <c r="F2079" s="26" t="s">
        <v>2542</v>
      </c>
    </row>
    <row r="2080">
      <c r="A2080" s="27">
        <v>45585.0</v>
      </c>
      <c r="B2080" s="26" t="s">
        <v>4443</v>
      </c>
      <c r="C2080" s="26" t="s">
        <v>255</v>
      </c>
      <c r="D2080" s="26">
        <v>4920000.0</v>
      </c>
      <c r="F2080" s="26" t="s">
        <v>2542</v>
      </c>
    </row>
    <row r="2081">
      <c r="A2081" s="27">
        <v>45583.0</v>
      </c>
      <c r="B2081" s="26" t="s">
        <v>4444</v>
      </c>
      <c r="C2081" s="26" t="s">
        <v>255</v>
      </c>
      <c r="D2081" s="26">
        <v>1000000.0</v>
      </c>
      <c r="F2081" s="26" t="s">
        <v>2542</v>
      </c>
    </row>
    <row r="2082">
      <c r="A2082" s="27">
        <v>45583.0</v>
      </c>
      <c r="B2082" s="26" t="s">
        <v>4445</v>
      </c>
      <c r="C2082" s="26" t="s">
        <v>255</v>
      </c>
      <c r="D2082" s="26">
        <v>1080000.0</v>
      </c>
      <c r="F2082" s="26" t="s">
        <v>2542</v>
      </c>
    </row>
    <row r="2083">
      <c r="A2083" s="27">
        <v>45583.0</v>
      </c>
      <c r="B2083" s="26" t="s">
        <v>4446</v>
      </c>
      <c r="C2083" s="26" t="s">
        <v>255</v>
      </c>
      <c r="D2083" s="26">
        <v>1080000.0</v>
      </c>
      <c r="F2083" s="26" t="s">
        <v>2542</v>
      </c>
    </row>
    <row r="2084">
      <c r="A2084" s="27">
        <v>45583.0</v>
      </c>
      <c r="B2084" s="26" t="s">
        <v>4447</v>
      </c>
      <c r="C2084" s="26" t="s">
        <v>255</v>
      </c>
      <c r="D2084" s="26">
        <v>1080000.0</v>
      </c>
      <c r="F2084" s="26" t="s">
        <v>2542</v>
      </c>
    </row>
    <row r="2085">
      <c r="A2085" s="27">
        <v>45583.0</v>
      </c>
      <c r="B2085" s="26" t="s">
        <v>4448</v>
      </c>
      <c r="C2085" s="26" t="s">
        <v>255</v>
      </c>
      <c r="D2085" s="26">
        <v>1188000.0</v>
      </c>
      <c r="F2085" s="26" t="s">
        <v>2542</v>
      </c>
    </row>
    <row r="2086">
      <c r="A2086" s="27">
        <v>45583.0</v>
      </c>
      <c r="B2086" s="26" t="s">
        <v>4449</v>
      </c>
      <c r="C2086" s="26" t="s">
        <v>2764</v>
      </c>
      <c r="D2086" s="26">
        <v>955000.0</v>
      </c>
      <c r="F2086" s="26" t="s">
        <v>2542</v>
      </c>
      <c r="G2086" s="26">
        <v>6273.0</v>
      </c>
    </row>
    <row r="2087">
      <c r="A2087" s="27">
        <v>45583.0</v>
      </c>
      <c r="B2087" s="26" t="s">
        <v>4450</v>
      </c>
      <c r="C2087" s="26" t="s">
        <v>2583</v>
      </c>
      <c r="D2087" s="26">
        <v>1343000.0</v>
      </c>
      <c r="F2087" s="26" t="s">
        <v>2542</v>
      </c>
      <c r="G2087" s="26">
        <v>641.24</v>
      </c>
    </row>
    <row r="2088">
      <c r="A2088" s="27">
        <v>45583.0</v>
      </c>
      <c r="B2088" s="26" t="s">
        <v>4451</v>
      </c>
      <c r="C2088" s="26" t="s">
        <v>2545</v>
      </c>
      <c r="D2088" s="26">
        <v>1000000.0</v>
      </c>
      <c r="F2088" s="26" t="s">
        <v>2542</v>
      </c>
      <c r="G2088" s="26">
        <v>3341.0</v>
      </c>
    </row>
    <row r="2089">
      <c r="A2089" s="27">
        <v>45583.0</v>
      </c>
      <c r="B2089" s="26" t="s">
        <v>4452</v>
      </c>
      <c r="C2089" s="26" t="s">
        <v>2764</v>
      </c>
      <c r="D2089" s="26">
        <v>2281880.0</v>
      </c>
      <c r="F2089" s="26" t="s">
        <v>2542</v>
      </c>
      <c r="G2089" s="26">
        <v>6273.0</v>
      </c>
    </row>
    <row r="2090">
      <c r="A2090" s="27">
        <v>45582.0</v>
      </c>
      <c r="B2090" s="26" t="s">
        <v>4453</v>
      </c>
      <c r="C2090" s="26" t="s">
        <v>255</v>
      </c>
      <c r="D2090" s="26">
        <v>1595000.0</v>
      </c>
      <c r="F2090" s="26" t="s">
        <v>2542</v>
      </c>
    </row>
    <row r="2091">
      <c r="A2091" s="27">
        <v>45582.0</v>
      </c>
      <c r="B2091" s="26" t="s">
        <v>4454</v>
      </c>
      <c r="C2091" s="26" t="s">
        <v>2545</v>
      </c>
      <c r="D2091" s="26">
        <v>3.24E7</v>
      </c>
      <c r="F2091" s="26" t="s">
        <v>2542</v>
      </c>
      <c r="G2091" s="26">
        <v>3341.0</v>
      </c>
    </row>
    <row r="2092">
      <c r="A2092" s="27">
        <v>45582.0</v>
      </c>
      <c r="B2092" s="26" t="s">
        <v>4455</v>
      </c>
      <c r="C2092" s="26" t="s">
        <v>2545</v>
      </c>
      <c r="D2092" s="26">
        <v>2.0E7</v>
      </c>
      <c r="F2092" s="26" t="s">
        <v>2542</v>
      </c>
      <c r="G2092" s="26">
        <v>3341.0</v>
      </c>
    </row>
    <row r="2093">
      <c r="A2093" s="27">
        <v>45582.0</v>
      </c>
      <c r="B2093" s="26" t="s">
        <v>4456</v>
      </c>
      <c r="C2093" s="26" t="s">
        <v>2561</v>
      </c>
      <c r="D2093" s="26">
        <v>1.0E7</v>
      </c>
      <c r="F2093" s="26" t="s">
        <v>2542</v>
      </c>
      <c r="G2093" s="26">
        <v>331.0</v>
      </c>
    </row>
    <row r="2094">
      <c r="A2094" s="27">
        <v>45581.0</v>
      </c>
      <c r="B2094" s="26" t="s">
        <v>4457</v>
      </c>
      <c r="C2094" s="26" t="s">
        <v>255</v>
      </c>
      <c r="D2094" s="26">
        <v>1.054E7</v>
      </c>
      <c r="F2094" s="26" t="s">
        <v>2542</v>
      </c>
    </row>
    <row r="2095">
      <c r="A2095" s="27">
        <v>45581.0</v>
      </c>
      <c r="B2095" s="26" t="s">
        <v>4458</v>
      </c>
      <c r="C2095" s="26" t="s">
        <v>255</v>
      </c>
      <c r="D2095" s="26">
        <v>4320000.0</v>
      </c>
      <c r="F2095" s="26" t="s">
        <v>2542</v>
      </c>
    </row>
    <row r="2096">
      <c r="A2096" s="27">
        <v>45581.0</v>
      </c>
      <c r="B2096" s="26" t="s">
        <v>4459</v>
      </c>
      <c r="C2096" s="26" t="s">
        <v>255</v>
      </c>
      <c r="D2096" s="26">
        <v>4320000.0</v>
      </c>
      <c r="F2096" s="26" t="s">
        <v>2542</v>
      </c>
    </row>
    <row r="2097">
      <c r="A2097" s="27">
        <v>45581.0</v>
      </c>
      <c r="B2097" s="26" t="s">
        <v>4460</v>
      </c>
      <c r="C2097" s="26" t="s">
        <v>255</v>
      </c>
      <c r="D2097" s="26">
        <v>1836000.0</v>
      </c>
      <c r="F2097" s="26" t="s">
        <v>2542</v>
      </c>
    </row>
    <row r="2098">
      <c r="A2098" s="27">
        <v>45581.0</v>
      </c>
      <c r="B2098" s="26" t="s">
        <v>4461</v>
      </c>
      <c r="C2098" s="26" t="s">
        <v>255</v>
      </c>
      <c r="D2098" s="26">
        <v>2160000.0</v>
      </c>
      <c r="F2098" s="26" t="s">
        <v>2542</v>
      </c>
    </row>
    <row r="2099">
      <c r="A2099" s="27">
        <v>45581.0</v>
      </c>
      <c r="B2099" s="26" t="s">
        <v>4462</v>
      </c>
      <c r="C2099" s="26" t="s">
        <v>255</v>
      </c>
      <c r="D2099" s="26">
        <v>3136000.0</v>
      </c>
      <c r="F2099" s="26" t="s">
        <v>2542</v>
      </c>
    </row>
    <row r="2100">
      <c r="A2100" s="27">
        <v>45581.0</v>
      </c>
      <c r="B2100" s="26" t="s">
        <v>4463</v>
      </c>
      <c r="C2100" s="26" t="s">
        <v>255</v>
      </c>
      <c r="D2100" s="26">
        <v>1080000.0</v>
      </c>
      <c r="F2100" s="26" t="s">
        <v>2542</v>
      </c>
    </row>
    <row r="2101">
      <c r="A2101" s="27">
        <v>45581.0</v>
      </c>
      <c r="B2101" s="26" t="s">
        <v>4464</v>
      </c>
      <c r="C2101" s="26" t="s">
        <v>255</v>
      </c>
      <c r="D2101" s="26">
        <v>1080000.0</v>
      </c>
      <c r="F2101" s="26" t="s">
        <v>2542</v>
      </c>
    </row>
    <row r="2102">
      <c r="A2102" s="27">
        <v>45581.0</v>
      </c>
      <c r="B2102" s="26" t="s">
        <v>4465</v>
      </c>
      <c r="C2102" s="26" t="s">
        <v>255</v>
      </c>
      <c r="D2102" s="26">
        <v>1080000.0</v>
      </c>
      <c r="F2102" s="26" t="s">
        <v>2542</v>
      </c>
    </row>
    <row r="2103">
      <c r="A2103" s="27">
        <v>45581.0</v>
      </c>
      <c r="B2103" s="26" t="s">
        <v>4466</v>
      </c>
      <c r="C2103" s="26" t="s">
        <v>255</v>
      </c>
      <c r="D2103" s="26">
        <v>1080000.0</v>
      </c>
      <c r="F2103" s="26" t="s">
        <v>2542</v>
      </c>
    </row>
    <row r="2104">
      <c r="A2104" s="27">
        <v>45581.0</v>
      </c>
      <c r="B2104" s="26" t="s">
        <v>4467</v>
      </c>
      <c r="C2104" s="26" t="s">
        <v>255</v>
      </c>
      <c r="D2104" s="26">
        <v>1140000.0</v>
      </c>
      <c r="F2104" s="26" t="s">
        <v>2542</v>
      </c>
    </row>
    <row r="2105">
      <c r="A2105" s="27">
        <v>45581.0</v>
      </c>
      <c r="B2105" s="26" t="s">
        <v>4468</v>
      </c>
      <c r="C2105" s="26" t="s">
        <v>255</v>
      </c>
      <c r="D2105" s="26">
        <v>1.4E7</v>
      </c>
      <c r="F2105" s="26" t="s">
        <v>2542</v>
      </c>
    </row>
    <row r="2106">
      <c r="A2106" s="27">
        <v>45581.0</v>
      </c>
      <c r="B2106" s="26" t="s">
        <v>4469</v>
      </c>
      <c r="C2106" s="26" t="s">
        <v>2583</v>
      </c>
      <c r="D2106" s="26">
        <v>600000.0</v>
      </c>
      <c r="F2106" s="26" t="s">
        <v>2542</v>
      </c>
      <c r="G2106" s="26">
        <v>641.14</v>
      </c>
    </row>
    <row r="2107">
      <c r="A2107" s="27">
        <v>45581.0</v>
      </c>
      <c r="B2107" s="26" t="s">
        <v>4470</v>
      </c>
      <c r="C2107" s="26" t="s">
        <v>2655</v>
      </c>
      <c r="D2107" s="26">
        <v>1.408E7</v>
      </c>
      <c r="F2107" s="26" t="s">
        <v>2542</v>
      </c>
      <c r="G2107" s="26">
        <v>3383.0</v>
      </c>
    </row>
    <row r="2108">
      <c r="A2108" s="27">
        <v>45580.0</v>
      </c>
      <c r="B2108" s="26" t="s">
        <v>4471</v>
      </c>
      <c r="C2108" s="26" t="s">
        <v>2561</v>
      </c>
      <c r="D2108" s="26">
        <v>8967000.0</v>
      </c>
      <c r="F2108" s="26" t="s">
        <v>2542</v>
      </c>
      <c r="G2108" s="26">
        <v>331.0</v>
      </c>
    </row>
    <row r="2109">
      <c r="A2109" s="27">
        <v>45580.0</v>
      </c>
      <c r="B2109" s="26" t="s">
        <v>3444</v>
      </c>
      <c r="C2109" s="26" t="s">
        <v>2564</v>
      </c>
      <c r="D2109" s="26" t="s">
        <v>4472</v>
      </c>
      <c r="F2109" s="26" t="s">
        <v>2542</v>
      </c>
      <c r="G2109" s="26">
        <v>3332.0</v>
      </c>
    </row>
    <row r="2110">
      <c r="A2110" s="27">
        <v>45580.0</v>
      </c>
      <c r="B2110" s="26" t="s">
        <v>3444</v>
      </c>
      <c r="C2110" s="26" t="s">
        <v>2564</v>
      </c>
      <c r="D2110" s="26" t="s">
        <v>4473</v>
      </c>
      <c r="F2110" s="26" t="s">
        <v>2542</v>
      </c>
      <c r="G2110" s="26">
        <v>3332.0</v>
      </c>
    </row>
    <row r="2111">
      <c r="A2111" s="27">
        <v>45580.0</v>
      </c>
      <c r="B2111" s="26" t="s">
        <v>3568</v>
      </c>
      <c r="C2111" s="26" t="s">
        <v>2564</v>
      </c>
      <c r="D2111" s="26">
        <v>900.0</v>
      </c>
      <c r="F2111" s="26" t="s">
        <v>2542</v>
      </c>
      <c r="G2111" s="26">
        <v>3335.0</v>
      </c>
    </row>
    <row r="2112">
      <c r="A2112" s="27">
        <v>45580.0</v>
      </c>
      <c r="B2112" s="26" t="s">
        <v>4474</v>
      </c>
      <c r="C2112" s="26" t="s">
        <v>2545</v>
      </c>
      <c r="D2112" s="26">
        <v>3.33E7</v>
      </c>
      <c r="F2112" s="26" t="s">
        <v>2542</v>
      </c>
      <c r="G2112" s="26">
        <v>3341.0</v>
      </c>
    </row>
    <row r="2113">
      <c r="A2113" s="27">
        <v>45580.0</v>
      </c>
      <c r="B2113" s="26" t="s">
        <v>4475</v>
      </c>
      <c r="C2113" s="26" t="s">
        <v>2571</v>
      </c>
      <c r="D2113" s="26">
        <v>510000.0</v>
      </c>
      <c r="F2113" s="26" t="s">
        <v>2542</v>
      </c>
      <c r="G2113" s="26">
        <v>641.22</v>
      </c>
    </row>
    <row r="2114">
      <c r="A2114" s="27">
        <v>45579.0</v>
      </c>
      <c r="B2114" s="26" t="s">
        <v>4476</v>
      </c>
      <c r="C2114" s="26" t="s">
        <v>255</v>
      </c>
      <c r="D2114" s="26">
        <v>1.0E8</v>
      </c>
      <c r="F2114" s="26" t="s">
        <v>2542</v>
      </c>
    </row>
    <row r="2115">
      <c r="A2115" s="27">
        <v>45579.0</v>
      </c>
      <c r="B2115" s="26" t="s">
        <v>4477</v>
      </c>
      <c r="C2115" s="26" t="s">
        <v>2887</v>
      </c>
      <c r="D2115" s="26">
        <v>6.17125E8</v>
      </c>
      <c r="F2115" s="26" t="s">
        <v>2542</v>
      </c>
    </row>
    <row r="2116">
      <c r="A2116" s="27">
        <v>45579.0</v>
      </c>
      <c r="B2116" s="26" t="s">
        <v>4478</v>
      </c>
      <c r="C2116" s="26" t="s">
        <v>255</v>
      </c>
      <c r="D2116" s="26">
        <v>5000000.0</v>
      </c>
      <c r="F2116" s="26" t="s">
        <v>2542</v>
      </c>
    </row>
    <row r="2117">
      <c r="A2117" s="27">
        <v>45579.0</v>
      </c>
      <c r="B2117" s="26" t="s">
        <v>4479</v>
      </c>
      <c r="C2117" s="26" t="s">
        <v>255</v>
      </c>
      <c r="D2117" s="26">
        <v>2700000.0</v>
      </c>
      <c r="F2117" s="26" t="s">
        <v>2542</v>
      </c>
    </row>
    <row r="2118">
      <c r="A2118" s="27">
        <v>45579.0</v>
      </c>
      <c r="B2118" s="26" t="s">
        <v>4480</v>
      </c>
      <c r="C2118" s="26" t="s">
        <v>255</v>
      </c>
      <c r="D2118" s="26">
        <v>6347100.0</v>
      </c>
      <c r="F2118" s="26" t="s">
        <v>2542</v>
      </c>
    </row>
    <row r="2119">
      <c r="A2119" s="27">
        <v>45579.0</v>
      </c>
      <c r="B2119" s="26" t="s">
        <v>4481</v>
      </c>
      <c r="C2119" s="26" t="s">
        <v>255</v>
      </c>
      <c r="D2119" s="26">
        <v>2400000.0</v>
      </c>
      <c r="F2119" s="26" t="s">
        <v>2542</v>
      </c>
    </row>
    <row r="2120">
      <c r="A2120" s="27">
        <v>45579.0</v>
      </c>
      <c r="B2120" s="26" t="s">
        <v>4482</v>
      </c>
      <c r="C2120" s="26" t="s">
        <v>255</v>
      </c>
      <c r="D2120" s="26">
        <v>1080000.0</v>
      </c>
      <c r="F2120" s="26" t="s">
        <v>2542</v>
      </c>
    </row>
    <row r="2121">
      <c r="A2121" s="27">
        <v>45579.0</v>
      </c>
      <c r="B2121" s="26" t="s">
        <v>4483</v>
      </c>
      <c r="C2121" s="26" t="s">
        <v>255</v>
      </c>
      <c r="D2121" s="26">
        <v>1080000.0</v>
      </c>
      <c r="F2121" s="26" t="s">
        <v>2542</v>
      </c>
    </row>
    <row r="2122">
      <c r="A2122" s="27">
        <v>45579.0</v>
      </c>
      <c r="B2122" s="26" t="s">
        <v>4476</v>
      </c>
      <c r="C2122" s="28"/>
      <c r="D2122" s="26">
        <v>1.0E8</v>
      </c>
      <c r="F2122" s="26" t="s">
        <v>2542</v>
      </c>
    </row>
    <row r="2123">
      <c r="A2123" s="27">
        <v>45579.0</v>
      </c>
      <c r="B2123" s="26" t="s">
        <v>4484</v>
      </c>
      <c r="C2123" s="26" t="s">
        <v>2574</v>
      </c>
      <c r="D2123" s="26">
        <v>7349400.0</v>
      </c>
      <c r="F2123" s="26" t="s">
        <v>2542</v>
      </c>
      <c r="G2123" s="26">
        <v>331.0</v>
      </c>
    </row>
    <row r="2124">
      <c r="A2124" s="27">
        <v>45579.0</v>
      </c>
      <c r="B2124" s="26" t="s">
        <v>4485</v>
      </c>
      <c r="C2124" s="26" t="s">
        <v>2561</v>
      </c>
      <c r="D2124" s="26">
        <v>2.17388358E8</v>
      </c>
      <c r="F2124" s="26" t="s">
        <v>2542</v>
      </c>
      <c r="G2124" s="26">
        <v>331.0</v>
      </c>
    </row>
    <row r="2125">
      <c r="A2125" s="27">
        <v>45579.0</v>
      </c>
      <c r="B2125" s="26" t="s">
        <v>2914</v>
      </c>
      <c r="C2125" s="26" t="s">
        <v>2561</v>
      </c>
      <c r="D2125" s="26">
        <v>2.495872E7</v>
      </c>
      <c r="F2125" s="26" t="s">
        <v>2542</v>
      </c>
      <c r="G2125" s="26">
        <v>331.0</v>
      </c>
    </row>
    <row r="2126">
      <c r="A2126" s="27">
        <v>45579.0</v>
      </c>
      <c r="B2126" s="26" t="s">
        <v>4455</v>
      </c>
      <c r="C2126" s="26" t="s">
        <v>2545</v>
      </c>
      <c r="D2126" s="26">
        <v>3.0E7</v>
      </c>
      <c r="F2126" s="26" t="s">
        <v>2542</v>
      </c>
      <c r="G2126" s="26">
        <v>3341.0</v>
      </c>
    </row>
    <row r="2127">
      <c r="A2127" s="27">
        <v>45579.0</v>
      </c>
      <c r="B2127" s="26" t="s">
        <v>2864</v>
      </c>
      <c r="C2127" s="26" t="s">
        <v>2545</v>
      </c>
      <c r="D2127" s="26">
        <v>1.2E7</v>
      </c>
      <c r="F2127" s="26" t="s">
        <v>2542</v>
      </c>
      <c r="G2127" s="26">
        <v>3341.0</v>
      </c>
    </row>
    <row r="2128">
      <c r="A2128" s="27">
        <v>45579.0</v>
      </c>
      <c r="B2128" s="26" t="s">
        <v>2865</v>
      </c>
      <c r="C2128" s="26" t="s">
        <v>2545</v>
      </c>
      <c r="D2128" s="26">
        <v>1.2E7</v>
      </c>
      <c r="F2128" s="26" t="s">
        <v>2542</v>
      </c>
      <c r="G2128" s="26">
        <v>3341.0</v>
      </c>
    </row>
    <row r="2129">
      <c r="A2129" s="27">
        <v>45579.0</v>
      </c>
      <c r="B2129" s="26" t="s">
        <v>4486</v>
      </c>
      <c r="C2129" s="26" t="s">
        <v>2545</v>
      </c>
      <c r="D2129" s="26">
        <v>2.2E7</v>
      </c>
      <c r="F2129" s="26" t="s">
        <v>2542</v>
      </c>
      <c r="G2129" s="26">
        <v>3341.0</v>
      </c>
    </row>
    <row r="2130">
      <c r="A2130" s="27">
        <v>45579.0</v>
      </c>
      <c r="B2130" s="26" t="s">
        <v>2905</v>
      </c>
      <c r="C2130" s="26" t="s">
        <v>2545</v>
      </c>
      <c r="D2130" s="26">
        <v>1.236E7</v>
      </c>
      <c r="F2130" s="26" t="s">
        <v>2542</v>
      </c>
      <c r="G2130" s="26">
        <v>3341.0</v>
      </c>
    </row>
    <row r="2131">
      <c r="A2131" s="27">
        <v>45579.0</v>
      </c>
      <c r="B2131" s="26" t="s">
        <v>4487</v>
      </c>
      <c r="C2131" s="26" t="s">
        <v>2545</v>
      </c>
      <c r="D2131" s="26">
        <v>1000000.0</v>
      </c>
      <c r="F2131" s="26" t="s">
        <v>2542</v>
      </c>
      <c r="G2131" s="26">
        <v>6271.0</v>
      </c>
    </row>
    <row r="2132">
      <c r="A2132" s="27">
        <v>45579.0</v>
      </c>
      <c r="B2132" s="26" t="s">
        <v>4488</v>
      </c>
      <c r="C2132" s="26" t="s">
        <v>2545</v>
      </c>
      <c r="D2132" s="26">
        <v>1000000.0</v>
      </c>
      <c r="F2132" s="26" t="s">
        <v>2542</v>
      </c>
      <c r="G2132" s="26">
        <v>3341.0</v>
      </c>
    </row>
    <row r="2133">
      <c r="A2133" s="27">
        <v>45577.0</v>
      </c>
      <c r="B2133" s="26" t="s">
        <v>4489</v>
      </c>
      <c r="C2133" s="26" t="s">
        <v>255</v>
      </c>
      <c r="D2133" s="26">
        <v>1080000.0</v>
      </c>
      <c r="F2133" s="26" t="s">
        <v>2542</v>
      </c>
    </row>
    <row r="2134">
      <c r="A2134" s="27">
        <v>45576.0</v>
      </c>
      <c r="B2134" s="26" t="s">
        <v>4490</v>
      </c>
      <c r="C2134" s="26" t="s">
        <v>255</v>
      </c>
      <c r="D2134" s="26">
        <v>2376000.0</v>
      </c>
      <c r="F2134" s="26" t="s">
        <v>2542</v>
      </c>
    </row>
    <row r="2135">
      <c r="A2135" s="27">
        <v>45576.0</v>
      </c>
      <c r="B2135" s="26" t="s">
        <v>4491</v>
      </c>
      <c r="C2135" s="26" t="s">
        <v>255</v>
      </c>
      <c r="D2135" s="26">
        <v>1.0824E7</v>
      </c>
      <c r="F2135" s="26" t="s">
        <v>2542</v>
      </c>
    </row>
    <row r="2136">
      <c r="A2136" s="27">
        <v>45576.0</v>
      </c>
      <c r="B2136" s="26" t="s">
        <v>4491</v>
      </c>
      <c r="C2136" s="26" t="s">
        <v>255</v>
      </c>
      <c r="D2136" s="26">
        <v>3190000.0</v>
      </c>
      <c r="F2136" s="26" t="s">
        <v>2542</v>
      </c>
    </row>
    <row r="2137">
      <c r="A2137" s="27">
        <v>45576.0</v>
      </c>
      <c r="B2137" s="26" t="s">
        <v>4491</v>
      </c>
      <c r="C2137" s="26" t="s">
        <v>255</v>
      </c>
      <c r="D2137" s="26">
        <v>1595000.0</v>
      </c>
      <c r="F2137" s="26" t="s">
        <v>2542</v>
      </c>
    </row>
    <row r="2138">
      <c r="A2138" s="27">
        <v>45576.0</v>
      </c>
      <c r="B2138" s="26" t="s">
        <v>4491</v>
      </c>
      <c r="C2138" s="26" t="s">
        <v>255</v>
      </c>
      <c r="D2138" s="26">
        <v>6380000.0</v>
      </c>
      <c r="F2138" s="26" t="s">
        <v>2542</v>
      </c>
    </row>
    <row r="2139">
      <c r="A2139" s="27">
        <v>45576.0</v>
      </c>
      <c r="B2139" s="26" t="s">
        <v>2903</v>
      </c>
      <c r="C2139" s="26" t="s">
        <v>2545</v>
      </c>
      <c r="D2139" s="26">
        <v>1.536E7</v>
      </c>
      <c r="F2139" s="26" t="s">
        <v>2542</v>
      </c>
      <c r="G2139" s="26">
        <v>3341.0</v>
      </c>
    </row>
    <row r="2140">
      <c r="A2140" s="27">
        <v>45576.0</v>
      </c>
      <c r="B2140" s="26" t="s">
        <v>2904</v>
      </c>
      <c r="C2140" s="26" t="s">
        <v>2545</v>
      </c>
      <c r="D2140" s="26">
        <v>1.56E7</v>
      </c>
      <c r="F2140" s="26" t="s">
        <v>2542</v>
      </c>
      <c r="G2140" s="26">
        <v>3341.0</v>
      </c>
    </row>
    <row r="2141">
      <c r="A2141" s="27">
        <v>45575.0</v>
      </c>
      <c r="B2141" s="26" t="s">
        <v>4492</v>
      </c>
      <c r="C2141" s="26" t="s">
        <v>255</v>
      </c>
      <c r="D2141" s="26">
        <v>1595000.0</v>
      </c>
      <c r="F2141" s="26" t="s">
        <v>2542</v>
      </c>
    </row>
    <row r="2142">
      <c r="A2142" s="27">
        <v>45575.0</v>
      </c>
      <c r="B2142" s="26" t="s">
        <v>4493</v>
      </c>
      <c r="C2142" s="26" t="s">
        <v>255</v>
      </c>
      <c r="D2142" s="26">
        <v>2900000.0</v>
      </c>
      <c r="F2142" s="26" t="s">
        <v>2542</v>
      </c>
    </row>
    <row r="2143">
      <c r="A2143" s="27">
        <v>45575.0</v>
      </c>
      <c r="B2143" s="26" t="s">
        <v>4494</v>
      </c>
      <c r="C2143" s="26" t="s">
        <v>255</v>
      </c>
      <c r="D2143" s="26">
        <v>2380000.0</v>
      </c>
      <c r="F2143" s="26" t="s">
        <v>2542</v>
      </c>
    </row>
    <row r="2144">
      <c r="A2144" s="27">
        <v>45575.0</v>
      </c>
      <c r="B2144" s="26" t="s">
        <v>2870</v>
      </c>
      <c r="C2144" s="26" t="s">
        <v>255</v>
      </c>
      <c r="D2144" s="26">
        <v>5785000.0</v>
      </c>
      <c r="F2144" s="26" t="s">
        <v>2542</v>
      </c>
    </row>
    <row r="2145">
      <c r="A2145" s="27">
        <v>45575.0</v>
      </c>
      <c r="B2145" s="26" t="s">
        <v>4495</v>
      </c>
      <c r="C2145" s="26" t="s">
        <v>255</v>
      </c>
      <c r="D2145" s="26">
        <v>1.4706E7</v>
      </c>
      <c r="F2145" s="26" t="s">
        <v>2542</v>
      </c>
    </row>
    <row r="2146">
      <c r="A2146" s="27">
        <v>45575.0</v>
      </c>
      <c r="B2146" s="26" t="s">
        <v>4496</v>
      </c>
      <c r="C2146" s="26" t="s">
        <v>255</v>
      </c>
      <c r="D2146" s="26">
        <v>1.4408E7</v>
      </c>
      <c r="F2146" s="26" t="s">
        <v>2542</v>
      </c>
    </row>
    <row r="2147">
      <c r="A2147" s="27">
        <v>45575.0</v>
      </c>
      <c r="B2147" s="26" t="s">
        <v>2849</v>
      </c>
      <c r="C2147" s="26" t="s">
        <v>255</v>
      </c>
      <c r="D2147" s="26">
        <v>2400000.0</v>
      </c>
      <c r="F2147" s="26" t="s">
        <v>2542</v>
      </c>
    </row>
    <row r="2148">
      <c r="A2148" s="27">
        <v>45574.0</v>
      </c>
      <c r="B2148" s="26" t="s">
        <v>4497</v>
      </c>
      <c r="C2148" s="26" t="s">
        <v>255</v>
      </c>
      <c r="D2148" s="26">
        <v>1724800.0</v>
      </c>
      <c r="F2148" s="26" t="s">
        <v>2542</v>
      </c>
    </row>
    <row r="2149">
      <c r="A2149" s="27">
        <v>45574.0</v>
      </c>
      <c r="B2149" s="26" t="s">
        <v>4498</v>
      </c>
      <c r="C2149" s="26" t="s">
        <v>2545</v>
      </c>
      <c r="D2149" s="26">
        <v>4990000.0</v>
      </c>
      <c r="F2149" s="26" t="s">
        <v>2542</v>
      </c>
      <c r="G2149" s="26">
        <v>3341.0</v>
      </c>
    </row>
    <row r="2150">
      <c r="A2150" s="27">
        <v>45574.0</v>
      </c>
      <c r="B2150" s="26" t="s">
        <v>4499</v>
      </c>
      <c r="C2150" s="26" t="s">
        <v>2545</v>
      </c>
      <c r="D2150" s="26">
        <v>4990000.0</v>
      </c>
      <c r="F2150" s="26" t="s">
        <v>2542</v>
      </c>
      <c r="G2150" s="26">
        <v>3341.0</v>
      </c>
    </row>
    <row r="2151">
      <c r="A2151" s="27">
        <v>45574.0</v>
      </c>
      <c r="B2151" s="26" t="s">
        <v>4500</v>
      </c>
      <c r="C2151" s="26" t="s">
        <v>2545</v>
      </c>
      <c r="D2151" s="26">
        <v>1.116E7</v>
      </c>
      <c r="F2151" s="26" t="s">
        <v>2542</v>
      </c>
      <c r="G2151" s="26">
        <v>3341.0</v>
      </c>
    </row>
    <row r="2152">
      <c r="A2152" s="27">
        <v>45573.0</v>
      </c>
      <c r="B2152" s="26" t="s">
        <v>4501</v>
      </c>
      <c r="C2152" s="26" t="s">
        <v>255</v>
      </c>
      <c r="D2152" s="26">
        <v>5760000.0</v>
      </c>
      <c r="F2152" s="26" t="s">
        <v>2542</v>
      </c>
    </row>
    <row r="2153">
      <c r="A2153" s="27">
        <v>45573.0</v>
      </c>
      <c r="B2153" s="26" t="s">
        <v>4502</v>
      </c>
      <c r="C2153" s="26" t="s">
        <v>2561</v>
      </c>
      <c r="D2153" s="26">
        <v>361800.0</v>
      </c>
      <c r="F2153" s="26" t="s">
        <v>2542</v>
      </c>
      <c r="G2153" s="26">
        <v>331.0</v>
      </c>
    </row>
    <row r="2154">
      <c r="A2154" s="27">
        <v>45573.0</v>
      </c>
      <c r="B2154" s="26" t="s">
        <v>4503</v>
      </c>
      <c r="C2154" s="26" t="s">
        <v>2561</v>
      </c>
      <c r="D2154" s="26">
        <v>6480000.0</v>
      </c>
      <c r="F2154" s="26" t="s">
        <v>2542</v>
      </c>
      <c r="G2154" s="26">
        <v>331.0</v>
      </c>
    </row>
    <row r="2155">
      <c r="A2155" s="27">
        <v>45572.0</v>
      </c>
      <c r="B2155" s="26" t="s">
        <v>4504</v>
      </c>
      <c r="C2155" s="26" t="s">
        <v>255</v>
      </c>
      <c r="D2155" s="26">
        <v>4560000.0</v>
      </c>
      <c r="F2155" s="26" t="s">
        <v>2542</v>
      </c>
    </row>
    <row r="2156">
      <c r="A2156" s="27">
        <v>45572.0</v>
      </c>
      <c r="B2156" s="26" t="s">
        <v>2899</v>
      </c>
      <c r="C2156" s="26" t="s">
        <v>255</v>
      </c>
      <c r="D2156" s="26">
        <v>8482000.0</v>
      </c>
      <c r="F2156" s="26" t="s">
        <v>2542</v>
      </c>
    </row>
    <row r="2157">
      <c r="A2157" s="27">
        <v>45572.0</v>
      </c>
      <c r="B2157" s="26" t="s">
        <v>4505</v>
      </c>
      <c r="C2157" s="26" t="s">
        <v>255</v>
      </c>
      <c r="D2157" s="26">
        <v>420000.0</v>
      </c>
      <c r="F2157" s="26" t="s">
        <v>2542</v>
      </c>
    </row>
    <row r="2158">
      <c r="A2158" s="27">
        <v>45572.0</v>
      </c>
      <c r="B2158" s="26" t="s">
        <v>4506</v>
      </c>
      <c r="C2158" s="26" t="s">
        <v>2593</v>
      </c>
      <c r="D2158" s="26">
        <v>539976.0</v>
      </c>
      <c r="F2158" s="26" t="s">
        <v>2542</v>
      </c>
      <c r="G2158" s="26">
        <v>6423.0</v>
      </c>
    </row>
    <row r="2159">
      <c r="A2159" s="27">
        <v>45571.0</v>
      </c>
      <c r="B2159" s="26" t="s">
        <v>4507</v>
      </c>
      <c r="C2159" s="26" t="s">
        <v>255</v>
      </c>
      <c r="D2159" s="26">
        <v>2400000.0</v>
      </c>
      <c r="F2159" s="26" t="s">
        <v>2542</v>
      </c>
    </row>
    <row r="2160">
      <c r="A2160" s="27">
        <v>45570.0</v>
      </c>
      <c r="B2160" s="26" t="s">
        <v>4508</v>
      </c>
      <c r="C2160" s="26" t="s">
        <v>255</v>
      </c>
      <c r="D2160" s="26">
        <v>2795988.0</v>
      </c>
      <c r="F2160" s="26" t="s">
        <v>2542</v>
      </c>
    </row>
    <row r="2161">
      <c r="A2161" s="27">
        <v>45570.0</v>
      </c>
      <c r="B2161" s="26" t="s">
        <v>4509</v>
      </c>
      <c r="C2161" s="26" t="s">
        <v>255</v>
      </c>
      <c r="D2161" s="26">
        <v>3315000.0</v>
      </c>
      <c r="F2161" s="26" t="s">
        <v>2542</v>
      </c>
    </row>
    <row r="2162">
      <c r="A2162" s="27">
        <v>45570.0</v>
      </c>
      <c r="B2162" s="26" t="s">
        <v>4510</v>
      </c>
      <c r="C2162" s="26" t="s">
        <v>255</v>
      </c>
      <c r="D2162" s="26">
        <v>6630000.0</v>
      </c>
      <c r="F2162" s="26" t="s">
        <v>2542</v>
      </c>
    </row>
    <row r="2163">
      <c r="A2163" s="27">
        <v>45570.0</v>
      </c>
      <c r="B2163" s="26" t="s">
        <v>4511</v>
      </c>
      <c r="C2163" s="26" t="s">
        <v>255</v>
      </c>
      <c r="D2163" s="26">
        <v>2160000.0</v>
      </c>
      <c r="F2163" s="26" t="s">
        <v>2542</v>
      </c>
    </row>
    <row r="2164">
      <c r="A2164" s="27">
        <v>45570.0</v>
      </c>
      <c r="B2164" s="26" t="s">
        <v>4508</v>
      </c>
      <c r="C2164" s="28"/>
      <c r="D2164" s="26">
        <v>2795988.0</v>
      </c>
      <c r="F2164" s="26" t="s">
        <v>2542</v>
      </c>
    </row>
    <row r="2165">
      <c r="A2165" s="27">
        <v>45569.0</v>
      </c>
      <c r="B2165" s="26" t="s">
        <v>4512</v>
      </c>
      <c r="C2165" s="26" t="s">
        <v>2561</v>
      </c>
      <c r="D2165" s="26">
        <v>2500000.0</v>
      </c>
      <c r="F2165" s="26" t="s">
        <v>2542</v>
      </c>
      <c r="G2165" s="26">
        <v>331.0</v>
      </c>
    </row>
    <row r="2166">
      <c r="A2166" s="27">
        <v>45569.0</v>
      </c>
      <c r="B2166" s="26" t="s">
        <v>4513</v>
      </c>
      <c r="C2166" s="26" t="s">
        <v>2561</v>
      </c>
      <c r="D2166" s="26">
        <v>2500000.0</v>
      </c>
      <c r="F2166" s="26" t="s">
        <v>2542</v>
      </c>
      <c r="G2166" s="26">
        <v>331.0</v>
      </c>
    </row>
    <row r="2167">
      <c r="A2167" s="27">
        <v>45569.0</v>
      </c>
      <c r="B2167" s="26" t="s">
        <v>4514</v>
      </c>
      <c r="C2167" s="26" t="s">
        <v>2561</v>
      </c>
      <c r="D2167" s="26">
        <v>8000000.0</v>
      </c>
      <c r="F2167" s="26" t="s">
        <v>2542</v>
      </c>
      <c r="G2167" s="26">
        <v>331.0</v>
      </c>
    </row>
    <row r="2168">
      <c r="A2168" s="27">
        <v>45569.0</v>
      </c>
      <c r="B2168" s="26" t="s">
        <v>4515</v>
      </c>
      <c r="C2168" s="26" t="s">
        <v>2581</v>
      </c>
      <c r="D2168" s="26">
        <v>3000000.0</v>
      </c>
      <c r="F2168" s="26" t="s">
        <v>2542</v>
      </c>
      <c r="G2168" s="26">
        <v>6422.0</v>
      </c>
    </row>
    <row r="2169">
      <c r="A2169" s="27">
        <v>45568.0</v>
      </c>
      <c r="B2169" s="26" t="s">
        <v>3020</v>
      </c>
      <c r="C2169" s="26" t="s">
        <v>255</v>
      </c>
      <c r="D2169" s="26">
        <v>9960000.0</v>
      </c>
      <c r="F2169" s="26" t="s">
        <v>2542</v>
      </c>
    </row>
    <row r="2170">
      <c r="A2170" s="27">
        <v>45568.0</v>
      </c>
      <c r="B2170" s="26" t="s">
        <v>4516</v>
      </c>
      <c r="C2170" s="26" t="s">
        <v>255</v>
      </c>
      <c r="D2170" s="26">
        <v>1080000.0</v>
      </c>
      <c r="F2170" s="26" t="s">
        <v>2542</v>
      </c>
    </row>
    <row r="2171">
      <c r="A2171" s="27">
        <v>45568.0</v>
      </c>
      <c r="B2171" s="26" t="s">
        <v>4517</v>
      </c>
      <c r="C2171" s="26" t="s">
        <v>2571</v>
      </c>
      <c r="D2171" s="26">
        <v>302000.0</v>
      </c>
      <c r="F2171" s="26" t="s">
        <v>2542</v>
      </c>
      <c r="G2171" s="26">
        <v>641.22</v>
      </c>
    </row>
    <row r="2172">
      <c r="A2172" s="27">
        <v>45568.0</v>
      </c>
      <c r="B2172" s="26" t="s">
        <v>4518</v>
      </c>
      <c r="C2172" s="26" t="s">
        <v>2571</v>
      </c>
      <c r="D2172" s="26">
        <v>810000.0</v>
      </c>
      <c r="F2172" s="26" t="s">
        <v>2542</v>
      </c>
      <c r="G2172" s="26">
        <v>641.22</v>
      </c>
    </row>
    <row r="2173">
      <c r="A2173" s="27">
        <v>45567.0</v>
      </c>
      <c r="B2173" s="26" t="s">
        <v>3517</v>
      </c>
      <c r="C2173" s="26" t="s">
        <v>255</v>
      </c>
      <c r="D2173" s="26">
        <v>4.0E7</v>
      </c>
      <c r="F2173" s="26" t="s">
        <v>2542</v>
      </c>
    </row>
    <row r="2174">
      <c r="A2174" s="27">
        <v>45567.0</v>
      </c>
      <c r="B2174" s="26" t="s">
        <v>4519</v>
      </c>
      <c r="C2174" s="26" t="s">
        <v>255</v>
      </c>
      <c r="D2174" s="26">
        <v>5000000.0</v>
      </c>
      <c r="F2174" s="26" t="s">
        <v>2542</v>
      </c>
    </row>
    <row r="2175">
      <c r="A2175" s="27">
        <v>45567.0</v>
      </c>
      <c r="B2175" s="26" t="s">
        <v>3517</v>
      </c>
      <c r="C2175" s="28"/>
      <c r="D2175" s="26">
        <v>4.0E7</v>
      </c>
      <c r="F2175" s="26" t="s">
        <v>2542</v>
      </c>
    </row>
    <row r="2176">
      <c r="A2176" s="27">
        <v>45567.0</v>
      </c>
      <c r="B2176" s="26" t="s">
        <v>4520</v>
      </c>
      <c r="C2176" s="26" t="s">
        <v>2561</v>
      </c>
      <c r="D2176" s="26">
        <v>1.0597392E7</v>
      </c>
      <c r="F2176" s="26" t="s">
        <v>2542</v>
      </c>
      <c r="G2176" s="26">
        <v>331.0</v>
      </c>
    </row>
    <row r="2177">
      <c r="A2177" s="27">
        <v>45567.0</v>
      </c>
      <c r="B2177" s="26" t="s">
        <v>4521</v>
      </c>
      <c r="C2177" s="26" t="s">
        <v>2564</v>
      </c>
      <c r="D2177" s="26" t="s">
        <v>4522</v>
      </c>
      <c r="F2177" s="26" t="s">
        <v>2542</v>
      </c>
      <c r="G2177" s="26">
        <v>33312.0</v>
      </c>
    </row>
    <row r="2178">
      <c r="A2178" s="27">
        <v>45566.0</v>
      </c>
      <c r="B2178" s="26" t="s">
        <v>4523</v>
      </c>
      <c r="C2178" s="26" t="s">
        <v>255</v>
      </c>
      <c r="D2178" s="26">
        <v>1.2474294E7</v>
      </c>
      <c r="F2178" s="26" t="s">
        <v>2542</v>
      </c>
    </row>
    <row r="2179">
      <c r="A2179" s="27">
        <v>45566.0</v>
      </c>
      <c r="B2179" s="26" t="s">
        <v>2919</v>
      </c>
      <c r="C2179" s="26" t="s">
        <v>255</v>
      </c>
      <c r="D2179" s="26">
        <v>1560000.0</v>
      </c>
      <c r="F2179" s="26" t="s">
        <v>2542</v>
      </c>
    </row>
    <row r="2180">
      <c r="A2180" s="27">
        <v>45566.0</v>
      </c>
      <c r="B2180" s="26" t="s">
        <v>4524</v>
      </c>
      <c r="C2180" s="26" t="s">
        <v>255</v>
      </c>
      <c r="D2180" s="26">
        <v>6480000.0</v>
      </c>
      <c r="F2180" s="26" t="s">
        <v>2542</v>
      </c>
    </row>
    <row r="2181">
      <c r="A2181" s="27">
        <v>45566.0</v>
      </c>
      <c r="B2181" s="26" t="s">
        <v>4525</v>
      </c>
      <c r="C2181" s="26" t="s">
        <v>255</v>
      </c>
      <c r="D2181" s="26">
        <v>6220000.0</v>
      </c>
      <c r="F2181" s="26" t="s">
        <v>2542</v>
      </c>
    </row>
    <row r="2182">
      <c r="A2182" s="27">
        <v>45566.0</v>
      </c>
      <c r="B2182" s="26" t="s">
        <v>4526</v>
      </c>
      <c r="C2182" s="26" t="s">
        <v>255</v>
      </c>
      <c r="D2182" s="26">
        <v>4320000.0</v>
      </c>
      <c r="F2182" s="26" t="s">
        <v>2542</v>
      </c>
    </row>
    <row r="2183">
      <c r="A2183" s="27">
        <v>45566.0</v>
      </c>
      <c r="B2183" s="26" t="s">
        <v>4527</v>
      </c>
      <c r="C2183" s="26" t="s">
        <v>255</v>
      </c>
      <c r="D2183" s="26">
        <v>2160000.0</v>
      </c>
      <c r="F2183" s="26" t="s">
        <v>2542</v>
      </c>
    </row>
    <row r="2184">
      <c r="A2184" s="27">
        <v>45566.0</v>
      </c>
      <c r="B2184" s="26" t="s">
        <v>4528</v>
      </c>
      <c r="C2184" s="26" t="s">
        <v>255</v>
      </c>
      <c r="D2184" s="26">
        <v>2665000.0</v>
      </c>
      <c r="F2184" s="26" t="s">
        <v>2542</v>
      </c>
    </row>
    <row r="2185">
      <c r="A2185" s="27">
        <v>45566.0</v>
      </c>
      <c r="B2185" s="26" t="s">
        <v>4529</v>
      </c>
      <c r="C2185" s="26" t="s">
        <v>255</v>
      </c>
      <c r="D2185" s="26">
        <v>1836000.0</v>
      </c>
      <c r="F2185" s="26" t="s">
        <v>2542</v>
      </c>
    </row>
    <row r="2186">
      <c r="A2186" s="27">
        <v>45566.0</v>
      </c>
      <c r="B2186" s="26" t="s">
        <v>4530</v>
      </c>
      <c r="C2186" s="26" t="s">
        <v>255</v>
      </c>
      <c r="D2186" s="26">
        <v>2160000.0</v>
      </c>
      <c r="F2186" s="26" t="s">
        <v>2542</v>
      </c>
    </row>
    <row r="2187">
      <c r="A2187" s="27">
        <v>45566.0</v>
      </c>
      <c r="B2187" s="26" t="s">
        <v>4531</v>
      </c>
      <c r="C2187" s="26" t="s">
        <v>255</v>
      </c>
      <c r="D2187" s="26">
        <v>3136000.0</v>
      </c>
      <c r="F2187" s="26" t="s">
        <v>2542</v>
      </c>
    </row>
    <row r="2188">
      <c r="A2188" s="27">
        <v>45566.0</v>
      </c>
      <c r="B2188" s="26" t="s">
        <v>4532</v>
      </c>
      <c r="C2188" s="26" t="s">
        <v>2593</v>
      </c>
      <c r="D2188" s="26">
        <v>70000.0</v>
      </c>
      <c r="F2188" s="26" t="s">
        <v>2542</v>
      </c>
      <c r="G2188" s="26">
        <v>6423.0</v>
      </c>
    </row>
    <row r="2189">
      <c r="A2189" s="27">
        <v>45565.0</v>
      </c>
      <c r="B2189" s="26" t="s">
        <v>4533</v>
      </c>
      <c r="C2189" s="26" t="s">
        <v>255</v>
      </c>
      <c r="D2189" s="26">
        <v>580000.0</v>
      </c>
      <c r="F2189" s="26" t="s">
        <v>2542</v>
      </c>
    </row>
    <row r="2190">
      <c r="A2190" s="27">
        <v>45565.0</v>
      </c>
      <c r="B2190" s="26" t="s">
        <v>4534</v>
      </c>
      <c r="C2190" s="26" t="s">
        <v>255</v>
      </c>
      <c r="D2190" s="26">
        <v>2380000.0</v>
      </c>
      <c r="F2190" s="26" t="s">
        <v>2542</v>
      </c>
    </row>
    <row r="2191">
      <c r="A2191" s="27">
        <v>45565.0</v>
      </c>
      <c r="B2191" s="26" t="s">
        <v>4535</v>
      </c>
      <c r="C2191" s="26" t="s">
        <v>255</v>
      </c>
      <c r="D2191" s="26">
        <v>1944000.0</v>
      </c>
      <c r="F2191" s="26" t="s">
        <v>2542</v>
      </c>
    </row>
    <row r="2192">
      <c r="A2192" s="27">
        <v>45565.0</v>
      </c>
      <c r="B2192" s="26" t="s">
        <v>4536</v>
      </c>
      <c r="C2192" s="26" t="s">
        <v>255</v>
      </c>
      <c r="D2192" s="26">
        <v>2160000.0</v>
      </c>
      <c r="F2192" s="26" t="s">
        <v>2542</v>
      </c>
    </row>
    <row r="2193">
      <c r="A2193" s="27">
        <v>45565.0</v>
      </c>
      <c r="B2193" s="26" t="s">
        <v>4537</v>
      </c>
      <c r="C2193" s="26" t="s">
        <v>255</v>
      </c>
      <c r="D2193" s="26">
        <v>660000.0</v>
      </c>
      <c r="F2193" s="26" t="s">
        <v>2542</v>
      </c>
    </row>
    <row r="2194">
      <c r="A2194" s="27">
        <v>45565.0</v>
      </c>
      <c r="B2194" s="26" t="s">
        <v>4538</v>
      </c>
      <c r="C2194" s="26" t="s">
        <v>255</v>
      </c>
      <c r="D2194" s="26">
        <v>2624.0</v>
      </c>
      <c r="F2194" s="26" t="s">
        <v>2542</v>
      </c>
    </row>
    <row r="2195">
      <c r="A2195" s="27">
        <v>45563.0</v>
      </c>
      <c r="B2195" s="26" t="s">
        <v>4539</v>
      </c>
      <c r="C2195" s="26" t="s">
        <v>2764</v>
      </c>
      <c r="D2195" s="26">
        <v>5359000.0</v>
      </c>
      <c r="F2195" s="26" t="s">
        <v>2542</v>
      </c>
      <c r="G2195" s="26">
        <v>6273.0</v>
      </c>
    </row>
    <row r="2196">
      <c r="A2196" s="27">
        <v>45562.0</v>
      </c>
      <c r="B2196" s="26" t="s">
        <v>3517</v>
      </c>
      <c r="C2196" s="26" t="s">
        <v>255</v>
      </c>
      <c r="D2196" s="26">
        <v>1.0E7</v>
      </c>
      <c r="F2196" s="26" t="s">
        <v>2542</v>
      </c>
    </row>
    <row r="2197">
      <c r="A2197" s="27">
        <v>45562.0</v>
      </c>
      <c r="B2197" s="26" t="s">
        <v>2933</v>
      </c>
      <c r="C2197" s="26" t="s">
        <v>255</v>
      </c>
      <c r="D2197" s="26">
        <v>1080000.0</v>
      </c>
      <c r="F2197" s="26" t="s">
        <v>2542</v>
      </c>
    </row>
    <row r="2198">
      <c r="A2198" s="27">
        <v>45562.0</v>
      </c>
      <c r="B2198" s="26" t="s">
        <v>3517</v>
      </c>
      <c r="C2198" s="28"/>
      <c r="D2198" s="26">
        <v>1.0E7</v>
      </c>
      <c r="F2198" s="26" t="s">
        <v>2542</v>
      </c>
    </row>
    <row r="2199">
      <c r="A2199" s="27">
        <v>45562.0</v>
      </c>
      <c r="B2199" s="26" t="s">
        <v>4540</v>
      </c>
      <c r="C2199" s="26" t="s">
        <v>2574</v>
      </c>
      <c r="D2199" s="26">
        <v>6566400.0</v>
      </c>
      <c r="F2199" s="26" t="s">
        <v>2542</v>
      </c>
      <c r="G2199" s="26">
        <v>331.0</v>
      </c>
    </row>
    <row r="2200">
      <c r="A2200" s="27">
        <v>45562.0</v>
      </c>
      <c r="B2200" s="26" t="s">
        <v>4541</v>
      </c>
      <c r="C2200" s="26" t="s">
        <v>2561</v>
      </c>
      <c r="D2200" s="26">
        <v>8640000.0</v>
      </c>
      <c r="F2200" s="26" t="s">
        <v>2542</v>
      </c>
      <c r="G2200" s="26">
        <v>331.0</v>
      </c>
    </row>
    <row r="2201">
      <c r="A2201" s="27">
        <v>45562.0</v>
      </c>
      <c r="B2201" s="26" t="s">
        <v>4542</v>
      </c>
      <c r="C2201" s="26" t="s">
        <v>2561</v>
      </c>
      <c r="D2201" s="26">
        <v>4.3406965E7</v>
      </c>
      <c r="F2201" s="26" t="s">
        <v>2542</v>
      </c>
      <c r="G2201" s="26">
        <v>331.0</v>
      </c>
    </row>
    <row r="2202">
      <c r="A2202" s="27">
        <v>45561.0</v>
      </c>
      <c r="B2202" s="26" t="s">
        <v>2934</v>
      </c>
      <c r="C2202" s="26" t="s">
        <v>255</v>
      </c>
      <c r="D2202" s="26">
        <v>1875000.0</v>
      </c>
      <c r="F2202" s="26" t="s">
        <v>2542</v>
      </c>
    </row>
    <row r="2203">
      <c r="A2203" s="27">
        <v>45561.0</v>
      </c>
      <c r="B2203" s="26" t="s">
        <v>4543</v>
      </c>
      <c r="C2203" s="26" t="s">
        <v>255</v>
      </c>
      <c r="D2203" s="26">
        <v>4440000.0</v>
      </c>
      <c r="F2203" s="26" t="s">
        <v>2542</v>
      </c>
    </row>
    <row r="2204">
      <c r="A2204" s="27">
        <v>45561.0</v>
      </c>
      <c r="B2204" s="26" t="s">
        <v>4544</v>
      </c>
      <c r="C2204" s="26" t="s">
        <v>255</v>
      </c>
      <c r="D2204" s="26">
        <v>1724800.0</v>
      </c>
      <c r="F2204" s="26" t="s">
        <v>2542</v>
      </c>
    </row>
    <row r="2205">
      <c r="A2205" s="27">
        <v>45561.0</v>
      </c>
      <c r="B2205" s="26" t="s">
        <v>4545</v>
      </c>
      <c r="C2205" s="26" t="s">
        <v>255</v>
      </c>
      <c r="D2205" s="26">
        <v>5920000.0</v>
      </c>
      <c r="F2205" s="26" t="s">
        <v>2542</v>
      </c>
    </row>
    <row r="2206">
      <c r="A2206" s="27">
        <v>45561.0</v>
      </c>
      <c r="B2206" s="26" t="s">
        <v>4546</v>
      </c>
      <c r="C2206" s="26" t="s">
        <v>2561</v>
      </c>
      <c r="D2206" s="26">
        <v>4.0350555E7</v>
      </c>
      <c r="F2206" s="26" t="s">
        <v>2542</v>
      </c>
      <c r="G2206" s="26">
        <v>331.0</v>
      </c>
    </row>
    <row r="2207">
      <c r="A2207" s="27">
        <v>45559.0</v>
      </c>
      <c r="B2207" s="26" t="s">
        <v>2586</v>
      </c>
      <c r="C2207" s="26" t="s">
        <v>255</v>
      </c>
      <c r="D2207" s="26">
        <v>1673.0</v>
      </c>
      <c r="F2207" s="26" t="s">
        <v>2542</v>
      </c>
    </row>
    <row r="2208">
      <c r="A2208" s="27">
        <v>45559.0</v>
      </c>
      <c r="B2208" s="26" t="s">
        <v>4547</v>
      </c>
      <c r="C2208" s="26" t="s">
        <v>255</v>
      </c>
      <c r="D2208" s="26">
        <v>2280000.0</v>
      </c>
      <c r="F2208" s="26" t="s">
        <v>2542</v>
      </c>
    </row>
    <row r="2209">
      <c r="A2209" s="27">
        <v>45559.0</v>
      </c>
      <c r="B2209" s="26" t="s">
        <v>4548</v>
      </c>
      <c r="C2209" s="26" t="s">
        <v>255</v>
      </c>
      <c r="D2209" s="26">
        <v>2705000.0</v>
      </c>
      <c r="F2209" s="26" t="s">
        <v>2542</v>
      </c>
    </row>
    <row r="2210">
      <c r="A2210" s="27">
        <v>45559.0</v>
      </c>
      <c r="B2210" s="26" t="s">
        <v>4549</v>
      </c>
      <c r="C2210" s="26" t="s">
        <v>255</v>
      </c>
      <c r="D2210" s="26">
        <v>9520000.0</v>
      </c>
      <c r="F2210" s="26" t="s">
        <v>2542</v>
      </c>
    </row>
    <row r="2211">
      <c r="A2211" s="27">
        <v>45559.0</v>
      </c>
      <c r="B2211" s="26" t="s">
        <v>4550</v>
      </c>
      <c r="C2211" s="26" t="s">
        <v>255</v>
      </c>
      <c r="D2211" s="26">
        <v>1080000.0</v>
      </c>
      <c r="F2211" s="26" t="s">
        <v>2542</v>
      </c>
    </row>
    <row r="2212">
      <c r="A2212" s="27">
        <v>45559.0</v>
      </c>
      <c r="B2212" s="26" t="s">
        <v>4551</v>
      </c>
      <c r="C2212" s="26" t="s">
        <v>255</v>
      </c>
      <c r="D2212" s="26">
        <v>7607000.0</v>
      </c>
      <c r="F2212" s="26" t="s">
        <v>2542</v>
      </c>
    </row>
    <row r="2213">
      <c r="A2213" s="27">
        <v>45559.0</v>
      </c>
      <c r="B2213" s="26" t="s">
        <v>4552</v>
      </c>
      <c r="C2213" s="26" t="s">
        <v>255</v>
      </c>
      <c r="D2213" s="26">
        <v>7540000.0</v>
      </c>
      <c r="F2213" s="26" t="s">
        <v>2542</v>
      </c>
    </row>
    <row r="2214">
      <c r="A2214" s="27">
        <v>45559.0</v>
      </c>
      <c r="B2214" s="26" t="s">
        <v>4553</v>
      </c>
      <c r="C2214" s="26" t="s">
        <v>255</v>
      </c>
      <c r="D2214" s="26">
        <v>4320000.0</v>
      </c>
      <c r="F2214" s="26" t="s">
        <v>2542</v>
      </c>
    </row>
    <row r="2215">
      <c r="A2215" s="27">
        <v>45559.0</v>
      </c>
      <c r="B2215" s="26" t="s">
        <v>4554</v>
      </c>
      <c r="C2215" s="26" t="s">
        <v>255</v>
      </c>
      <c r="D2215" s="26">
        <v>3240000.0</v>
      </c>
      <c r="F2215" s="26" t="s">
        <v>2542</v>
      </c>
    </row>
    <row r="2216">
      <c r="A2216" s="27">
        <v>45559.0</v>
      </c>
      <c r="B2216" s="26" t="s">
        <v>4555</v>
      </c>
      <c r="C2216" s="26" t="s">
        <v>255</v>
      </c>
      <c r="D2216" s="26">
        <v>1.188E7</v>
      </c>
      <c r="F2216" s="26" t="s">
        <v>2542</v>
      </c>
    </row>
    <row r="2217">
      <c r="A2217" s="27">
        <v>45559.0</v>
      </c>
      <c r="B2217" s="26" t="s">
        <v>4556</v>
      </c>
      <c r="C2217" s="26" t="s">
        <v>2545</v>
      </c>
      <c r="D2217" s="26">
        <v>1.49E7</v>
      </c>
      <c r="F2217" s="26" t="s">
        <v>2542</v>
      </c>
      <c r="G2217" s="26">
        <v>3341.0</v>
      </c>
    </row>
    <row r="2218">
      <c r="A2218" s="27">
        <v>45558.0</v>
      </c>
      <c r="B2218" s="26" t="s">
        <v>4557</v>
      </c>
      <c r="C2218" s="26" t="s">
        <v>255</v>
      </c>
      <c r="D2218" s="26">
        <v>2900000.0</v>
      </c>
      <c r="F2218" s="26" t="s">
        <v>2542</v>
      </c>
    </row>
    <row r="2219">
      <c r="A2219" s="27">
        <v>45558.0</v>
      </c>
      <c r="B2219" s="26" t="s">
        <v>2929</v>
      </c>
      <c r="C2219" s="26" t="s">
        <v>255</v>
      </c>
      <c r="D2219" s="26">
        <v>590000.0</v>
      </c>
      <c r="F2219" s="26" t="s">
        <v>2542</v>
      </c>
    </row>
    <row r="2220">
      <c r="A2220" s="27">
        <v>45558.0</v>
      </c>
      <c r="B2220" s="26" t="s">
        <v>4558</v>
      </c>
      <c r="C2220" s="26" t="s">
        <v>255</v>
      </c>
      <c r="D2220" s="26">
        <v>1080000.0</v>
      </c>
      <c r="F2220" s="26" t="s">
        <v>2542</v>
      </c>
    </row>
    <row r="2221">
      <c r="A2221" s="27">
        <v>45558.0</v>
      </c>
      <c r="B2221" s="26" t="s">
        <v>4559</v>
      </c>
      <c r="C2221" s="26" t="s">
        <v>255</v>
      </c>
      <c r="D2221" s="26">
        <v>5687000.0</v>
      </c>
      <c r="F2221" s="26" t="s">
        <v>2542</v>
      </c>
    </row>
    <row r="2222">
      <c r="A2222" s="27">
        <v>45556.0</v>
      </c>
      <c r="B2222" s="26" t="s">
        <v>4560</v>
      </c>
      <c r="C2222" s="26" t="s">
        <v>255</v>
      </c>
      <c r="D2222" s="26">
        <v>3190000.0</v>
      </c>
      <c r="F2222" s="26" t="s">
        <v>2542</v>
      </c>
    </row>
    <row r="2223">
      <c r="A2223" s="27">
        <v>45556.0</v>
      </c>
      <c r="B2223" s="26" t="s">
        <v>4561</v>
      </c>
      <c r="C2223" s="26" t="s">
        <v>255</v>
      </c>
      <c r="D2223" s="26">
        <v>1724800.0</v>
      </c>
      <c r="F2223" s="26" t="s">
        <v>2542</v>
      </c>
    </row>
    <row r="2224">
      <c r="A2224" s="27">
        <v>45555.0</v>
      </c>
      <c r="B2224" s="26" t="s">
        <v>4562</v>
      </c>
      <c r="C2224" s="26" t="s">
        <v>255</v>
      </c>
      <c r="D2224" s="26">
        <v>3190000.0</v>
      </c>
      <c r="F2224" s="26" t="s">
        <v>2542</v>
      </c>
    </row>
    <row r="2225">
      <c r="A2225" s="27">
        <v>45555.0</v>
      </c>
      <c r="B2225" s="26" t="s">
        <v>4562</v>
      </c>
      <c r="C2225" s="26" t="s">
        <v>255</v>
      </c>
      <c r="D2225" s="26">
        <v>1.3714251E7</v>
      </c>
      <c r="F2225" s="26" t="s">
        <v>2542</v>
      </c>
    </row>
    <row r="2226">
      <c r="A2226" s="27">
        <v>45555.0</v>
      </c>
      <c r="B2226" s="26" t="s">
        <v>4563</v>
      </c>
      <c r="C2226" s="26" t="s">
        <v>255</v>
      </c>
      <c r="D2226" s="26">
        <v>1.0846E7</v>
      </c>
      <c r="F2226" s="26" t="s">
        <v>2542</v>
      </c>
    </row>
    <row r="2227">
      <c r="A2227" s="27">
        <v>45555.0</v>
      </c>
      <c r="B2227" s="26" t="s">
        <v>4564</v>
      </c>
      <c r="C2227" s="26" t="s">
        <v>255</v>
      </c>
      <c r="D2227" s="26">
        <v>2750000.0</v>
      </c>
      <c r="F2227" s="26" t="s">
        <v>2542</v>
      </c>
    </row>
    <row r="2228">
      <c r="A2228" s="27">
        <v>45555.0</v>
      </c>
      <c r="B2228" s="26" t="s">
        <v>4565</v>
      </c>
      <c r="C2228" s="26" t="s">
        <v>255</v>
      </c>
      <c r="D2228" s="26">
        <v>2142000.0</v>
      </c>
      <c r="F2228" s="26" t="s">
        <v>2542</v>
      </c>
    </row>
    <row r="2229">
      <c r="A2229" s="27">
        <v>45555.0</v>
      </c>
      <c r="B2229" s="26" t="s">
        <v>4566</v>
      </c>
      <c r="C2229" s="26" t="s">
        <v>255</v>
      </c>
      <c r="D2229" s="26">
        <v>2376000.0</v>
      </c>
      <c r="F2229" s="26" t="s">
        <v>2542</v>
      </c>
    </row>
    <row r="2230">
      <c r="A2230" s="27">
        <v>45555.0</v>
      </c>
      <c r="B2230" s="26" t="s">
        <v>4562</v>
      </c>
      <c r="C2230" s="26" t="s">
        <v>255</v>
      </c>
      <c r="D2230" s="26">
        <v>3190000.0</v>
      </c>
      <c r="F2230" s="26" t="s">
        <v>2542</v>
      </c>
    </row>
    <row r="2231">
      <c r="A2231" s="27">
        <v>45555.0</v>
      </c>
      <c r="B2231" s="26" t="s">
        <v>4567</v>
      </c>
      <c r="C2231" s="26" t="s">
        <v>2561</v>
      </c>
      <c r="D2231" s="26">
        <v>9000000.0</v>
      </c>
      <c r="F2231" s="26" t="s">
        <v>2542</v>
      </c>
      <c r="G2231" s="26">
        <v>331.0</v>
      </c>
    </row>
    <row r="2232">
      <c r="A2232" s="27">
        <v>45554.0</v>
      </c>
      <c r="B2232" s="26" t="s">
        <v>4568</v>
      </c>
      <c r="C2232" s="26" t="s">
        <v>3460</v>
      </c>
      <c r="D2232" s="26">
        <v>1.3E7</v>
      </c>
      <c r="F2232" s="26" t="s">
        <v>2542</v>
      </c>
      <c r="G2232" s="26">
        <v>331.0</v>
      </c>
    </row>
    <row r="2233">
      <c r="A2233" s="27">
        <v>45553.0</v>
      </c>
      <c r="B2233" s="26" t="s">
        <v>4569</v>
      </c>
      <c r="C2233" s="26" t="s">
        <v>255</v>
      </c>
      <c r="D2233" s="26">
        <v>3325000.0</v>
      </c>
      <c r="F2233" s="26" t="s">
        <v>2542</v>
      </c>
    </row>
    <row r="2234">
      <c r="A2234" s="27">
        <v>45553.0</v>
      </c>
      <c r="B2234" s="26" t="s">
        <v>4570</v>
      </c>
      <c r="C2234" s="26" t="s">
        <v>2593</v>
      </c>
      <c r="D2234" s="26">
        <v>608000.0</v>
      </c>
      <c r="F2234" s="26" t="s">
        <v>2542</v>
      </c>
      <c r="G2234" s="26">
        <v>6423.0</v>
      </c>
    </row>
    <row r="2235">
      <c r="A2235" s="27">
        <v>45552.0</v>
      </c>
      <c r="B2235" s="26" t="s">
        <v>4571</v>
      </c>
      <c r="C2235" s="26" t="s">
        <v>255</v>
      </c>
      <c r="D2235" s="26">
        <v>3.0E7</v>
      </c>
      <c r="F2235" s="26" t="s">
        <v>2542</v>
      </c>
    </row>
    <row r="2236">
      <c r="A2236" s="27">
        <v>45552.0</v>
      </c>
      <c r="B2236" s="26" t="s">
        <v>4572</v>
      </c>
      <c r="C2236" s="26" t="s">
        <v>255</v>
      </c>
      <c r="D2236" s="26">
        <v>5000000.0</v>
      </c>
      <c r="F2236" s="26" t="s">
        <v>2542</v>
      </c>
    </row>
    <row r="2237">
      <c r="A2237" s="27">
        <v>45552.0</v>
      </c>
      <c r="B2237" s="26" t="s">
        <v>4571</v>
      </c>
      <c r="C2237" s="28"/>
      <c r="D2237" s="26">
        <v>3.0E7</v>
      </c>
      <c r="F2237" s="26" t="s">
        <v>2542</v>
      </c>
    </row>
    <row r="2238">
      <c r="A2238" s="27">
        <v>45552.0</v>
      </c>
      <c r="B2238" s="26" t="s">
        <v>4573</v>
      </c>
      <c r="C2238" s="26" t="s">
        <v>2561</v>
      </c>
      <c r="D2238" s="26">
        <v>4860000.0</v>
      </c>
      <c r="F2238" s="26" t="s">
        <v>2542</v>
      </c>
      <c r="G2238" s="26">
        <v>331.0</v>
      </c>
    </row>
    <row r="2239">
      <c r="A2239" s="27">
        <v>45552.0</v>
      </c>
      <c r="B2239" s="26" t="s">
        <v>4574</v>
      </c>
      <c r="C2239" s="26" t="s">
        <v>2764</v>
      </c>
      <c r="D2239" s="26">
        <v>1.5E7</v>
      </c>
      <c r="F2239" s="26" t="s">
        <v>2542</v>
      </c>
      <c r="G2239" s="26">
        <v>6273.0</v>
      </c>
    </row>
    <row r="2240">
      <c r="A2240" s="27">
        <v>45551.0</v>
      </c>
      <c r="B2240" s="26" t="s">
        <v>4575</v>
      </c>
      <c r="C2240" s="26" t="s">
        <v>255</v>
      </c>
      <c r="D2240" s="26">
        <v>1320000.0</v>
      </c>
      <c r="F2240" s="26" t="s">
        <v>2542</v>
      </c>
    </row>
    <row r="2241">
      <c r="A2241" s="27">
        <v>45551.0</v>
      </c>
      <c r="B2241" s="26" t="s">
        <v>4576</v>
      </c>
      <c r="C2241" s="26" t="s">
        <v>2593</v>
      </c>
      <c r="D2241" s="26">
        <v>307000.0</v>
      </c>
      <c r="F2241" s="26" t="s">
        <v>2542</v>
      </c>
      <c r="G2241" s="26">
        <v>6423.0</v>
      </c>
    </row>
    <row r="2242">
      <c r="A2242" s="27">
        <v>45549.0</v>
      </c>
      <c r="B2242" s="26" t="s">
        <v>4577</v>
      </c>
      <c r="C2242" s="26" t="s">
        <v>255</v>
      </c>
      <c r="D2242" s="26">
        <v>1320000.0</v>
      </c>
      <c r="F2242" s="26" t="s">
        <v>2542</v>
      </c>
    </row>
    <row r="2243">
      <c r="A2243" s="27">
        <v>45549.0</v>
      </c>
      <c r="B2243" s="26" t="s">
        <v>4578</v>
      </c>
      <c r="C2243" s="26" t="s">
        <v>255</v>
      </c>
      <c r="D2243" s="26">
        <v>3325000.0</v>
      </c>
      <c r="F2243" s="26" t="s">
        <v>2542</v>
      </c>
    </row>
    <row r="2244">
      <c r="A2244" s="27">
        <v>45548.0</v>
      </c>
      <c r="B2244" s="26" t="s">
        <v>3043</v>
      </c>
      <c r="C2244" s="26" t="s">
        <v>255</v>
      </c>
      <c r="D2244" s="26">
        <v>1.12792E7</v>
      </c>
      <c r="F2244" s="26" t="s">
        <v>2542</v>
      </c>
    </row>
    <row r="2245">
      <c r="A2245" s="27">
        <v>45548.0</v>
      </c>
      <c r="B2245" s="26" t="s">
        <v>4579</v>
      </c>
      <c r="C2245" s="26" t="s">
        <v>2571</v>
      </c>
      <c r="D2245" s="26">
        <v>6399775.0</v>
      </c>
      <c r="F2245" s="26" t="s">
        <v>2542</v>
      </c>
      <c r="G2245" s="26">
        <v>641.12</v>
      </c>
    </row>
    <row r="2246">
      <c r="A2246" s="27">
        <v>45548.0</v>
      </c>
      <c r="B2246" s="26" t="s">
        <v>4580</v>
      </c>
      <c r="C2246" s="26" t="s">
        <v>2561</v>
      </c>
      <c r="D2246" s="26" t="s">
        <v>4581</v>
      </c>
      <c r="F2246" s="26" t="s">
        <v>2542</v>
      </c>
      <c r="G2246" s="26">
        <v>632.3</v>
      </c>
    </row>
    <row r="2247">
      <c r="A2247" s="27">
        <v>45547.0</v>
      </c>
      <c r="B2247" s="26" t="s">
        <v>2977</v>
      </c>
      <c r="C2247" s="26" t="s">
        <v>255</v>
      </c>
      <c r="D2247" s="26">
        <v>2640000.0</v>
      </c>
      <c r="F2247" s="26" t="s">
        <v>2542</v>
      </c>
    </row>
    <row r="2248">
      <c r="A2248" s="27">
        <v>45547.0</v>
      </c>
      <c r="B2248" s="26" t="s">
        <v>2989</v>
      </c>
      <c r="C2248" s="26" t="s">
        <v>255</v>
      </c>
      <c r="D2248" s="26">
        <v>8243750.0</v>
      </c>
      <c r="F2248" s="26" t="s">
        <v>2542</v>
      </c>
    </row>
    <row r="2249">
      <c r="A2249" s="27">
        <v>45547.0</v>
      </c>
      <c r="B2249" s="26" t="s">
        <v>4582</v>
      </c>
      <c r="C2249" s="26" t="s">
        <v>2574</v>
      </c>
      <c r="D2249" s="26">
        <v>5749920.0</v>
      </c>
      <c r="F2249" s="26" t="s">
        <v>2542</v>
      </c>
      <c r="G2249" s="26">
        <v>331.0</v>
      </c>
    </row>
    <row r="2250">
      <c r="A2250" s="27">
        <v>45547.0</v>
      </c>
      <c r="B2250" s="26" t="s">
        <v>4583</v>
      </c>
      <c r="C2250" s="28"/>
      <c r="D2250" s="26">
        <v>4300000.0</v>
      </c>
      <c r="F2250" s="26" t="s">
        <v>2542</v>
      </c>
    </row>
    <row r="2251">
      <c r="A2251" s="27">
        <v>45547.0</v>
      </c>
      <c r="B2251" s="26" t="s">
        <v>4584</v>
      </c>
      <c r="C2251" s="26" t="s">
        <v>2545</v>
      </c>
      <c r="D2251" s="26">
        <v>1.0E7</v>
      </c>
      <c r="F2251" s="26" t="s">
        <v>2542</v>
      </c>
      <c r="G2251" s="26">
        <v>641.25</v>
      </c>
    </row>
    <row r="2252">
      <c r="A2252" s="27">
        <v>45547.0</v>
      </c>
      <c r="B2252" s="26" t="s">
        <v>4585</v>
      </c>
      <c r="C2252" s="26" t="s">
        <v>2561</v>
      </c>
      <c r="D2252" s="26">
        <v>1260225.0</v>
      </c>
      <c r="F2252" s="26" t="s">
        <v>2542</v>
      </c>
      <c r="G2252" s="26">
        <v>331.0</v>
      </c>
    </row>
    <row r="2253">
      <c r="A2253" s="27">
        <v>45546.0</v>
      </c>
      <c r="B2253" s="26" t="s">
        <v>2942</v>
      </c>
      <c r="C2253" s="26" t="s">
        <v>255</v>
      </c>
      <c r="D2253" s="26">
        <v>2530000.0</v>
      </c>
      <c r="F2253" s="26" t="s">
        <v>2542</v>
      </c>
    </row>
    <row r="2254">
      <c r="A2254" s="27">
        <v>45546.0</v>
      </c>
      <c r="B2254" s="26" t="s">
        <v>4586</v>
      </c>
      <c r="C2254" s="26" t="s">
        <v>2574</v>
      </c>
      <c r="D2254" s="26">
        <v>1596000.0</v>
      </c>
      <c r="F2254" s="26" t="s">
        <v>2542</v>
      </c>
      <c r="G2254" s="26">
        <v>331.0</v>
      </c>
    </row>
    <row r="2255">
      <c r="A2255" s="27">
        <v>45546.0</v>
      </c>
      <c r="B2255" s="26" t="s">
        <v>4587</v>
      </c>
      <c r="C2255" s="26" t="s">
        <v>2545</v>
      </c>
      <c r="D2255" s="26">
        <v>2.5E7</v>
      </c>
      <c r="F2255" s="26" t="s">
        <v>2542</v>
      </c>
      <c r="G2255" s="26">
        <v>3341.0</v>
      </c>
    </row>
    <row r="2256">
      <c r="A2256" s="27">
        <v>45546.0</v>
      </c>
      <c r="B2256" s="26" t="s">
        <v>4588</v>
      </c>
      <c r="C2256" s="26" t="s">
        <v>3460</v>
      </c>
      <c r="D2256" s="26">
        <v>1.5914164E7</v>
      </c>
      <c r="F2256" s="26" t="s">
        <v>2542</v>
      </c>
      <c r="G2256" s="26">
        <v>331.0</v>
      </c>
    </row>
    <row r="2257">
      <c r="A2257" s="27">
        <v>45546.0</v>
      </c>
      <c r="B2257" s="26" t="s">
        <v>4589</v>
      </c>
      <c r="C2257" s="26" t="s">
        <v>2655</v>
      </c>
      <c r="D2257" s="26">
        <v>1.408E7</v>
      </c>
      <c r="F2257" s="26" t="s">
        <v>2542</v>
      </c>
      <c r="G2257" s="26">
        <v>3383.0</v>
      </c>
    </row>
    <row r="2258">
      <c r="A2258" s="27">
        <v>45546.0</v>
      </c>
      <c r="B2258" s="26" t="s">
        <v>4590</v>
      </c>
      <c r="C2258" s="26" t="s">
        <v>3460</v>
      </c>
      <c r="D2258" s="26">
        <v>2.2E7</v>
      </c>
      <c r="F2258" s="26" t="s">
        <v>2542</v>
      </c>
      <c r="G2258" s="26">
        <v>331.0</v>
      </c>
    </row>
    <row r="2259">
      <c r="A2259" s="27">
        <v>45546.0</v>
      </c>
      <c r="B2259" s="26" t="s">
        <v>4591</v>
      </c>
      <c r="C2259" s="26" t="s">
        <v>2564</v>
      </c>
      <c r="D2259" s="26" t="s">
        <v>4592</v>
      </c>
      <c r="F2259" s="26" t="s">
        <v>2542</v>
      </c>
      <c r="G2259" s="26">
        <v>33312.0</v>
      </c>
    </row>
    <row r="2260">
      <c r="A2260" s="27">
        <v>45546.0</v>
      </c>
      <c r="B2260" s="26" t="s">
        <v>4591</v>
      </c>
      <c r="C2260" s="26" t="s">
        <v>2564</v>
      </c>
      <c r="D2260" s="26" t="s">
        <v>4593</v>
      </c>
      <c r="F2260" s="26" t="s">
        <v>2542</v>
      </c>
      <c r="G2260" s="26">
        <v>3333.0</v>
      </c>
    </row>
    <row r="2261">
      <c r="A2261" s="27">
        <v>45545.0</v>
      </c>
      <c r="B2261" s="26" t="s">
        <v>4594</v>
      </c>
      <c r="C2261" s="26" t="s">
        <v>255</v>
      </c>
      <c r="D2261" s="26">
        <v>1.67728E7</v>
      </c>
      <c r="F2261" s="26" t="s">
        <v>2542</v>
      </c>
    </row>
    <row r="2262">
      <c r="A2262" s="27">
        <v>45545.0</v>
      </c>
      <c r="B2262" s="26" t="s">
        <v>4595</v>
      </c>
      <c r="C2262" s="26" t="s">
        <v>255</v>
      </c>
      <c r="D2262" s="26">
        <v>4800000.0</v>
      </c>
      <c r="F2262" s="26" t="s">
        <v>2542</v>
      </c>
    </row>
    <row r="2263">
      <c r="A2263" s="27">
        <v>45545.0</v>
      </c>
      <c r="B2263" s="26" t="s">
        <v>4596</v>
      </c>
      <c r="C2263" s="26" t="s">
        <v>255</v>
      </c>
      <c r="D2263" s="26">
        <v>5400000.0</v>
      </c>
      <c r="F2263" s="26" t="s">
        <v>2542</v>
      </c>
    </row>
    <row r="2264">
      <c r="A2264" s="27">
        <v>45545.0</v>
      </c>
      <c r="B2264" s="26" t="s">
        <v>4597</v>
      </c>
      <c r="C2264" s="26" t="s">
        <v>255</v>
      </c>
      <c r="D2264" s="26">
        <v>1080000.0</v>
      </c>
      <c r="F2264" s="26" t="s">
        <v>2542</v>
      </c>
    </row>
    <row r="2265">
      <c r="A2265" s="27">
        <v>45545.0</v>
      </c>
      <c r="B2265" s="26" t="s">
        <v>4598</v>
      </c>
      <c r="C2265" s="26" t="s">
        <v>255</v>
      </c>
      <c r="D2265" s="26">
        <v>1080000.0</v>
      </c>
      <c r="F2265" s="26" t="s">
        <v>2542</v>
      </c>
    </row>
    <row r="2266">
      <c r="A2266" s="27">
        <v>45545.0</v>
      </c>
      <c r="B2266" s="26" t="s">
        <v>4599</v>
      </c>
      <c r="C2266" s="26" t="s">
        <v>255</v>
      </c>
      <c r="D2266" s="26">
        <v>2070000.0</v>
      </c>
      <c r="F2266" s="26" t="s">
        <v>2542</v>
      </c>
    </row>
    <row r="2267">
      <c r="A2267" s="27">
        <v>45545.0</v>
      </c>
      <c r="B2267" s="26" t="s">
        <v>4600</v>
      </c>
      <c r="C2267" s="26" t="s">
        <v>255</v>
      </c>
      <c r="D2267" s="26">
        <v>1080000.0</v>
      </c>
      <c r="F2267" s="26" t="s">
        <v>2542</v>
      </c>
    </row>
    <row r="2268">
      <c r="A2268" s="27">
        <v>45545.0</v>
      </c>
      <c r="B2268" s="26" t="s">
        <v>4601</v>
      </c>
      <c r="C2268" s="26" t="s">
        <v>255</v>
      </c>
      <c r="D2268" s="26">
        <v>6320000.0</v>
      </c>
      <c r="F2268" s="26" t="s">
        <v>2542</v>
      </c>
    </row>
    <row r="2269">
      <c r="A2269" s="27">
        <v>45545.0</v>
      </c>
      <c r="B2269" s="26" t="s">
        <v>4602</v>
      </c>
      <c r="C2269" s="26" t="s">
        <v>255</v>
      </c>
      <c r="D2269" s="26">
        <v>3240000.0</v>
      </c>
      <c r="F2269" s="26" t="s">
        <v>2542</v>
      </c>
    </row>
    <row r="2270">
      <c r="A2270" s="27">
        <v>45545.0</v>
      </c>
      <c r="B2270" s="26" t="s">
        <v>4603</v>
      </c>
      <c r="C2270" s="26" t="s">
        <v>2887</v>
      </c>
      <c r="D2270" s="26" t="s">
        <v>4604</v>
      </c>
      <c r="F2270" s="26" t="s">
        <v>2542</v>
      </c>
    </row>
    <row r="2271">
      <c r="A2271" s="27">
        <v>45545.0</v>
      </c>
      <c r="B2271" s="26" t="s">
        <v>4605</v>
      </c>
      <c r="C2271" s="26" t="s">
        <v>255</v>
      </c>
      <c r="D2271" s="26">
        <v>2100000.0</v>
      </c>
      <c r="F2271" s="26" t="s">
        <v>2542</v>
      </c>
    </row>
    <row r="2272">
      <c r="A2272" s="27">
        <v>45545.0</v>
      </c>
      <c r="B2272" s="26" t="s">
        <v>4606</v>
      </c>
      <c r="C2272" s="26" t="s">
        <v>255</v>
      </c>
      <c r="D2272" s="26">
        <v>918000.0</v>
      </c>
      <c r="F2272" s="26" t="s">
        <v>2542</v>
      </c>
    </row>
    <row r="2273">
      <c r="A2273" s="27">
        <v>45545.0</v>
      </c>
      <c r="B2273" s="26" t="s">
        <v>4607</v>
      </c>
      <c r="C2273" s="26" t="s">
        <v>255</v>
      </c>
      <c r="D2273" s="26">
        <v>1080000.0</v>
      </c>
      <c r="F2273" s="26" t="s">
        <v>2542</v>
      </c>
    </row>
    <row r="2274">
      <c r="A2274" s="27">
        <v>45545.0</v>
      </c>
      <c r="B2274" s="26" t="s">
        <v>4608</v>
      </c>
      <c r="C2274" s="26" t="s">
        <v>255</v>
      </c>
      <c r="D2274" s="26">
        <v>1080000.0</v>
      </c>
      <c r="F2274" s="26" t="s">
        <v>2542</v>
      </c>
    </row>
    <row r="2275">
      <c r="A2275" s="27">
        <v>45545.0</v>
      </c>
      <c r="B2275" s="26" t="s">
        <v>4609</v>
      </c>
      <c r="C2275" s="26" t="s">
        <v>255</v>
      </c>
      <c r="D2275" s="26">
        <v>1680000.0</v>
      </c>
      <c r="F2275" s="26" t="s">
        <v>2542</v>
      </c>
    </row>
    <row r="2276">
      <c r="A2276" s="27">
        <v>45545.0</v>
      </c>
      <c r="B2276" s="26" t="s">
        <v>4610</v>
      </c>
      <c r="C2276" s="26" t="s">
        <v>255</v>
      </c>
      <c r="D2276" s="26">
        <v>1188000.0</v>
      </c>
      <c r="F2276" s="26" t="s">
        <v>2542</v>
      </c>
    </row>
    <row r="2277">
      <c r="A2277" s="27">
        <v>45545.0</v>
      </c>
      <c r="B2277" s="26" t="s">
        <v>4611</v>
      </c>
      <c r="C2277" s="26" t="s">
        <v>2764</v>
      </c>
      <c r="D2277" s="26">
        <v>2850000.0</v>
      </c>
      <c r="F2277" s="26" t="s">
        <v>2542</v>
      </c>
      <c r="G2277" s="26">
        <v>6273.0</v>
      </c>
    </row>
    <row r="2278">
      <c r="A2278" s="27">
        <v>45544.0</v>
      </c>
      <c r="B2278" s="26" t="s">
        <v>4417</v>
      </c>
      <c r="C2278" s="26" t="s">
        <v>2887</v>
      </c>
      <c r="D2278" s="26" t="s">
        <v>4612</v>
      </c>
      <c r="F2278" s="26" t="s">
        <v>2542</v>
      </c>
    </row>
    <row r="2279">
      <c r="A2279" s="27">
        <v>45544.0</v>
      </c>
      <c r="B2279" s="26" t="s">
        <v>4613</v>
      </c>
      <c r="C2279" s="26" t="s">
        <v>255</v>
      </c>
      <c r="D2279" s="26">
        <v>4300000.0</v>
      </c>
      <c r="F2279" s="26" t="s">
        <v>2542</v>
      </c>
    </row>
    <row r="2280">
      <c r="A2280" s="27">
        <v>45544.0</v>
      </c>
      <c r="B2280" s="26" t="s">
        <v>4614</v>
      </c>
      <c r="C2280" s="26" t="s">
        <v>255</v>
      </c>
      <c r="D2280" s="26">
        <v>1380000.0</v>
      </c>
      <c r="F2280" s="26" t="s">
        <v>2542</v>
      </c>
    </row>
    <row r="2281">
      <c r="A2281" s="27">
        <v>45544.0</v>
      </c>
      <c r="B2281" s="26" t="s">
        <v>3020</v>
      </c>
      <c r="C2281" s="26" t="s">
        <v>255</v>
      </c>
      <c r="D2281" s="26">
        <v>1.065E7</v>
      </c>
      <c r="F2281" s="26" t="s">
        <v>2542</v>
      </c>
    </row>
    <row r="2282">
      <c r="A2282" s="27">
        <v>45544.0</v>
      </c>
      <c r="B2282" s="26" t="s">
        <v>4615</v>
      </c>
      <c r="C2282" s="26" t="s">
        <v>255</v>
      </c>
      <c r="D2282" s="26">
        <v>1122000.0</v>
      </c>
      <c r="F2282" s="26" t="s">
        <v>2542</v>
      </c>
    </row>
    <row r="2283">
      <c r="A2283" s="27">
        <v>45544.0</v>
      </c>
      <c r="B2283" s="26" t="s">
        <v>4616</v>
      </c>
      <c r="C2283" s="26" t="s">
        <v>255</v>
      </c>
      <c r="D2283" s="26">
        <v>471900.0</v>
      </c>
      <c r="F2283" s="26" t="s">
        <v>2542</v>
      </c>
    </row>
    <row r="2284">
      <c r="A2284" s="27">
        <v>45544.0</v>
      </c>
      <c r="B2284" s="26" t="s">
        <v>3021</v>
      </c>
      <c r="C2284" s="26" t="s">
        <v>255</v>
      </c>
      <c r="D2284" s="26">
        <v>1.0945E7</v>
      </c>
      <c r="F2284" s="26" t="s">
        <v>2542</v>
      </c>
    </row>
    <row r="2285">
      <c r="A2285" s="27">
        <v>45544.0</v>
      </c>
      <c r="B2285" s="26" t="s">
        <v>4417</v>
      </c>
      <c r="C2285" s="28"/>
      <c r="D2285" s="26">
        <v>7700000.0</v>
      </c>
      <c r="F2285" s="26" t="s">
        <v>2542</v>
      </c>
    </row>
    <row r="2286">
      <c r="A2286" s="27">
        <v>45544.0</v>
      </c>
      <c r="B2286" s="26" t="s">
        <v>4617</v>
      </c>
      <c r="C2286" s="26" t="s">
        <v>2561</v>
      </c>
      <c r="D2286" s="26" t="s">
        <v>4618</v>
      </c>
      <c r="F2286" s="26" t="s">
        <v>2542</v>
      </c>
      <c r="G2286" s="26">
        <v>632.1</v>
      </c>
    </row>
    <row r="2287">
      <c r="A2287" s="27">
        <v>45542.0</v>
      </c>
      <c r="B2287" s="26" t="s">
        <v>4619</v>
      </c>
      <c r="C2287" s="26" t="s">
        <v>255</v>
      </c>
      <c r="D2287" s="26">
        <v>1450000.0</v>
      </c>
      <c r="F2287" s="26" t="s">
        <v>2542</v>
      </c>
    </row>
    <row r="2288">
      <c r="A2288" s="27">
        <v>45542.0</v>
      </c>
      <c r="B2288" s="26" t="s">
        <v>4620</v>
      </c>
      <c r="C2288" s="26" t="s">
        <v>2574</v>
      </c>
      <c r="D2288" s="26">
        <v>2851200.0</v>
      </c>
      <c r="F2288" s="26" t="s">
        <v>2542</v>
      </c>
      <c r="G2288" s="26">
        <v>331.0</v>
      </c>
    </row>
    <row r="2289">
      <c r="A2289" s="27">
        <v>45542.0</v>
      </c>
      <c r="B2289" s="26" t="s">
        <v>4621</v>
      </c>
      <c r="C2289" s="26" t="s">
        <v>2574</v>
      </c>
      <c r="D2289" s="26">
        <v>2414000.0</v>
      </c>
      <c r="F2289" s="26" t="s">
        <v>2542</v>
      </c>
      <c r="G2289" s="26">
        <v>331.0</v>
      </c>
    </row>
    <row r="2290">
      <c r="A2290" s="27">
        <v>45541.0</v>
      </c>
      <c r="B2290" s="26" t="s">
        <v>3053</v>
      </c>
      <c r="C2290" s="26" t="s">
        <v>255</v>
      </c>
      <c r="D2290" s="26">
        <v>5230000.0</v>
      </c>
      <c r="F2290" s="26" t="s">
        <v>2542</v>
      </c>
    </row>
    <row r="2291">
      <c r="A2291" s="27">
        <v>45541.0</v>
      </c>
      <c r="B2291" s="26" t="s">
        <v>4622</v>
      </c>
      <c r="C2291" s="26" t="s">
        <v>255</v>
      </c>
      <c r="D2291" s="26">
        <v>1188000.0</v>
      </c>
      <c r="F2291" s="26" t="s">
        <v>2542</v>
      </c>
    </row>
    <row r="2292">
      <c r="A2292" s="27">
        <v>45541.0</v>
      </c>
      <c r="B2292" s="26" t="s">
        <v>4623</v>
      </c>
      <c r="C2292" s="26" t="s">
        <v>2593</v>
      </c>
      <c r="D2292" s="26">
        <v>662012.0</v>
      </c>
      <c r="F2292" s="26" t="s">
        <v>2542</v>
      </c>
      <c r="G2292" s="26">
        <v>6423.0</v>
      </c>
    </row>
    <row r="2293">
      <c r="A2293" s="27">
        <v>45540.0</v>
      </c>
      <c r="B2293" s="26" t="s">
        <v>4624</v>
      </c>
      <c r="C2293" s="26" t="s">
        <v>255</v>
      </c>
      <c r="D2293" s="26">
        <v>5060000.0</v>
      </c>
      <c r="F2293" s="26" t="s">
        <v>2542</v>
      </c>
    </row>
    <row r="2294">
      <c r="A2294" s="27">
        <v>45540.0</v>
      </c>
      <c r="B2294" s="26" t="s">
        <v>4625</v>
      </c>
      <c r="C2294" s="26" t="s">
        <v>255</v>
      </c>
      <c r="D2294" s="26">
        <v>2160000.0</v>
      </c>
      <c r="F2294" s="26" t="s">
        <v>2542</v>
      </c>
    </row>
    <row r="2295">
      <c r="A2295" s="27">
        <v>45540.0</v>
      </c>
      <c r="B2295" s="26" t="s">
        <v>4626</v>
      </c>
      <c r="C2295" s="26" t="s">
        <v>255</v>
      </c>
      <c r="D2295" s="26">
        <v>1595000.0</v>
      </c>
      <c r="F2295" s="26" t="s">
        <v>2542</v>
      </c>
    </row>
    <row r="2296">
      <c r="A2296" s="27">
        <v>45540.0</v>
      </c>
      <c r="B2296" s="26" t="s">
        <v>4627</v>
      </c>
      <c r="C2296" s="26" t="s">
        <v>2561</v>
      </c>
      <c r="D2296" s="26">
        <v>8000000.0</v>
      </c>
      <c r="F2296" s="26" t="s">
        <v>2542</v>
      </c>
      <c r="G2296" s="26">
        <v>331.0</v>
      </c>
    </row>
    <row r="2297">
      <c r="A2297" s="27">
        <v>45540.0</v>
      </c>
      <c r="B2297" s="26" t="s">
        <v>4628</v>
      </c>
      <c r="C2297" s="26" t="s">
        <v>2581</v>
      </c>
      <c r="D2297" s="26">
        <v>3000000.0</v>
      </c>
      <c r="F2297" s="26" t="s">
        <v>2542</v>
      </c>
      <c r="G2297" s="26">
        <v>6422.0</v>
      </c>
    </row>
    <row r="2298">
      <c r="A2298" s="27">
        <v>45539.0</v>
      </c>
      <c r="B2298" s="26" t="s">
        <v>4629</v>
      </c>
      <c r="C2298" s="26" t="s">
        <v>255</v>
      </c>
      <c r="D2298" s="26">
        <v>1450000.0</v>
      </c>
      <c r="F2298" s="26" t="s">
        <v>2542</v>
      </c>
    </row>
    <row r="2299">
      <c r="A2299" s="27">
        <v>45539.0</v>
      </c>
      <c r="B2299" s="26" t="s">
        <v>4630</v>
      </c>
      <c r="C2299" s="26" t="s">
        <v>2545</v>
      </c>
      <c r="D2299" s="26">
        <v>7160000.0</v>
      </c>
      <c r="F2299" s="26" t="s">
        <v>2542</v>
      </c>
      <c r="G2299" s="26">
        <v>3341.0</v>
      </c>
    </row>
    <row r="2300">
      <c r="A2300" s="27">
        <v>45539.0</v>
      </c>
      <c r="B2300" s="26" t="s">
        <v>4631</v>
      </c>
      <c r="C2300" s="26" t="s">
        <v>3066</v>
      </c>
      <c r="D2300" s="26">
        <v>1.1232E8</v>
      </c>
      <c r="F2300" s="26" t="s">
        <v>2542</v>
      </c>
      <c r="G2300" s="26">
        <v>6427.0</v>
      </c>
    </row>
    <row r="2301">
      <c r="A2301" s="27">
        <v>45539.0</v>
      </c>
      <c r="B2301" s="26" t="s">
        <v>4632</v>
      </c>
      <c r="C2301" s="26" t="s">
        <v>2561</v>
      </c>
      <c r="D2301" s="26">
        <v>3.1028E7</v>
      </c>
      <c r="F2301" s="26" t="s">
        <v>2542</v>
      </c>
      <c r="G2301" s="26">
        <v>331.0</v>
      </c>
    </row>
    <row r="2302">
      <c r="A2302" s="27">
        <v>45536.0</v>
      </c>
      <c r="B2302" s="26" t="s">
        <v>4633</v>
      </c>
      <c r="C2302" s="26" t="s">
        <v>255</v>
      </c>
      <c r="D2302" s="26">
        <v>1875000.0</v>
      </c>
      <c r="F2302" s="26" t="s">
        <v>2542</v>
      </c>
    </row>
    <row r="2303">
      <c r="A2303" s="27">
        <v>45536.0</v>
      </c>
      <c r="B2303" s="26" t="s">
        <v>4634</v>
      </c>
      <c r="C2303" s="26" t="s">
        <v>2545</v>
      </c>
      <c r="D2303" s="26">
        <v>5200000.0</v>
      </c>
      <c r="F2303" s="26" t="s">
        <v>2542</v>
      </c>
      <c r="G2303" s="26">
        <v>3341.0</v>
      </c>
    </row>
    <row r="2304">
      <c r="A2304" s="27">
        <v>45536.0</v>
      </c>
      <c r="B2304" s="26" t="s">
        <v>4635</v>
      </c>
      <c r="C2304" s="26" t="s">
        <v>3620</v>
      </c>
      <c r="D2304" s="26">
        <v>500000.0</v>
      </c>
      <c r="F2304" s="26" t="s">
        <v>2542</v>
      </c>
      <c r="G2304" s="26">
        <v>6428.0</v>
      </c>
    </row>
    <row r="2305">
      <c r="A2305" s="27">
        <v>45535.0</v>
      </c>
      <c r="B2305" s="26" t="s">
        <v>4636</v>
      </c>
      <c r="C2305" s="26" t="s">
        <v>255</v>
      </c>
      <c r="D2305" s="26">
        <v>975120.0</v>
      </c>
      <c r="F2305" s="26" t="s">
        <v>2542</v>
      </c>
    </row>
    <row r="2306">
      <c r="A2306" s="27">
        <v>45535.0</v>
      </c>
      <c r="B2306" s="26" t="s">
        <v>4637</v>
      </c>
      <c r="C2306" s="26" t="s">
        <v>255</v>
      </c>
      <c r="D2306" s="26">
        <v>1080000.0</v>
      </c>
      <c r="F2306" s="26" t="s">
        <v>2542</v>
      </c>
    </row>
    <row r="2307">
      <c r="A2307" s="27">
        <v>45535.0</v>
      </c>
      <c r="B2307" s="26" t="s">
        <v>4638</v>
      </c>
      <c r="C2307" s="26" t="s">
        <v>255</v>
      </c>
      <c r="D2307" s="26">
        <v>1080000.0</v>
      </c>
      <c r="F2307" s="26" t="s">
        <v>2542</v>
      </c>
    </row>
    <row r="2308">
      <c r="A2308" s="27">
        <v>45535.0</v>
      </c>
      <c r="B2308" s="26" t="s">
        <v>4639</v>
      </c>
      <c r="C2308" s="26" t="s">
        <v>255</v>
      </c>
      <c r="D2308" s="26">
        <v>4440000.0</v>
      </c>
      <c r="F2308" s="26" t="s">
        <v>2542</v>
      </c>
    </row>
    <row r="2309">
      <c r="A2309" s="27">
        <v>45535.0</v>
      </c>
      <c r="B2309" s="26" t="s">
        <v>4640</v>
      </c>
      <c r="C2309" s="26" t="s">
        <v>255</v>
      </c>
      <c r="D2309" s="26">
        <v>2960000.0</v>
      </c>
      <c r="F2309" s="26" t="s">
        <v>2542</v>
      </c>
    </row>
    <row r="2310">
      <c r="A2310" s="27">
        <v>45535.0</v>
      </c>
      <c r="B2310" s="26" t="s">
        <v>4641</v>
      </c>
      <c r="C2310" s="26" t="s">
        <v>255</v>
      </c>
      <c r="D2310" s="26">
        <v>540000.0</v>
      </c>
      <c r="F2310" s="26" t="s">
        <v>2542</v>
      </c>
    </row>
    <row r="2311">
      <c r="A2311" s="27">
        <v>45535.0</v>
      </c>
      <c r="B2311" s="26" t="s">
        <v>2543</v>
      </c>
      <c r="C2311" s="26" t="s">
        <v>255</v>
      </c>
      <c r="D2311" s="26">
        <v>4919.0</v>
      </c>
      <c r="F2311" s="26" t="s">
        <v>2542</v>
      </c>
    </row>
    <row r="2312">
      <c r="A2312" s="27">
        <v>45535.0</v>
      </c>
      <c r="B2312" s="26" t="s">
        <v>4636</v>
      </c>
      <c r="C2312" s="28"/>
      <c r="D2312" s="26">
        <v>975120.0</v>
      </c>
      <c r="F2312" s="26" t="s">
        <v>2542</v>
      </c>
    </row>
    <row r="2313">
      <c r="A2313" s="27">
        <v>45535.0</v>
      </c>
      <c r="B2313" s="26" t="s">
        <v>4642</v>
      </c>
      <c r="C2313" s="26" t="s">
        <v>2545</v>
      </c>
      <c r="D2313" s="26">
        <v>3.02733E7</v>
      </c>
      <c r="F2313" s="26" t="s">
        <v>2542</v>
      </c>
      <c r="G2313" s="26">
        <v>3341.0</v>
      </c>
    </row>
    <row r="2314">
      <c r="A2314" s="27">
        <v>45535.0</v>
      </c>
      <c r="B2314" s="26" t="s">
        <v>4643</v>
      </c>
      <c r="C2314" s="26" t="s">
        <v>2545</v>
      </c>
      <c r="D2314" s="26">
        <v>1.78E7</v>
      </c>
      <c r="F2314" s="26" t="s">
        <v>2542</v>
      </c>
      <c r="G2314" s="26">
        <v>3341.0</v>
      </c>
    </row>
    <row r="2315">
      <c r="A2315" s="27">
        <v>45534.0</v>
      </c>
      <c r="B2315" s="26" t="s">
        <v>4644</v>
      </c>
      <c r="C2315" s="26" t="s">
        <v>2887</v>
      </c>
      <c r="D2315" s="26" t="s">
        <v>4645</v>
      </c>
      <c r="F2315" s="26" t="s">
        <v>2542</v>
      </c>
    </row>
    <row r="2316">
      <c r="A2316" s="27">
        <v>45534.0</v>
      </c>
      <c r="B2316" s="26" t="s">
        <v>4646</v>
      </c>
      <c r="C2316" s="26" t="s">
        <v>2545</v>
      </c>
      <c r="D2316" s="26">
        <v>2.5E7</v>
      </c>
      <c r="F2316" s="26" t="s">
        <v>2542</v>
      </c>
      <c r="G2316" s="26">
        <v>3341.0</v>
      </c>
    </row>
    <row r="2317">
      <c r="A2317" s="27">
        <v>45533.0</v>
      </c>
      <c r="B2317" s="26" t="s">
        <v>3219</v>
      </c>
      <c r="C2317" s="26" t="s">
        <v>255</v>
      </c>
      <c r="D2317" s="26">
        <v>2380000.0</v>
      </c>
      <c r="F2317" s="26" t="s">
        <v>2542</v>
      </c>
    </row>
    <row r="2318">
      <c r="A2318" s="27">
        <v>45533.0</v>
      </c>
      <c r="B2318" s="26" t="s">
        <v>4647</v>
      </c>
      <c r="C2318" s="26" t="s">
        <v>255</v>
      </c>
      <c r="D2318" s="26">
        <v>1380000.0</v>
      </c>
      <c r="F2318" s="26" t="s">
        <v>2542</v>
      </c>
    </row>
    <row r="2319">
      <c r="A2319" s="27">
        <v>45533.0</v>
      </c>
      <c r="B2319" s="26" t="s">
        <v>4648</v>
      </c>
      <c r="C2319" s="26" t="s">
        <v>3620</v>
      </c>
      <c r="D2319" s="26">
        <v>500000.0</v>
      </c>
      <c r="F2319" s="26" t="s">
        <v>2542</v>
      </c>
      <c r="G2319" s="26">
        <v>6428.0</v>
      </c>
    </row>
    <row r="2320">
      <c r="A2320" s="27">
        <v>45533.0</v>
      </c>
      <c r="B2320" s="26" t="s">
        <v>4648</v>
      </c>
      <c r="C2320" s="26" t="s">
        <v>3620</v>
      </c>
      <c r="D2320" s="26">
        <v>500000.0</v>
      </c>
      <c r="F2320" s="26" t="s">
        <v>2542</v>
      </c>
      <c r="G2320" s="26">
        <v>6428.0</v>
      </c>
    </row>
    <row r="2321">
      <c r="A2321" s="27">
        <v>45533.0</v>
      </c>
      <c r="B2321" s="26" t="s">
        <v>4648</v>
      </c>
      <c r="C2321" s="26" t="s">
        <v>3620</v>
      </c>
      <c r="D2321" s="26">
        <v>500000.0</v>
      </c>
      <c r="F2321" s="26" t="s">
        <v>2542</v>
      </c>
      <c r="G2321" s="26">
        <v>6428.0</v>
      </c>
    </row>
    <row r="2322">
      <c r="A2322" s="27">
        <v>45533.0</v>
      </c>
      <c r="B2322" s="26" t="s">
        <v>4648</v>
      </c>
      <c r="C2322" s="26" t="s">
        <v>3620</v>
      </c>
      <c r="D2322" s="26">
        <v>500000.0</v>
      </c>
      <c r="F2322" s="26" t="s">
        <v>2542</v>
      </c>
      <c r="G2322" s="26">
        <v>6428.0</v>
      </c>
    </row>
    <row r="2323">
      <c r="A2323" s="27">
        <v>45533.0</v>
      </c>
      <c r="B2323" s="26" t="s">
        <v>4648</v>
      </c>
      <c r="C2323" s="26" t="s">
        <v>3620</v>
      </c>
      <c r="D2323" s="26">
        <v>500000.0</v>
      </c>
      <c r="F2323" s="26" t="s">
        <v>2542</v>
      </c>
      <c r="G2323" s="26">
        <v>6428.0</v>
      </c>
    </row>
    <row r="2324">
      <c r="A2324" s="27">
        <v>45533.0</v>
      </c>
      <c r="B2324" s="26" t="s">
        <v>4648</v>
      </c>
      <c r="C2324" s="26" t="s">
        <v>3620</v>
      </c>
      <c r="D2324" s="26">
        <v>500000.0</v>
      </c>
      <c r="F2324" s="26" t="s">
        <v>2542</v>
      </c>
      <c r="G2324" s="26">
        <v>6428.0</v>
      </c>
    </row>
    <row r="2325">
      <c r="A2325" s="27">
        <v>45533.0</v>
      </c>
      <c r="B2325" s="26" t="s">
        <v>4648</v>
      </c>
      <c r="C2325" s="26" t="s">
        <v>3620</v>
      </c>
      <c r="D2325" s="26">
        <v>500000.0</v>
      </c>
      <c r="F2325" s="26" t="s">
        <v>2542</v>
      </c>
      <c r="G2325" s="26">
        <v>6428.0</v>
      </c>
    </row>
    <row r="2326">
      <c r="A2326" s="27">
        <v>45533.0</v>
      </c>
      <c r="B2326" s="26" t="s">
        <v>4649</v>
      </c>
      <c r="C2326" s="26" t="s">
        <v>2574</v>
      </c>
      <c r="D2326" s="26">
        <v>5400000.0</v>
      </c>
      <c r="F2326" s="26" t="s">
        <v>2542</v>
      </c>
      <c r="G2326" s="26">
        <v>331.0</v>
      </c>
    </row>
    <row r="2327">
      <c r="A2327" s="27">
        <v>45533.0</v>
      </c>
      <c r="B2327" s="26" t="s">
        <v>4650</v>
      </c>
      <c r="C2327" s="26" t="s">
        <v>2593</v>
      </c>
      <c r="D2327" s="26">
        <v>417000.0</v>
      </c>
      <c r="F2327" s="26" t="s">
        <v>2542</v>
      </c>
      <c r="G2327" s="26">
        <v>6423.0</v>
      </c>
    </row>
    <row r="2328">
      <c r="A2328" s="27">
        <v>45532.0</v>
      </c>
      <c r="B2328" s="26" t="s">
        <v>2961</v>
      </c>
      <c r="C2328" s="26" t="s">
        <v>2545</v>
      </c>
      <c r="D2328" s="26">
        <v>1000000.0</v>
      </c>
      <c r="F2328" s="26" t="s">
        <v>2542</v>
      </c>
      <c r="G2328" s="26">
        <v>3341.0</v>
      </c>
    </row>
    <row r="2329">
      <c r="A2329" s="27">
        <v>45531.0</v>
      </c>
      <c r="B2329" s="26" t="s">
        <v>3865</v>
      </c>
      <c r="C2329" s="26" t="s">
        <v>255</v>
      </c>
      <c r="D2329" s="26">
        <v>1.73E8</v>
      </c>
      <c r="F2329" s="26" t="s">
        <v>2542</v>
      </c>
    </row>
    <row r="2330">
      <c r="A2330" s="27">
        <v>45531.0</v>
      </c>
      <c r="B2330" s="26" t="s">
        <v>3080</v>
      </c>
      <c r="C2330" s="26" t="s">
        <v>255</v>
      </c>
      <c r="D2330" s="26">
        <v>1790000.0</v>
      </c>
      <c r="F2330" s="26" t="s">
        <v>2542</v>
      </c>
    </row>
    <row r="2331">
      <c r="A2331" s="27">
        <v>45531.0</v>
      </c>
      <c r="B2331" s="26" t="s">
        <v>4651</v>
      </c>
      <c r="C2331" s="26" t="s">
        <v>255</v>
      </c>
      <c r="D2331" s="26">
        <v>2160000.0</v>
      </c>
      <c r="F2331" s="26" t="s">
        <v>2542</v>
      </c>
    </row>
    <row r="2332">
      <c r="A2332" s="27">
        <v>45531.0</v>
      </c>
      <c r="B2332" s="26" t="s">
        <v>4652</v>
      </c>
      <c r="C2332" s="26" t="s">
        <v>255</v>
      </c>
      <c r="D2332" s="26">
        <v>5920000.0</v>
      </c>
      <c r="F2332" s="26" t="s">
        <v>2542</v>
      </c>
    </row>
    <row r="2333">
      <c r="A2333" s="27">
        <v>45531.0</v>
      </c>
      <c r="B2333" s="26" t="s">
        <v>4653</v>
      </c>
      <c r="C2333" s="26" t="s">
        <v>255</v>
      </c>
      <c r="D2333" s="26">
        <v>300000.0</v>
      </c>
      <c r="F2333" s="26" t="s">
        <v>2542</v>
      </c>
    </row>
    <row r="2334">
      <c r="A2334" s="27">
        <v>45531.0</v>
      </c>
      <c r="B2334" s="26" t="s">
        <v>4654</v>
      </c>
      <c r="C2334" s="26" t="s">
        <v>255</v>
      </c>
      <c r="D2334" s="26">
        <v>1080000.0</v>
      </c>
      <c r="F2334" s="26" t="s">
        <v>2542</v>
      </c>
    </row>
    <row r="2335">
      <c r="A2335" s="27">
        <v>45531.0</v>
      </c>
      <c r="B2335" s="26" t="s">
        <v>4655</v>
      </c>
      <c r="C2335" s="26" t="s">
        <v>255</v>
      </c>
      <c r="D2335" s="26">
        <v>3665000.0</v>
      </c>
      <c r="F2335" s="26" t="s">
        <v>2542</v>
      </c>
    </row>
    <row r="2336">
      <c r="A2336" s="27">
        <v>45531.0</v>
      </c>
      <c r="B2336" s="26" t="s">
        <v>4656</v>
      </c>
      <c r="C2336" s="26" t="s">
        <v>255</v>
      </c>
      <c r="D2336" s="26">
        <v>1080000.0</v>
      </c>
      <c r="F2336" s="26" t="s">
        <v>2542</v>
      </c>
    </row>
    <row r="2337">
      <c r="A2337" s="27">
        <v>45531.0</v>
      </c>
      <c r="B2337" s="26" t="s">
        <v>4657</v>
      </c>
      <c r="C2337" s="26" t="s">
        <v>255</v>
      </c>
      <c r="D2337" s="26">
        <v>540000.0</v>
      </c>
      <c r="F2337" s="26" t="s">
        <v>2542</v>
      </c>
    </row>
    <row r="2338">
      <c r="A2338" s="27">
        <v>45531.0</v>
      </c>
      <c r="B2338" s="26" t="s">
        <v>3075</v>
      </c>
      <c r="C2338" s="26" t="s">
        <v>255</v>
      </c>
      <c r="D2338" s="26">
        <v>1080000.0</v>
      </c>
      <c r="F2338" s="26" t="s">
        <v>2542</v>
      </c>
    </row>
    <row r="2339">
      <c r="A2339" s="27">
        <v>45531.0</v>
      </c>
      <c r="B2339" s="26" t="s">
        <v>3865</v>
      </c>
      <c r="C2339" s="28"/>
      <c r="D2339" s="26">
        <v>1.73E8</v>
      </c>
      <c r="F2339" s="26" t="s">
        <v>2542</v>
      </c>
    </row>
    <row r="2340">
      <c r="A2340" s="27">
        <v>45531.0</v>
      </c>
      <c r="B2340" s="26" t="s">
        <v>4429</v>
      </c>
      <c r="C2340" s="26" t="s">
        <v>2561</v>
      </c>
      <c r="D2340" s="26">
        <v>4700000.0</v>
      </c>
      <c r="F2340" s="26" t="s">
        <v>2542</v>
      </c>
      <c r="G2340" s="26">
        <v>331.0</v>
      </c>
    </row>
    <row r="2341">
      <c r="A2341" s="27">
        <v>45531.0</v>
      </c>
      <c r="B2341" s="26" t="s">
        <v>4658</v>
      </c>
      <c r="C2341" s="26" t="s">
        <v>2561</v>
      </c>
      <c r="D2341" s="26">
        <v>2.2565748E7</v>
      </c>
      <c r="F2341" s="26" t="s">
        <v>2542</v>
      </c>
      <c r="G2341" s="26">
        <v>331.0</v>
      </c>
    </row>
    <row r="2342">
      <c r="A2342" s="27">
        <v>45531.0</v>
      </c>
      <c r="B2342" s="26" t="s">
        <v>4659</v>
      </c>
      <c r="C2342" s="26" t="s">
        <v>3066</v>
      </c>
      <c r="D2342" s="26">
        <v>1.2636E8</v>
      </c>
      <c r="F2342" s="26" t="s">
        <v>2542</v>
      </c>
      <c r="G2342" s="26">
        <v>6427.0</v>
      </c>
    </row>
    <row r="2343">
      <c r="A2343" s="27">
        <v>45531.0</v>
      </c>
      <c r="B2343" s="26" t="s">
        <v>4660</v>
      </c>
      <c r="C2343" s="26" t="s">
        <v>2561</v>
      </c>
      <c r="D2343" s="26">
        <v>1.2607325E8</v>
      </c>
      <c r="F2343" s="26" t="s">
        <v>2542</v>
      </c>
      <c r="G2343" s="26">
        <v>331.0</v>
      </c>
    </row>
    <row r="2344">
      <c r="A2344" s="27">
        <v>45531.0</v>
      </c>
      <c r="B2344" s="26" t="s">
        <v>4661</v>
      </c>
      <c r="C2344" s="26" t="s">
        <v>2563</v>
      </c>
      <c r="D2344" s="26">
        <v>819606.0</v>
      </c>
      <c r="F2344" s="26" t="s">
        <v>2542</v>
      </c>
      <c r="G2344" s="26">
        <v>635.0</v>
      </c>
    </row>
    <row r="2345">
      <c r="A2345" s="27">
        <v>45531.0</v>
      </c>
      <c r="B2345" s="26" t="s">
        <v>4662</v>
      </c>
      <c r="C2345" s="26" t="s">
        <v>2545</v>
      </c>
      <c r="D2345" s="26">
        <v>1.116E7</v>
      </c>
      <c r="F2345" s="26" t="s">
        <v>2542</v>
      </c>
      <c r="G2345" s="26">
        <v>3341.0</v>
      </c>
    </row>
    <row r="2346">
      <c r="A2346" s="27">
        <v>45531.0</v>
      </c>
      <c r="B2346" s="26" t="s">
        <v>4663</v>
      </c>
      <c r="C2346" s="26" t="s">
        <v>2545</v>
      </c>
      <c r="D2346" s="26">
        <v>1.0E7</v>
      </c>
      <c r="F2346" s="26" t="s">
        <v>2542</v>
      </c>
      <c r="G2346" s="26">
        <v>3341.0</v>
      </c>
    </row>
    <row r="2347">
      <c r="A2347" s="27">
        <v>45531.0</v>
      </c>
      <c r="B2347" s="26" t="s">
        <v>4664</v>
      </c>
      <c r="C2347" s="26" t="s">
        <v>2545</v>
      </c>
      <c r="D2347" s="26">
        <v>1.2E7</v>
      </c>
      <c r="F2347" s="26" t="s">
        <v>2542</v>
      </c>
      <c r="G2347" s="26">
        <v>3341.0</v>
      </c>
    </row>
    <row r="2348">
      <c r="A2348" s="27">
        <v>45531.0</v>
      </c>
      <c r="B2348" s="26" t="s">
        <v>4665</v>
      </c>
      <c r="C2348" s="26" t="s">
        <v>2545</v>
      </c>
      <c r="D2348" s="26">
        <v>1.536E7</v>
      </c>
      <c r="F2348" s="26" t="s">
        <v>2542</v>
      </c>
      <c r="G2348" s="26">
        <v>3341.0</v>
      </c>
    </row>
    <row r="2349">
      <c r="A2349" s="27">
        <v>45531.0</v>
      </c>
      <c r="B2349" s="26" t="s">
        <v>4666</v>
      </c>
      <c r="C2349" s="26" t="s">
        <v>2545</v>
      </c>
      <c r="D2349" s="26">
        <v>1.56E7</v>
      </c>
      <c r="F2349" s="26" t="s">
        <v>2542</v>
      </c>
      <c r="G2349" s="26">
        <v>3341.0</v>
      </c>
    </row>
    <row r="2350">
      <c r="A2350" s="27">
        <v>45531.0</v>
      </c>
      <c r="B2350" s="26" t="s">
        <v>4667</v>
      </c>
      <c r="C2350" s="26" t="s">
        <v>2545</v>
      </c>
      <c r="D2350" s="26">
        <v>2.0E7</v>
      </c>
      <c r="F2350" s="26" t="s">
        <v>2542</v>
      </c>
      <c r="G2350" s="26">
        <v>3341.0</v>
      </c>
    </row>
    <row r="2351">
      <c r="A2351" s="27">
        <v>45531.0</v>
      </c>
      <c r="B2351" s="26" t="s">
        <v>4668</v>
      </c>
      <c r="C2351" s="26" t="s">
        <v>2545</v>
      </c>
      <c r="D2351" s="26">
        <v>1.2E7</v>
      </c>
      <c r="F2351" s="26" t="s">
        <v>2542</v>
      </c>
      <c r="G2351" s="26">
        <v>3341.0</v>
      </c>
    </row>
    <row r="2352">
      <c r="A2352" s="27">
        <v>45531.0</v>
      </c>
      <c r="B2352" s="26" t="s">
        <v>4669</v>
      </c>
      <c r="C2352" s="26" t="s">
        <v>2545</v>
      </c>
      <c r="D2352" s="26">
        <v>1.7E7</v>
      </c>
      <c r="F2352" s="26" t="s">
        <v>2542</v>
      </c>
      <c r="G2352" s="26">
        <v>3341.0</v>
      </c>
    </row>
    <row r="2353">
      <c r="A2353" s="27">
        <v>45531.0</v>
      </c>
      <c r="B2353" s="26" t="s">
        <v>4670</v>
      </c>
      <c r="C2353" s="26" t="s">
        <v>3620</v>
      </c>
      <c r="D2353" s="26">
        <v>500000.0</v>
      </c>
      <c r="F2353" s="26" t="s">
        <v>2542</v>
      </c>
      <c r="G2353" s="26">
        <v>6428.0</v>
      </c>
    </row>
    <row r="2354">
      <c r="A2354" s="27">
        <v>45531.0</v>
      </c>
      <c r="B2354" s="26" t="s">
        <v>4671</v>
      </c>
      <c r="C2354" s="26" t="s">
        <v>2561</v>
      </c>
      <c r="D2354" s="26">
        <v>260000.0</v>
      </c>
      <c r="F2354" s="26" t="s">
        <v>2542</v>
      </c>
      <c r="G2354" s="26">
        <v>331.0</v>
      </c>
    </row>
    <row r="2355">
      <c r="A2355" s="27">
        <v>45530.0</v>
      </c>
      <c r="B2355" s="26" t="s">
        <v>4672</v>
      </c>
      <c r="C2355" s="26" t="s">
        <v>2887</v>
      </c>
      <c r="D2355" s="26" t="s">
        <v>4673</v>
      </c>
      <c r="F2355" s="26" t="s">
        <v>2542</v>
      </c>
    </row>
    <row r="2356">
      <c r="A2356" s="27">
        <v>45530.0</v>
      </c>
      <c r="B2356" s="26" t="s">
        <v>4674</v>
      </c>
      <c r="C2356" s="26" t="s">
        <v>2887</v>
      </c>
      <c r="D2356" s="26" t="s">
        <v>4604</v>
      </c>
      <c r="F2356" s="26" t="s">
        <v>2542</v>
      </c>
    </row>
    <row r="2357">
      <c r="A2357" s="27">
        <v>45530.0</v>
      </c>
      <c r="B2357" s="26" t="s">
        <v>4675</v>
      </c>
      <c r="C2357" s="26" t="s">
        <v>2545</v>
      </c>
      <c r="D2357" s="26">
        <v>5000000.0</v>
      </c>
      <c r="F2357" s="26" t="s">
        <v>2542</v>
      </c>
      <c r="G2357" s="26">
        <v>3341.0</v>
      </c>
    </row>
    <row r="2358">
      <c r="A2358" s="27">
        <v>45528.0</v>
      </c>
      <c r="B2358" s="26" t="s">
        <v>2586</v>
      </c>
      <c r="C2358" s="26" t="s">
        <v>255</v>
      </c>
      <c r="D2358" s="26">
        <v>2511.0</v>
      </c>
      <c r="F2358" s="26" t="s">
        <v>2542</v>
      </c>
    </row>
    <row r="2359">
      <c r="A2359" s="27">
        <v>45528.0</v>
      </c>
      <c r="B2359" s="26" t="s">
        <v>2668</v>
      </c>
      <c r="C2359" s="26" t="s">
        <v>255</v>
      </c>
      <c r="D2359" s="26">
        <v>1188000.0</v>
      </c>
      <c r="F2359" s="26" t="s">
        <v>2542</v>
      </c>
    </row>
    <row r="2360">
      <c r="A2360" s="27">
        <v>45528.0</v>
      </c>
      <c r="B2360" s="26" t="s">
        <v>4676</v>
      </c>
      <c r="C2360" s="26" t="s">
        <v>2571</v>
      </c>
      <c r="D2360" s="26">
        <v>1093000.0</v>
      </c>
      <c r="F2360" s="26" t="s">
        <v>2542</v>
      </c>
      <c r="G2360" s="26">
        <v>641.22</v>
      </c>
    </row>
    <row r="2361">
      <c r="A2361" s="27">
        <v>45527.0</v>
      </c>
      <c r="B2361" s="26" t="s">
        <v>4677</v>
      </c>
      <c r="C2361" s="26" t="s">
        <v>255</v>
      </c>
      <c r="D2361" s="26">
        <v>3325000.0</v>
      </c>
      <c r="F2361" s="26" t="s">
        <v>2542</v>
      </c>
    </row>
    <row r="2362">
      <c r="A2362" s="27">
        <v>45526.0</v>
      </c>
      <c r="B2362" s="26" t="s">
        <v>4678</v>
      </c>
      <c r="C2362" s="26" t="s">
        <v>255</v>
      </c>
      <c r="D2362" s="26">
        <v>1.958E7</v>
      </c>
      <c r="F2362" s="26" t="s">
        <v>2542</v>
      </c>
    </row>
    <row r="2363">
      <c r="A2363" s="27">
        <v>45526.0</v>
      </c>
      <c r="B2363" s="26" t="s">
        <v>4678</v>
      </c>
      <c r="C2363" s="26" t="s">
        <v>255</v>
      </c>
      <c r="D2363" s="26">
        <v>7975000.0</v>
      </c>
      <c r="F2363" s="26" t="s">
        <v>2542</v>
      </c>
    </row>
    <row r="2364">
      <c r="A2364" s="27">
        <v>45526.0</v>
      </c>
      <c r="B2364" s="26" t="s">
        <v>4679</v>
      </c>
      <c r="C2364" s="26" t="s">
        <v>255</v>
      </c>
      <c r="D2364" s="26">
        <v>2376000.0</v>
      </c>
      <c r="F2364" s="26" t="s">
        <v>2542</v>
      </c>
    </row>
    <row r="2365">
      <c r="A2365" s="27">
        <v>45526.0</v>
      </c>
      <c r="B2365" s="26" t="s">
        <v>4680</v>
      </c>
      <c r="C2365" s="26" t="s">
        <v>255</v>
      </c>
      <c r="D2365" s="26">
        <v>480000.0</v>
      </c>
      <c r="F2365" s="26" t="s">
        <v>2542</v>
      </c>
    </row>
    <row r="2366">
      <c r="A2366" s="27">
        <v>45526.0</v>
      </c>
      <c r="B2366" s="26" t="s">
        <v>4681</v>
      </c>
      <c r="C2366" s="26" t="s">
        <v>255</v>
      </c>
      <c r="D2366" s="26">
        <v>500000.0</v>
      </c>
      <c r="F2366" s="26" t="s">
        <v>2542</v>
      </c>
    </row>
    <row r="2367">
      <c r="A2367" s="27">
        <v>45526.0</v>
      </c>
      <c r="B2367" s="26" t="s">
        <v>4682</v>
      </c>
      <c r="C2367" s="26" t="s">
        <v>255</v>
      </c>
      <c r="D2367" s="26">
        <v>1080000.0</v>
      </c>
      <c r="F2367" s="26" t="s">
        <v>2542</v>
      </c>
    </row>
    <row r="2368">
      <c r="A2368" s="27">
        <v>45526.0</v>
      </c>
      <c r="B2368" s="26" t="s">
        <v>4678</v>
      </c>
      <c r="C2368" s="26" t="s">
        <v>255</v>
      </c>
      <c r="D2368" s="26">
        <v>1.4377E7</v>
      </c>
      <c r="F2368" s="26" t="s">
        <v>2542</v>
      </c>
    </row>
    <row r="2369">
      <c r="A2369" s="27">
        <v>45526.0</v>
      </c>
      <c r="B2369" s="26" t="s">
        <v>4678</v>
      </c>
      <c r="C2369" s="26" t="s">
        <v>255</v>
      </c>
      <c r="D2369" s="26">
        <v>4785000.0</v>
      </c>
      <c r="F2369" s="26" t="s">
        <v>2542</v>
      </c>
    </row>
    <row r="2370">
      <c r="A2370" s="27">
        <v>45526.0</v>
      </c>
      <c r="B2370" s="26" t="s">
        <v>4683</v>
      </c>
      <c r="C2370" s="26" t="s">
        <v>2545</v>
      </c>
      <c r="D2370" s="26">
        <v>1.29E7</v>
      </c>
      <c r="F2370" s="26" t="s">
        <v>2542</v>
      </c>
      <c r="G2370" s="26">
        <v>3341.0</v>
      </c>
    </row>
    <row r="2371">
      <c r="A2371" s="27">
        <v>45526.0</v>
      </c>
      <c r="B2371" s="26" t="s">
        <v>4684</v>
      </c>
      <c r="C2371" s="26" t="s">
        <v>3460</v>
      </c>
      <c r="D2371" s="26">
        <v>3.5E7</v>
      </c>
      <c r="F2371" s="26" t="s">
        <v>2542</v>
      </c>
      <c r="G2371" s="26">
        <v>331.0</v>
      </c>
    </row>
    <row r="2372">
      <c r="A2372" s="27">
        <v>45526.0</v>
      </c>
      <c r="B2372" s="26" t="s">
        <v>4685</v>
      </c>
      <c r="C2372" s="26" t="s">
        <v>2593</v>
      </c>
      <c r="D2372" s="26">
        <v>526000.0</v>
      </c>
      <c r="F2372" s="26" t="s">
        <v>2542</v>
      </c>
      <c r="G2372" s="26">
        <v>6423.0</v>
      </c>
    </row>
    <row r="2373">
      <c r="A2373" s="27">
        <v>45525.0</v>
      </c>
      <c r="B2373" s="26" t="s">
        <v>4686</v>
      </c>
      <c r="C2373" s="26" t="s">
        <v>255</v>
      </c>
      <c r="D2373" s="26">
        <v>1875000.0</v>
      </c>
      <c r="F2373" s="26" t="s">
        <v>2542</v>
      </c>
    </row>
    <row r="2374">
      <c r="A2374" s="27">
        <v>45525.0</v>
      </c>
      <c r="B2374" s="26" t="s">
        <v>4687</v>
      </c>
      <c r="C2374" s="26" t="s">
        <v>2583</v>
      </c>
      <c r="D2374" s="26">
        <v>250000.0</v>
      </c>
      <c r="F2374" s="26" t="s">
        <v>2542</v>
      </c>
      <c r="G2374" s="26">
        <v>641.24</v>
      </c>
    </row>
    <row r="2375">
      <c r="A2375" s="27">
        <v>45524.0</v>
      </c>
      <c r="B2375" s="26" t="s">
        <v>4107</v>
      </c>
      <c r="C2375" s="26" t="s">
        <v>255</v>
      </c>
      <c r="D2375" s="26">
        <v>1440000.0</v>
      </c>
      <c r="F2375" s="26" t="s">
        <v>2542</v>
      </c>
    </row>
    <row r="2376">
      <c r="A2376" s="27">
        <v>45524.0</v>
      </c>
      <c r="B2376" s="26" t="s">
        <v>2555</v>
      </c>
      <c r="C2376" s="26" t="s">
        <v>255</v>
      </c>
      <c r="D2376" s="26">
        <v>1080000.0</v>
      </c>
      <c r="F2376" s="26" t="s">
        <v>2542</v>
      </c>
    </row>
    <row r="2377">
      <c r="A2377" s="27">
        <v>45524.0</v>
      </c>
      <c r="B2377" s="26" t="s">
        <v>4688</v>
      </c>
      <c r="C2377" s="26" t="s">
        <v>2561</v>
      </c>
      <c r="D2377" s="26">
        <v>1.284336E7</v>
      </c>
      <c r="F2377" s="26" t="s">
        <v>2542</v>
      </c>
      <c r="G2377" s="26">
        <v>331.0</v>
      </c>
    </row>
    <row r="2378">
      <c r="A2378" s="27">
        <v>45523.0</v>
      </c>
      <c r="B2378" s="26" t="s">
        <v>4689</v>
      </c>
      <c r="C2378" s="26" t="s">
        <v>255</v>
      </c>
      <c r="D2378" s="26">
        <v>1188000.0</v>
      </c>
      <c r="F2378" s="26" t="s">
        <v>2542</v>
      </c>
    </row>
    <row r="2379">
      <c r="A2379" s="27">
        <v>45523.0</v>
      </c>
      <c r="B2379" s="26" t="s">
        <v>4690</v>
      </c>
      <c r="C2379" s="26" t="s">
        <v>255</v>
      </c>
      <c r="D2379" s="26">
        <v>1080000.0</v>
      </c>
      <c r="F2379" s="26" t="s">
        <v>2542</v>
      </c>
    </row>
    <row r="2380">
      <c r="A2380" s="27">
        <v>45523.0</v>
      </c>
      <c r="B2380" s="26" t="s">
        <v>4691</v>
      </c>
      <c r="C2380" s="26" t="s">
        <v>255</v>
      </c>
      <c r="D2380" s="26">
        <v>2450000.0</v>
      </c>
      <c r="F2380" s="26" t="s">
        <v>2542</v>
      </c>
    </row>
    <row r="2381">
      <c r="A2381" s="27">
        <v>45523.0</v>
      </c>
      <c r="B2381" s="26" t="s">
        <v>4692</v>
      </c>
      <c r="C2381" s="26" t="s">
        <v>255</v>
      </c>
      <c r="D2381" s="26">
        <v>840000.0</v>
      </c>
      <c r="F2381" s="26" t="s">
        <v>2542</v>
      </c>
    </row>
    <row r="2382">
      <c r="A2382" s="27">
        <v>45523.0</v>
      </c>
      <c r="B2382" s="26" t="s">
        <v>4693</v>
      </c>
      <c r="C2382" s="26" t="s">
        <v>255</v>
      </c>
      <c r="D2382" s="26">
        <v>1680000.0</v>
      </c>
      <c r="F2382" s="26" t="s">
        <v>2542</v>
      </c>
    </row>
    <row r="2383">
      <c r="A2383" s="27">
        <v>45523.0</v>
      </c>
      <c r="B2383" s="26" t="s">
        <v>2820</v>
      </c>
      <c r="C2383" s="26" t="s">
        <v>255</v>
      </c>
      <c r="D2383" s="26">
        <v>2400000.0</v>
      </c>
      <c r="F2383" s="26" t="s">
        <v>2542</v>
      </c>
    </row>
    <row r="2384">
      <c r="A2384" s="27">
        <v>45523.0</v>
      </c>
      <c r="B2384" s="26" t="s">
        <v>4694</v>
      </c>
      <c r="C2384" s="26" t="s">
        <v>255</v>
      </c>
      <c r="D2384" s="26">
        <v>5360000.0</v>
      </c>
      <c r="F2384" s="26" t="s">
        <v>2542</v>
      </c>
    </row>
    <row r="2385">
      <c r="A2385" s="27">
        <v>45523.0</v>
      </c>
      <c r="B2385" s="26" t="s">
        <v>4695</v>
      </c>
      <c r="C2385" s="26" t="s">
        <v>2583</v>
      </c>
      <c r="D2385" s="26">
        <v>2375000.0</v>
      </c>
      <c r="F2385" s="26" t="s">
        <v>2542</v>
      </c>
      <c r="G2385" s="26">
        <v>641.33</v>
      </c>
    </row>
    <row r="2386">
      <c r="A2386" s="27">
        <v>45520.0</v>
      </c>
      <c r="B2386" s="26" t="s">
        <v>3517</v>
      </c>
      <c r="C2386" s="26" t="s">
        <v>255</v>
      </c>
      <c r="D2386" s="26">
        <v>3.5E7</v>
      </c>
      <c r="F2386" s="26" t="s">
        <v>2542</v>
      </c>
    </row>
    <row r="2387">
      <c r="A2387" s="27">
        <v>45520.0</v>
      </c>
      <c r="B2387" s="26" t="s">
        <v>3166</v>
      </c>
      <c r="C2387" s="26" t="s">
        <v>255</v>
      </c>
      <c r="D2387" s="26">
        <v>2.728E7</v>
      </c>
      <c r="F2387" s="26" t="s">
        <v>2542</v>
      </c>
    </row>
    <row r="2388">
      <c r="A2388" s="27">
        <v>45520.0</v>
      </c>
      <c r="B2388" s="26" t="s">
        <v>4696</v>
      </c>
      <c r="C2388" s="26" t="s">
        <v>255</v>
      </c>
      <c r="D2388" s="26">
        <v>1.0E7</v>
      </c>
      <c r="F2388" s="26" t="s">
        <v>2542</v>
      </c>
    </row>
    <row r="2389">
      <c r="A2389" s="27">
        <v>45520.0</v>
      </c>
      <c r="B2389" s="26" t="s">
        <v>3074</v>
      </c>
      <c r="C2389" s="26" t="s">
        <v>255</v>
      </c>
      <c r="D2389" s="26">
        <v>1480000.0</v>
      </c>
      <c r="F2389" s="26" t="s">
        <v>2542</v>
      </c>
    </row>
    <row r="2390">
      <c r="A2390" s="27">
        <v>45520.0</v>
      </c>
      <c r="B2390" s="26" t="s">
        <v>3517</v>
      </c>
      <c r="C2390" s="28"/>
      <c r="D2390" s="26">
        <v>3.5E7</v>
      </c>
      <c r="F2390" s="26" t="s">
        <v>2542</v>
      </c>
    </row>
    <row r="2391">
      <c r="A2391" s="27">
        <v>45520.0</v>
      </c>
      <c r="B2391" s="26" t="s">
        <v>4697</v>
      </c>
      <c r="C2391" s="26" t="s">
        <v>2561</v>
      </c>
      <c r="D2391" s="26">
        <v>5583000.0</v>
      </c>
      <c r="F2391" s="26" t="s">
        <v>2542</v>
      </c>
      <c r="G2391" s="26">
        <v>331.0</v>
      </c>
    </row>
    <row r="2392">
      <c r="A2392" s="27">
        <v>45519.0</v>
      </c>
      <c r="B2392" s="26" t="s">
        <v>4698</v>
      </c>
      <c r="C2392" s="26" t="s">
        <v>255</v>
      </c>
      <c r="D2392" s="26">
        <v>1080000.0</v>
      </c>
      <c r="F2392" s="26" t="s">
        <v>2542</v>
      </c>
    </row>
    <row r="2393">
      <c r="A2393" s="27">
        <v>45519.0</v>
      </c>
      <c r="B2393" s="26" t="s">
        <v>3397</v>
      </c>
      <c r="C2393" s="26" t="s">
        <v>255</v>
      </c>
      <c r="D2393" s="26">
        <v>2160000.0</v>
      </c>
      <c r="F2393" s="26" t="s">
        <v>2542</v>
      </c>
    </row>
    <row r="2394">
      <c r="A2394" s="27">
        <v>45519.0</v>
      </c>
      <c r="B2394" s="26" t="s">
        <v>3219</v>
      </c>
      <c r="C2394" s="26" t="s">
        <v>255</v>
      </c>
      <c r="D2394" s="26">
        <v>4600000.0</v>
      </c>
      <c r="F2394" s="26" t="s">
        <v>2542</v>
      </c>
    </row>
    <row r="2395">
      <c r="A2395" s="27">
        <v>45519.0</v>
      </c>
      <c r="B2395" s="26" t="s">
        <v>4699</v>
      </c>
      <c r="C2395" s="26" t="s">
        <v>255</v>
      </c>
      <c r="D2395" s="26">
        <v>1595000.0</v>
      </c>
      <c r="F2395" s="26" t="s">
        <v>2542</v>
      </c>
    </row>
    <row r="2396">
      <c r="A2396" s="27">
        <v>45519.0</v>
      </c>
      <c r="B2396" s="26" t="s">
        <v>3453</v>
      </c>
      <c r="C2396" s="28"/>
      <c r="D2396" s="26">
        <v>1.0E7</v>
      </c>
      <c r="F2396" s="26" t="s">
        <v>2542</v>
      </c>
    </row>
    <row r="2397">
      <c r="A2397" s="27">
        <v>45519.0</v>
      </c>
      <c r="B2397" s="26" t="s">
        <v>2882</v>
      </c>
      <c r="C2397" s="26" t="s">
        <v>2561</v>
      </c>
      <c r="D2397" s="26">
        <v>1.1E7</v>
      </c>
      <c r="F2397" s="26" t="s">
        <v>2542</v>
      </c>
      <c r="G2397" s="26">
        <v>331.0</v>
      </c>
    </row>
    <row r="2398">
      <c r="A2398" s="27">
        <v>45519.0</v>
      </c>
      <c r="B2398" s="26" t="s">
        <v>4700</v>
      </c>
      <c r="C2398" s="26" t="s">
        <v>2593</v>
      </c>
      <c r="D2398" s="26">
        <v>1280000.0</v>
      </c>
      <c r="F2398" s="26" t="s">
        <v>2542</v>
      </c>
      <c r="G2398" s="26">
        <v>6423.0</v>
      </c>
    </row>
    <row r="2399">
      <c r="A2399" s="27">
        <v>45519.0</v>
      </c>
      <c r="B2399" s="26" t="s">
        <v>4701</v>
      </c>
      <c r="C2399" s="26" t="s">
        <v>2655</v>
      </c>
      <c r="D2399" s="26">
        <v>1.408E7</v>
      </c>
      <c r="F2399" s="26" t="s">
        <v>2542</v>
      </c>
      <c r="G2399" s="26">
        <v>3383.0</v>
      </c>
    </row>
    <row r="2400">
      <c r="A2400" s="27">
        <v>45519.0</v>
      </c>
      <c r="B2400" s="26" t="s">
        <v>4702</v>
      </c>
      <c r="C2400" s="26" t="s">
        <v>2593</v>
      </c>
      <c r="D2400" s="26">
        <v>268000.0</v>
      </c>
      <c r="F2400" s="26" t="s">
        <v>2542</v>
      </c>
      <c r="G2400" s="26">
        <v>6423.0</v>
      </c>
    </row>
    <row r="2401">
      <c r="A2401" s="27">
        <v>45518.0</v>
      </c>
      <c r="B2401" s="26" t="s">
        <v>4703</v>
      </c>
      <c r="C2401" s="26" t="s">
        <v>255</v>
      </c>
      <c r="D2401" s="26">
        <v>1080000.0</v>
      </c>
      <c r="F2401" s="26" t="s">
        <v>2542</v>
      </c>
    </row>
    <row r="2402">
      <c r="A2402" s="27">
        <v>45518.0</v>
      </c>
      <c r="B2402" s="26" t="s">
        <v>4704</v>
      </c>
      <c r="C2402" s="26" t="s">
        <v>255</v>
      </c>
      <c r="D2402" s="26">
        <v>2160000.0</v>
      </c>
      <c r="F2402" s="26" t="s">
        <v>2542</v>
      </c>
    </row>
    <row r="2403">
      <c r="A2403" s="27">
        <v>45518.0</v>
      </c>
      <c r="B2403" s="26" t="s">
        <v>4705</v>
      </c>
      <c r="C2403" s="26" t="s">
        <v>255</v>
      </c>
      <c r="D2403" s="26">
        <v>3136000.0</v>
      </c>
      <c r="F2403" s="26" t="s">
        <v>2542</v>
      </c>
    </row>
    <row r="2404">
      <c r="A2404" s="27">
        <v>45518.0</v>
      </c>
      <c r="B2404" s="26" t="s">
        <v>4706</v>
      </c>
      <c r="C2404" s="26" t="s">
        <v>255</v>
      </c>
      <c r="D2404" s="26">
        <v>2665600.0</v>
      </c>
      <c r="F2404" s="26" t="s">
        <v>2542</v>
      </c>
    </row>
    <row r="2405">
      <c r="A2405" s="27">
        <v>45518.0</v>
      </c>
      <c r="B2405" s="26" t="s">
        <v>4707</v>
      </c>
      <c r="C2405" s="26" t="s">
        <v>255</v>
      </c>
      <c r="D2405" s="26">
        <v>1020000.0</v>
      </c>
      <c r="F2405" s="26" t="s">
        <v>2542</v>
      </c>
    </row>
    <row r="2406">
      <c r="A2406" s="27">
        <v>45518.0</v>
      </c>
      <c r="B2406" s="26" t="s">
        <v>4708</v>
      </c>
      <c r="C2406" s="26" t="s">
        <v>255</v>
      </c>
      <c r="D2406" s="26">
        <v>1808000.0</v>
      </c>
      <c r="F2406" s="26" t="s">
        <v>2542</v>
      </c>
    </row>
    <row r="2407">
      <c r="A2407" s="27">
        <v>45518.0</v>
      </c>
      <c r="B2407" s="26" t="s">
        <v>4709</v>
      </c>
      <c r="C2407" s="26" t="s">
        <v>2561</v>
      </c>
      <c r="D2407" s="26">
        <v>6000000.0</v>
      </c>
      <c r="F2407" s="26" t="s">
        <v>2542</v>
      </c>
      <c r="G2407" s="26">
        <v>331.0</v>
      </c>
    </row>
    <row r="2408">
      <c r="A2408" s="27">
        <v>45517.0</v>
      </c>
      <c r="B2408" s="26" t="s">
        <v>4710</v>
      </c>
      <c r="C2408" s="26" t="s">
        <v>255</v>
      </c>
      <c r="D2408" s="26">
        <v>6470000.0</v>
      </c>
      <c r="F2408" s="26" t="s">
        <v>2542</v>
      </c>
    </row>
    <row r="2409">
      <c r="A2409" s="27">
        <v>45517.0</v>
      </c>
      <c r="B2409" s="26" t="s">
        <v>3131</v>
      </c>
      <c r="C2409" s="26" t="s">
        <v>255</v>
      </c>
      <c r="D2409" s="26">
        <v>1.155375E7</v>
      </c>
      <c r="F2409" s="26" t="s">
        <v>2542</v>
      </c>
    </row>
    <row r="2410">
      <c r="A2410" s="27">
        <v>45517.0</v>
      </c>
      <c r="B2410" s="26" t="s">
        <v>4711</v>
      </c>
      <c r="C2410" s="26" t="s">
        <v>255</v>
      </c>
      <c r="D2410" s="26">
        <v>429000.0</v>
      </c>
      <c r="F2410" s="26" t="s">
        <v>2542</v>
      </c>
    </row>
    <row r="2411">
      <c r="A2411" s="27">
        <v>45517.0</v>
      </c>
      <c r="B2411" s="26" t="s">
        <v>4712</v>
      </c>
      <c r="C2411" s="26" t="s">
        <v>2593</v>
      </c>
      <c r="D2411" s="26">
        <v>172880.0</v>
      </c>
      <c r="F2411" s="26" t="s">
        <v>2542</v>
      </c>
      <c r="G2411" s="26">
        <v>6423.0</v>
      </c>
    </row>
    <row r="2412">
      <c r="A2412" s="27">
        <v>45516.0</v>
      </c>
      <c r="B2412" s="26" t="s">
        <v>4713</v>
      </c>
      <c r="C2412" s="26" t="s">
        <v>255</v>
      </c>
      <c r="D2412" s="26">
        <v>1450000.0</v>
      </c>
      <c r="F2412" s="26" t="s">
        <v>2542</v>
      </c>
    </row>
    <row r="2413">
      <c r="A2413" s="27">
        <v>45516.0</v>
      </c>
      <c r="B2413" s="26" t="s">
        <v>4714</v>
      </c>
      <c r="C2413" s="26" t="s">
        <v>2561</v>
      </c>
      <c r="D2413" s="26">
        <v>1.2739635E8</v>
      </c>
      <c r="F2413" s="26" t="s">
        <v>2542</v>
      </c>
      <c r="G2413" s="26">
        <v>331.0</v>
      </c>
    </row>
    <row r="2414">
      <c r="A2414" s="27">
        <v>45516.0</v>
      </c>
      <c r="B2414" s="26" t="s">
        <v>4715</v>
      </c>
      <c r="C2414" s="26" t="s">
        <v>2563</v>
      </c>
      <c r="D2414" s="26">
        <v>828285.0</v>
      </c>
      <c r="F2414" s="26" t="s">
        <v>2542</v>
      </c>
      <c r="G2414" s="26">
        <v>635.0</v>
      </c>
    </row>
    <row r="2415">
      <c r="A2415" s="27">
        <v>45516.0</v>
      </c>
      <c r="B2415" s="26" t="s">
        <v>4716</v>
      </c>
      <c r="C2415" s="26" t="s">
        <v>2593</v>
      </c>
      <c r="D2415" s="26">
        <v>135000.0</v>
      </c>
      <c r="F2415" s="26" t="s">
        <v>2542</v>
      </c>
      <c r="G2415" s="26">
        <v>6423.0</v>
      </c>
    </row>
    <row r="2416">
      <c r="A2416" s="27">
        <v>45515.0</v>
      </c>
      <c r="B2416" s="26" t="s">
        <v>4717</v>
      </c>
      <c r="C2416" s="26" t="s">
        <v>255</v>
      </c>
      <c r="D2416" s="26">
        <v>1969000.0</v>
      </c>
      <c r="F2416" s="26" t="s">
        <v>2542</v>
      </c>
    </row>
    <row r="2417">
      <c r="A2417" s="27">
        <v>45515.0</v>
      </c>
      <c r="B2417" s="26" t="s">
        <v>4718</v>
      </c>
      <c r="C2417" s="26" t="s">
        <v>255</v>
      </c>
      <c r="D2417" s="26">
        <v>2400000.0</v>
      </c>
      <c r="F2417" s="26" t="s">
        <v>2542</v>
      </c>
    </row>
    <row r="2418">
      <c r="A2418" s="27">
        <v>45513.0</v>
      </c>
      <c r="B2418" s="26" t="s">
        <v>3517</v>
      </c>
      <c r="C2418" s="26" t="s">
        <v>255</v>
      </c>
      <c r="D2418" s="26">
        <v>5.5E7</v>
      </c>
      <c r="F2418" s="26" t="s">
        <v>2542</v>
      </c>
    </row>
    <row r="2419">
      <c r="A2419" s="27">
        <v>45513.0</v>
      </c>
      <c r="B2419" s="26" t="s">
        <v>4719</v>
      </c>
      <c r="C2419" s="26" t="s">
        <v>255</v>
      </c>
      <c r="D2419" s="26">
        <v>5040000.0</v>
      </c>
      <c r="F2419" s="26" t="s">
        <v>2542</v>
      </c>
    </row>
    <row r="2420">
      <c r="A2420" s="27">
        <v>45513.0</v>
      </c>
      <c r="B2420" s="26" t="s">
        <v>4720</v>
      </c>
      <c r="C2420" s="26" t="s">
        <v>255</v>
      </c>
      <c r="D2420" s="26">
        <v>5170000.0</v>
      </c>
      <c r="F2420" s="26" t="s">
        <v>2542</v>
      </c>
    </row>
    <row r="2421">
      <c r="A2421" s="27">
        <v>45513.0</v>
      </c>
      <c r="B2421" s="26" t="s">
        <v>4721</v>
      </c>
      <c r="C2421" s="26" t="s">
        <v>255</v>
      </c>
      <c r="D2421" s="26">
        <v>5000000.0</v>
      </c>
      <c r="F2421" s="26" t="s">
        <v>2542</v>
      </c>
    </row>
    <row r="2422">
      <c r="A2422" s="27">
        <v>45513.0</v>
      </c>
      <c r="B2422" s="26" t="s">
        <v>4722</v>
      </c>
      <c r="C2422" s="26" t="s">
        <v>255</v>
      </c>
      <c r="D2422" s="26">
        <v>5000000.0</v>
      </c>
      <c r="F2422" s="26" t="s">
        <v>2542</v>
      </c>
    </row>
    <row r="2423">
      <c r="A2423" s="27">
        <v>45513.0</v>
      </c>
      <c r="B2423" s="26" t="s">
        <v>4723</v>
      </c>
      <c r="C2423" s="26" t="s">
        <v>255</v>
      </c>
      <c r="D2423" s="26">
        <v>540000.0</v>
      </c>
      <c r="F2423" s="26" t="s">
        <v>2542</v>
      </c>
    </row>
    <row r="2424">
      <c r="A2424" s="27">
        <v>45513.0</v>
      </c>
      <c r="B2424" s="26" t="s">
        <v>4724</v>
      </c>
      <c r="C2424" s="26" t="s">
        <v>255</v>
      </c>
      <c r="D2424" s="26">
        <v>3657500.0</v>
      </c>
      <c r="F2424" s="26" t="s">
        <v>2542</v>
      </c>
    </row>
    <row r="2425">
      <c r="A2425" s="27">
        <v>45513.0</v>
      </c>
      <c r="B2425" s="26" t="s">
        <v>4725</v>
      </c>
      <c r="C2425" s="26" t="s">
        <v>255</v>
      </c>
      <c r="D2425" s="26">
        <v>1963500.0</v>
      </c>
      <c r="F2425" s="26" t="s">
        <v>2542</v>
      </c>
    </row>
    <row r="2426">
      <c r="A2426" s="27">
        <v>45513.0</v>
      </c>
      <c r="B2426" s="26" t="s">
        <v>4036</v>
      </c>
      <c r="C2426" s="26" t="s">
        <v>255</v>
      </c>
      <c r="D2426" s="26">
        <v>800000.0</v>
      </c>
      <c r="F2426" s="26" t="s">
        <v>2542</v>
      </c>
    </row>
    <row r="2427">
      <c r="A2427" s="27">
        <v>45513.0</v>
      </c>
      <c r="B2427" s="26" t="s">
        <v>3517</v>
      </c>
      <c r="C2427" s="28"/>
      <c r="D2427" s="26">
        <v>5.5E7</v>
      </c>
      <c r="F2427" s="26" t="s">
        <v>2542</v>
      </c>
    </row>
    <row r="2428">
      <c r="A2428" s="27">
        <v>45513.0</v>
      </c>
      <c r="B2428" s="26" t="s">
        <v>4726</v>
      </c>
      <c r="C2428" s="26" t="s">
        <v>2571</v>
      </c>
      <c r="D2428" s="26">
        <v>383000.0</v>
      </c>
      <c r="F2428" s="26" t="s">
        <v>2542</v>
      </c>
      <c r="G2428" s="26">
        <v>641.36</v>
      </c>
    </row>
    <row r="2429">
      <c r="A2429" s="27">
        <v>45512.0</v>
      </c>
      <c r="B2429" s="26" t="s">
        <v>4727</v>
      </c>
      <c r="C2429" s="26" t="s">
        <v>255</v>
      </c>
      <c r="D2429" s="26">
        <v>2550000.0</v>
      </c>
      <c r="F2429" s="26" t="s">
        <v>2542</v>
      </c>
    </row>
    <row r="2430">
      <c r="A2430" s="27">
        <v>45512.0</v>
      </c>
      <c r="B2430" s="26" t="s">
        <v>4728</v>
      </c>
      <c r="C2430" s="26" t="s">
        <v>255</v>
      </c>
      <c r="D2430" s="26">
        <v>5728800.0</v>
      </c>
      <c r="F2430" s="26" t="s">
        <v>2542</v>
      </c>
    </row>
    <row r="2431">
      <c r="A2431" s="27">
        <v>45512.0</v>
      </c>
      <c r="B2431" s="26" t="s">
        <v>4729</v>
      </c>
      <c r="C2431" s="26" t="s">
        <v>2561</v>
      </c>
      <c r="D2431" s="26">
        <v>1.803384E7</v>
      </c>
      <c r="F2431" s="26" t="s">
        <v>2542</v>
      </c>
      <c r="G2431" s="26">
        <v>331.0</v>
      </c>
    </row>
    <row r="2432">
      <c r="A2432" s="27">
        <v>45511.0</v>
      </c>
      <c r="B2432" s="26" t="s">
        <v>3517</v>
      </c>
      <c r="C2432" s="26" t="s">
        <v>255</v>
      </c>
      <c r="D2432" s="26">
        <v>6.0E7</v>
      </c>
      <c r="F2432" s="26" t="s">
        <v>2542</v>
      </c>
    </row>
    <row r="2433">
      <c r="A2433" s="27">
        <v>45511.0</v>
      </c>
      <c r="B2433" s="26" t="s">
        <v>4730</v>
      </c>
      <c r="C2433" s="26" t="s">
        <v>255</v>
      </c>
      <c r="D2433" s="26">
        <v>1440000.0</v>
      </c>
      <c r="F2433" s="26" t="s">
        <v>2542</v>
      </c>
    </row>
    <row r="2434">
      <c r="A2434" s="27">
        <v>45511.0</v>
      </c>
      <c r="B2434" s="26" t="s">
        <v>3219</v>
      </c>
      <c r="C2434" s="26" t="s">
        <v>255</v>
      </c>
      <c r="D2434" s="26">
        <v>2380000.0</v>
      </c>
      <c r="F2434" s="26" t="s">
        <v>2542</v>
      </c>
    </row>
    <row r="2435">
      <c r="A2435" s="27">
        <v>45511.0</v>
      </c>
      <c r="B2435" s="26" t="s">
        <v>3108</v>
      </c>
      <c r="C2435" s="26" t="s">
        <v>255</v>
      </c>
      <c r="D2435" s="26">
        <v>8205000.0</v>
      </c>
      <c r="F2435" s="26" t="s">
        <v>2542</v>
      </c>
    </row>
    <row r="2436">
      <c r="A2436" s="27">
        <v>45511.0</v>
      </c>
      <c r="B2436" s="26" t="s">
        <v>4731</v>
      </c>
      <c r="C2436" s="26" t="s">
        <v>255</v>
      </c>
      <c r="D2436" s="26">
        <v>1080000.0</v>
      </c>
      <c r="F2436" s="26" t="s">
        <v>2542</v>
      </c>
    </row>
    <row r="2437">
      <c r="A2437" s="27">
        <v>45511.0</v>
      </c>
      <c r="B2437" s="26" t="s">
        <v>4732</v>
      </c>
      <c r="C2437" s="26" t="s">
        <v>255</v>
      </c>
      <c r="D2437" s="26">
        <v>3672000.0</v>
      </c>
      <c r="F2437" s="26" t="s">
        <v>2542</v>
      </c>
    </row>
    <row r="2438">
      <c r="A2438" s="27">
        <v>45511.0</v>
      </c>
      <c r="B2438" s="26" t="s">
        <v>4733</v>
      </c>
      <c r="C2438" s="26" t="s">
        <v>255</v>
      </c>
      <c r="D2438" s="26">
        <v>1568000.0</v>
      </c>
      <c r="F2438" s="26" t="s">
        <v>2542</v>
      </c>
    </row>
    <row r="2439">
      <c r="A2439" s="27">
        <v>45511.0</v>
      </c>
      <c r="B2439" s="26" t="s">
        <v>4734</v>
      </c>
      <c r="C2439" s="26" t="s">
        <v>255</v>
      </c>
      <c r="D2439" s="26">
        <v>2160000.0</v>
      </c>
      <c r="F2439" s="26" t="s">
        <v>2542</v>
      </c>
    </row>
    <row r="2440">
      <c r="A2440" s="27">
        <v>45511.0</v>
      </c>
      <c r="B2440" s="26" t="s">
        <v>4735</v>
      </c>
      <c r="C2440" s="26" t="s">
        <v>255</v>
      </c>
      <c r="D2440" s="26">
        <v>9205000.0</v>
      </c>
      <c r="F2440" s="26" t="s">
        <v>2542</v>
      </c>
    </row>
    <row r="2441">
      <c r="A2441" s="27">
        <v>45511.0</v>
      </c>
      <c r="B2441" s="26" t="s">
        <v>4736</v>
      </c>
      <c r="C2441" s="26" t="s">
        <v>255</v>
      </c>
      <c r="D2441" s="26">
        <v>4704000.0</v>
      </c>
      <c r="F2441" s="26" t="s">
        <v>2542</v>
      </c>
    </row>
    <row r="2442">
      <c r="A2442" s="27">
        <v>45511.0</v>
      </c>
      <c r="B2442" s="26" t="s">
        <v>4737</v>
      </c>
      <c r="C2442" s="26" t="s">
        <v>255</v>
      </c>
      <c r="D2442" s="26">
        <v>7000000.0</v>
      </c>
      <c r="F2442" s="26" t="s">
        <v>2542</v>
      </c>
    </row>
    <row r="2443">
      <c r="A2443" s="27">
        <v>45511.0</v>
      </c>
      <c r="B2443" s="26" t="s">
        <v>4738</v>
      </c>
      <c r="C2443" s="26" t="s">
        <v>255</v>
      </c>
      <c r="D2443" s="26">
        <v>1080000.0</v>
      </c>
      <c r="F2443" s="26" t="s">
        <v>2542</v>
      </c>
    </row>
    <row r="2444">
      <c r="A2444" s="27">
        <v>45511.0</v>
      </c>
      <c r="B2444" s="26" t="s">
        <v>4739</v>
      </c>
      <c r="C2444" s="26" t="s">
        <v>255</v>
      </c>
      <c r="D2444" s="26">
        <v>1080000.0</v>
      </c>
      <c r="F2444" s="26" t="s">
        <v>2542</v>
      </c>
    </row>
    <row r="2445">
      <c r="A2445" s="27">
        <v>45511.0</v>
      </c>
      <c r="B2445" s="26" t="s">
        <v>4740</v>
      </c>
      <c r="C2445" s="26" t="s">
        <v>255</v>
      </c>
      <c r="D2445" s="26">
        <v>1080000.0</v>
      </c>
      <c r="F2445" s="26" t="s">
        <v>2542</v>
      </c>
    </row>
    <row r="2446">
      <c r="A2446" s="27">
        <v>45511.0</v>
      </c>
      <c r="B2446" s="26" t="s">
        <v>4741</v>
      </c>
      <c r="C2446" s="26" t="s">
        <v>255</v>
      </c>
      <c r="D2446" s="26">
        <v>1332800.0</v>
      </c>
      <c r="F2446" s="26" t="s">
        <v>2542</v>
      </c>
    </row>
    <row r="2447">
      <c r="A2447" s="27">
        <v>45511.0</v>
      </c>
      <c r="B2447" s="26" t="s">
        <v>4742</v>
      </c>
      <c r="C2447" s="26" t="s">
        <v>255</v>
      </c>
      <c r="D2447" s="26">
        <v>1080000.0</v>
      </c>
      <c r="F2447" s="26" t="s">
        <v>2542</v>
      </c>
    </row>
    <row r="2448">
      <c r="A2448" s="27">
        <v>45511.0</v>
      </c>
      <c r="B2448" s="26" t="s">
        <v>3517</v>
      </c>
      <c r="C2448" s="28"/>
      <c r="D2448" s="26">
        <v>6.0E7</v>
      </c>
      <c r="F2448" s="26" t="s">
        <v>2542</v>
      </c>
    </row>
    <row r="2449">
      <c r="A2449" s="27">
        <v>45511.0</v>
      </c>
      <c r="B2449" s="26" t="s">
        <v>4743</v>
      </c>
      <c r="C2449" s="26" t="s">
        <v>2574</v>
      </c>
      <c r="D2449" s="26">
        <v>1862000.0</v>
      </c>
      <c r="F2449" s="26" t="s">
        <v>2542</v>
      </c>
      <c r="G2449" s="26">
        <v>331.0</v>
      </c>
    </row>
    <row r="2450">
      <c r="A2450" s="27">
        <v>45511.0</v>
      </c>
      <c r="B2450" s="26" t="s">
        <v>4744</v>
      </c>
      <c r="C2450" s="26" t="s">
        <v>2583</v>
      </c>
      <c r="D2450" s="26">
        <v>1450000.0</v>
      </c>
      <c r="F2450" s="26" t="s">
        <v>2542</v>
      </c>
      <c r="G2450" s="26">
        <v>641.14</v>
      </c>
    </row>
    <row r="2451">
      <c r="A2451" s="27">
        <v>45510.0</v>
      </c>
      <c r="B2451" s="26" t="s">
        <v>4745</v>
      </c>
      <c r="C2451" s="26" t="s">
        <v>255</v>
      </c>
      <c r="D2451" s="26">
        <v>1.64736E7</v>
      </c>
      <c r="F2451" s="26" t="s">
        <v>2542</v>
      </c>
    </row>
    <row r="2452">
      <c r="A2452" s="27">
        <v>45510.0</v>
      </c>
      <c r="B2452" s="26" t="s">
        <v>4746</v>
      </c>
      <c r="C2452" s="26" t="s">
        <v>255</v>
      </c>
      <c r="D2452" s="26">
        <v>2062500.0</v>
      </c>
      <c r="F2452" s="26" t="s">
        <v>2542</v>
      </c>
    </row>
    <row r="2453">
      <c r="A2453" s="27">
        <v>45510.0</v>
      </c>
      <c r="B2453" s="26" t="s">
        <v>3274</v>
      </c>
      <c r="C2453" s="26" t="s">
        <v>255</v>
      </c>
      <c r="D2453" s="26">
        <v>2930000.0</v>
      </c>
      <c r="F2453" s="26" t="s">
        <v>2542</v>
      </c>
    </row>
    <row r="2454">
      <c r="A2454" s="27">
        <v>45510.0</v>
      </c>
      <c r="B2454" s="26" t="s">
        <v>4747</v>
      </c>
      <c r="C2454" s="26" t="s">
        <v>2581</v>
      </c>
      <c r="D2454" s="26">
        <v>3000000.0</v>
      </c>
      <c r="F2454" s="26" t="s">
        <v>2542</v>
      </c>
      <c r="G2454" s="26">
        <v>6422.0</v>
      </c>
    </row>
    <row r="2455">
      <c r="A2455" s="27">
        <v>45510.0</v>
      </c>
      <c r="B2455" s="26" t="s">
        <v>4748</v>
      </c>
      <c r="C2455" s="26" t="s">
        <v>2561</v>
      </c>
      <c r="D2455" s="26">
        <v>8765000.0</v>
      </c>
      <c r="F2455" s="26" t="s">
        <v>2542</v>
      </c>
      <c r="G2455" s="26">
        <v>331.0</v>
      </c>
    </row>
    <row r="2456">
      <c r="A2456" s="27">
        <v>45510.0</v>
      </c>
      <c r="B2456" s="26" t="s">
        <v>4749</v>
      </c>
      <c r="C2456" s="26" t="s">
        <v>2561</v>
      </c>
      <c r="D2456" s="26">
        <v>6031179.0</v>
      </c>
      <c r="F2456" s="26" t="s">
        <v>2542</v>
      </c>
      <c r="G2456" s="26">
        <v>331.0</v>
      </c>
    </row>
    <row r="2457">
      <c r="A2457" s="27">
        <v>45510.0</v>
      </c>
      <c r="B2457" s="26" t="s">
        <v>4750</v>
      </c>
      <c r="C2457" s="26" t="s">
        <v>2561</v>
      </c>
      <c r="D2457" s="26">
        <v>2.122829E7</v>
      </c>
      <c r="F2457" s="26" t="s">
        <v>2542</v>
      </c>
      <c r="G2457" s="26">
        <v>331.0</v>
      </c>
    </row>
    <row r="2458">
      <c r="A2458" s="27">
        <v>45509.0</v>
      </c>
      <c r="B2458" s="26" t="s">
        <v>4751</v>
      </c>
      <c r="C2458" s="26" t="s">
        <v>255</v>
      </c>
      <c r="D2458" s="26">
        <v>1778620.0</v>
      </c>
      <c r="F2458" s="26" t="s">
        <v>2542</v>
      </c>
    </row>
    <row r="2459">
      <c r="A2459" s="27">
        <v>45509.0</v>
      </c>
      <c r="B2459" s="26" t="s">
        <v>2745</v>
      </c>
      <c r="C2459" s="26" t="s">
        <v>255</v>
      </c>
      <c r="D2459" s="26">
        <v>282000.0</v>
      </c>
      <c r="F2459" s="26" t="s">
        <v>2542</v>
      </c>
    </row>
    <row r="2460">
      <c r="A2460" s="27">
        <v>45509.0</v>
      </c>
      <c r="B2460" s="26" t="s">
        <v>4752</v>
      </c>
      <c r="C2460" s="26" t="s">
        <v>2887</v>
      </c>
      <c r="D2460" s="26" t="s">
        <v>4753</v>
      </c>
      <c r="F2460" s="26" t="s">
        <v>2542</v>
      </c>
    </row>
    <row r="2461">
      <c r="A2461" s="27">
        <v>45509.0</v>
      </c>
      <c r="B2461" s="26" t="s">
        <v>3190</v>
      </c>
      <c r="C2461" s="26" t="s">
        <v>255</v>
      </c>
      <c r="D2461" s="26">
        <v>1.584E7</v>
      </c>
      <c r="F2461" s="26" t="s">
        <v>2542</v>
      </c>
    </row>
    <row r="2462">
      <c r="A2462" s="27">
        <v>45509.0</v>
      </c>
      <c r="B2462" s="26" t="s">
        <v>3829</v>
      </c>
      <c r="C2462" s="26" t="s">
        <v>255</v>
      </c>
      <c r="D2462" s="26">
        <v>5060000.0</v>
      </c>
      <c r="F2462" s="26" t="s">
        <v>2542</v>
      </c>
    </row>
    <row r="2463">
      <c r="A2463" s="27">
        <v>45509.0</v>
      </c>
      <c r="B2463" s="26" t="s">
        <v>3193</v>
      </c>
      <c r="C2463" s="26" t="s">
        <v>255</v>
      </c>
      <c r="D2463" s="26">
        <v>2195000.0</v>
      </c>
      <c r="F2463" s="26" t="s">
        <v>2542</v>
      </c>
    </row>
    <row r="2464">
      <c r="A2464" s="27">
        <v>45509.0</v>
      </c>
      <c r="B2464" s="26" t="s">
        <v>4754</v>
      </c>
      <c r="C2464" s="26" t="s">
        <v>255</v>
      </c>
      <c r="D2464" s="26">
        <v>8640000.0</v>
      </c>
      <c r="F2464" s="26" t="s">
        <v>2542</v>
      </c>
    </row>
    <row r="2465">
      <c r="A2465" s="27">
        <v>45509.0</v>
      </c>
      <c r="B2465" s="26" t="s">
        <v>4755</v>
      </c>
      <c r="C2465" s="26" t="s">
        <v>255</v>
      </c>
      <c r="D2465" s="26">
        <v>1.4E7</v>
      </c>
      <c r="F2465" s="26" t="s">
        <v>2542</v>
      </c>
    </row>
    <row r="2466">
      <c r="A2466" s="27">
        <v>45509.0</v>
      </c>
      <c r="B2466" s="26" t="s">
        <v>3196</v>
      </c>
      <c r="C2466" s="26" t="s">
        <v>255</v>
      </c>
      <c r="D2466" s="26">
        <v>7560000.0</v>
      </c>
      <c r="F2466" s="26" t="s">
        <v>2542</v>
      </c>
    </row>
    <row r="2467">
      <c r="A2467" s="27">
        <v>45509.0</v>
      </c>
      <c r="B2467" s="26" t="s">
        <v>3182</v>
      </c>
      <c r="C2467" s="26" t="s">
        <v>255</v>
      </c>
      <c r="D2467" s="26">
        <v>3600000.0</v>
      </c>
      <c r="F2467" s="26" t="s">
        <v>2542</v>
      </c>
    </row>
    <row r="2468">
      <c r="A2468" s="27">
        <v>45509.0</v>
      </c>
      <c r="B2468" s="26" t="s">
        <v>3172</v>
      </c>
      <c r="C2468" s="26" t="s">
        <v>255</v>
      </c>
      <c r="D2468" s="26">
        <v>1.051E7</v>
      </c>
      <c r="F2468" s="26" t="s">
        <v>2542</v>
      </c>
    </row>
    <row r="2469">
      <c r="A2469" s="27">
        <v>45509.0</v>
      </c>
      <c r="B2469" s="26" t="s">
        <v>4751</v>
      </c>
      <c r="C2469" s="28"/>
      <c r="D2469" s="26">
        <v>1778620.0</v>
      </c>
      <c r="F2469" s="26" t="s">
        <v>2542</v>
      </c>
    </row>
    <row r="2470">
      <c r="A2470" s="27">
        <v>45509.0</v>
      </c>
      <c r="B2470" s="26" t="s">
        <v>4756</v>
      </c>
      <c r="C2470" s="26" t="s">
        <v>2561</v>
      </c>
      <c r="D2470" s="26">
        <v>4960000.0</v>
      </c>
      <c r="F2470" s="26" t="s">
        <v>2542</v>
      </c>
      <c r="G2470" s="26">
        <v>331.0</v>
      </c>
    </row>
    <row r="2471">
      <c r="A2471" s="27">
        <v>45509.0</v>
      </c>
      <c r="B2471" s="26" t="s">
        <v>4757</v>
      </c>
      <c r="C2471" s="26" t="s">
        <v>2545</v>
      </c>
      <c r="D2471" s="26">
        <v>1.0E7</v>
      </c>
      <c r="F2471" s="26" t="s">
        <v>2542</v>
      </c>
      <c r="G2471" s="26">
        <v>3341.0</v>
      </c>
    </row>
    <row r="2472">
      <c r="A2472" s="27">
        <v>45509.0</v>
      </c>
      <c r="B2472" s="26" t="s">
        <v>4758</v>
      </c>
      <c r="C2472" s="26" t="s">
        <v>2545</v>
      </c>
      <c r="D2472" s="26">
        <v>2.2E7</v>
      </c>
      <c r="F2472" s="26" t="s">
        <v>2542</v>
      </c>
      <c r="G2472" s="26">
        <v>3341.0</v>
      </c>
    </row>
    <row r="2473">
      <c r="A2473" s="27">
        <v>45509.0</v>
      </c>
      <c r="B2473" s="26" t="s">
        <v>4759</v>
      </c>
      <c r="C2473" s="26" t="s">
        <v>2545</v>
      </c>
      <c r="D2473" s="26">
        <v>1.116E7</v>
      </c>
      <c r="F2473" s="26" t="s">
        <v>2542</v>
      </c>
      <c r="G2473" s="26">
        <v>3341.0</v>
      </c>
    </row>
    <row r="2474">
      <c r="A2474" s="27">
        <v>45509.0</v>
      </c>
      <c r="B2474" s="26" t="s">
        <v>4760</v>
      </c>
      <c r="C2474" s="26" t="s">
        <v>2545</v>
      </c>
      <c r="D2474" s="26">
        <v>1.536E7</v>
      </c>
      <c r="F2474" s="26" t="s">
        <v>2542</v>
      </c>
      <c r="G2474" s="26">
        <v>3341.0</v>
      </c>
    </row>
    <row r="2475">
      <c r="A2475" s="27">
        <v>45509.0</v>
      </c>
      <c r="B2475" s="26" t="s">
        <v>4761</v>
      </c>
      <c r="C2475" s="26" t="s">
        <v>2545</v>
      </c>
      <c r="D2475" s="26">
        <v>1.56E7</v>
      </c>
      <c r="F2475" s="26" t="s">
        <v>2542</v>
      </c>
      <c r="G2475" s="26">
        <v>3341.0</v>
      </c>
    </row>
    <row r="2476">
      <c r="A2476" s="27">
        <v>45509.0</v>
      </c>
      <c r="B2476" s="26" t="s">
        <v>4762</v>
      </c>
      <c r="C2476" s="26" t="s">
        <v>2545</v>
      </c>
      <c r="D2476" s="26">
        <v>2.54E7</v>
      </c>
      <c r="F2476" s="26" t="s">
        <v>2542</v>
      </c>
      <c r="G2476" s="26">
        <v>3341.0</v>
      </c>
    </row>
    <row r="2477">
      <c r="A2477" s="27">
        <v>45509.0</v>
      </c>
      <c r="B2477" s="26" t="s">
        <v>3117</v>
      </c>
      <c r="C2477" s="26" t="s">
        <v>2545</v>
      </c>
      <c r="D2477" s="26">
        <v>1.2E7</v>
      </c>
      <c r="F2477" s="26" t="s">
        <v>2542</v>
      </c>
      <c r="G2477" s="26">
        <v>3341.0</v>
      </c>
    </row>
    <row r="2478">
      <c r="A2478" s="27">
        <v>45509.0</v>
      </c>
      <c r="B2478" s="26" t="s">
        <v>4763</v>
      </c>
      <c r="C2478" s="26" t="s">
        <v>2545</v>
      </c>
      <c r="D2478" s="26">
        <v>1.2E7</v>
      </c>
      <c r="F2478" s="26" t="s">
        <v>2542</v>
      </c>
      <c r="G2478" s="26">
        <v>3341.0</v>
      </c>
    </row>
    <row r="2479">
      <c r="A2479" s="27">
        <v>45509.0</v>
      </c>
      <c r="B2479" s="26" t="s">
        <v>4764</v>
      </c>
      <c r="C2479" s="26" t="s">
        <v>2545</v>
      </c>
      <c r="D2479" s="26">
        <v>1.236E7</v>
      </c>
      <c r="F2479" s="26" t="s">
        <v>2542</v>
      </c>
      <c r="G2479" s="26">
        <v>3341.0</v>
      </c>
    </row>
    <row r="2480">
      <c r="A2480" s="27">
        <v>45509.0</v>
      </c>
      <c r="B2480" s="26" t="s">
        <v>4765</v>
      </c>
      <c r="C2480" s="26" t="s">
        <v>2764</v>
      </c>
      <c r="D2480" s="26">
        <v>1.4E7</v>
      </c>
      <c r="F2480" s="26" t="s">
        <v>2542</v>
      </c>
      <c r="G2480" s="26">
        <v>6273.0</v>
      </c>
    </row>
    <row r="2481">
      <c r="A2481" s="27">
        <v>45509.0</v>
      </c>
      <c r="B2481" s="26" t="s">
        <v>4766</v>
      </c>
      <c r="C2481" s="28"/>
      <c r="D2481" s="26">
        <v>1.4E7</v>
      </c>
      <c r="F2481" s="26" t="s">
        <v>2542</v>
      </c>
    </row>
    <row r="2482">
      <c r="A2482" s="27">
        <v>45509.0</v>
      </c>
      <c r="B2482" s="26" t="s">
        <v>4767</v>
      </c>
      <c r="C2482" s="26" t="s">
        <v>2561</v>
      </c>
      <c r="D2482" s="26">
        <v>7364995.0</v>
      </c>
      <c r="F2482" s="26" t="s">
        <v>2542</v>
      </c>
      <c r="G2482" s="26">
        <v>331.0</v>
      </c>
    </row>
    <row r="2483">
      <c r="A2483" s="27">
        <v>45507.0</v>
      </c>
      <c r="B2483" s="26" t="s">
        <v>3167</v>
      </c>
      <c r="C2483" s="26" t="s">
        <v>255</v>
      </c>
      <c r="D2483" s="26">
        <v>1188000.0</v>
      </c>
      <c r="F2483" s="26" t="s">
        <v>2542</v>
      </c>
    </row>
    <row r="2484">
      <c r="A2484" s="27">
        <v>45507.0</v>
      </c>
      <c r="B2484" s="26" t="s">
        <v>4768</v>
      </c>
      <c r="C2484" s="26" t="s">
        <v>255</v>
      </c>
      <c r="D2484" s="26">
        <v>5174490.0</v>
      </c>
      <c r="F2484" s="26" t="s">
        <v>2542</v>
      </c>
    </row>
    <row r="2485">
      <c r="A2485" s="27">
        <v>45507.0</v>
      </c>
      <c r="B2485" s="26" t="s">
        <v>4769</v>
      </c>
      <c r="C2485" s="26" t="s">
        <v>2593</v>
      </c>
      <c r="D2485" s="26">
        <v>349000.0</v>
      </c>
      <c r="F2485" s="26" t="s">
        <v>2542</v>
      </c>
      <c r="G2485" s="26">
        <v>6423.0</v>
      </c>
    </row>
    <row r="2486">
      <c r="A2486" s="27">
        <v>45506.0</v>
      </c>
      <c r="B2486" s="26" t="s">
        <v>3517</v>
      </c>
      <c r="C2486" s="26" t="s">
        <v>255</v>
      </c>
      <c r="D2486" s="26">
        <v>5.0E7</v>
      </c>
      <c r="F2486" s="26" t="s">
        <v>2542</v>
      </c>
    </row>
    <row r="2487">
      <c r="A2487" s="27">
        <v>45506.0</v>
      </c>
      <c r="B2487" s="26" t="s">
        <v>4770</v>
      </c>
      <c r="C2487" s="26" t="s">
        <v>255</v>
      </c>
      <c r="D2487" s="26">
        <v>3325000.0</v>
      </c>
      <c r="F2487" s="26" t="s">
        <v>2542</v>
      </c>
    </row>
    <row r="2488">
      <c r="A2488" s="27">
        <v>45506.0</v>
      </c>
      <c r="B2488" s="26" t="s">
        <v>3517</v>
      </c>
      <c r="C2488" s="28"/>
      <c r="D2488" s="26">
        <v>5.0E7</v>
      </c>
      <c r="F2488" s="26" t="s">
        <v>2542</v>
      </c>
    </row>
    <row r="2489">
      <c r="A2489" s="27">
        <v>45506.0</v>
      </c>
      <c r="B2489" s="26" t="s">
        <v>4771</v>
      </c>
      <c r="C2489" s="26" t="s">
        <v>3460</v>
      </c>
      <c r="D2489" s="26">
        <v>5.0E7</v>
      </c>
      <c r="F2489" s="26" t="s">
        <v>2542</v>
      </c>
      <c r="G2489" s="26">
        <v>331.0</v>
      </c>
    </row>
    <row r="2490">
      <c r="A2490" s="27">
        <v>45505.0</v>
      </c>
      <c r="B2490" s="26" t="s">
        <v>4772</v>
      </c>
      <c r="C2490" s="26" t="s">
        <v>255</v>
      </c>
      <c r="D2490" s="26">
        <v>1080000.0</v>
      </c>
      <c r="F2490" s="26" t="s">
        <v>2542</v>
      </c>
    </row>
    <row r="2491">
      <c r="A2491" s="27">
        <v>45505.0</v>
      </c>
      <c r="B2491" s="26" t="s">
        <v>4773</v>
      </c>
      <c r="C2491" s="26" t="s">
        <v>255</v>
      </c>
      <c r="D2491" s="26">
        <v>1080000.0</v>
      </c>
      <c r="F2491" s="26" t="s">
        <v>2542</v>
      </c>
    </row>
    <row r="2492">
      <c r="A2492" s="27">
        <v>45505.0</v>
      </c>
      <c r="B2492" s="26" t="s">
        <v>3155</v>
      </c>
      <c r="C2492" s="26" t="s">
        <v>255</v>
      </c>
      <c r="D2492" s="26">
        <v>1320000.0</v>
      </c>
      <c r="F2492" s="26" t="s">
        <v>2542</v>
      </c>
    </row>
    <row r="2493">
      <c r="A2493" s="27">
        <v>45505.0</v>
      </c>
      <c r="B2493" s="26" t="s">
        <v>3955</v>
      </c>
      <c r="C2493" s="26" t="s">
        <v>255</v>
      </c>
      <c r="D2493" s="26">
        <v>3187500.0</v>
      </c>
      <c r="F2493" s="26" t="s">
        <v>2542</v>
      </c>
    </row>
    <row r="2494">
      <c r="A2494" s="27">
        <v>45505.0</v>
      </c>
      <c r="B2494" s="26" t="s">
        <v>4774</v>
      </c>
      <c r="C2494" s="26" t="s">
        <v>255</v>
      </c>
      <c r="D2494" s="26">
        <v>2.28811E7</v>
      </c>
      <c r="F2494" s="26" t="s">
        <v>2542</v>
      </c>
    </row>
    <row r="2495">
      <c r="A2495" s="27">
        <v>45505.0</v>
      </c>
      <c r="B2495" s="26" t="s">
        <v>4775</v>
      </c>
      <c r="C2495" s="26" t="s">
        <v>255</v>
      </c>
      <c r="D2495" s="26">
        <v>1080000.0</v>
      </c>
      <c r="F2495" s="26" t="s">
        <v>2542</v>
      </c>
    </row>
    <row r="2496">
      <c r="A2496" s="27">
        <v>45505.0</v>
      </c>
      <c r="B2496" s="26" t="s">
        <v>4776</v>
      </c>
      <c r="C2496" s="26" t="s">
        <v>255</v>
      </c>
      <c r="D2496" s="26">
        <v>1188000.0</v>
      </c>
      <c r="F2496" s="26" t="s">
        <v>2542</v>
      </c>
    </row>
    <row r="2497">
      <c r="A2497" s="27">
        <v>45505.0</v>
      </c>
      <c r="B2497" s="26" t="s">
        <v>4777</v>
      </c>
      <c r="C2497" s="26" t="s">
        <v>2561</v>
      </c>
      <c r="D2497" s="26">
        <v>520.0</v>
      </c>
      <c r="F2497" s="26" t="s">
        <v>2542</v>
      </c>
      <c r="G2497" s="26">
        <v>632.1</v>
      </c>
    </row>
    <row r="2498">
      <c r="A2498" s="27">
        <v>45505.0</v>
      </c>
      <c r="B2498" s="26" t="s">
        <v>4777</v>
      </c>
      <c r="C2498" s="26" t="s">
        <v>2583</v>
      </c>
      <c r="D2498" s="26">
        <v>628000.0</v>
      </c>
      <c r="F2498" s="26" t="s">
        <v>2542</v>
      </c>
      <c r="G2498" s="26">
        <v>641.24</v>
      </c>
    </row>
    <row r="2499">
      <c r="A2499" s="27">
        <v>45505.0</v>
      </c>
      <c r="B2499" s="26" t="s">
        <v>4778</v>
      </c>
      <c r="C2499" s="26" t="s">
        <v>2571</v>
      </c>
      <c r="D2499" s="26">
        <v>95000.0</v>
      </c>
      <c r="F2499" s="26" t="s">
        <v>2542</v>
      </c>
      <c r="G2499" s="26">
        <v>641.22</v>
      </c>
    </row>
    <row r="2500">
      <c r="A2500" s="27">
        <v>45505.0</v>
      </c>
      <c r="B2500" s="26" t="s">
        <v>4779</v>
      </c>
      <c r="C2500" s="26" t="s">
        <v>2561</v>
      </c>
      <c r="D2500" s="26" t="s">
        <v>4780</v>
      </c>
      <c r="F2500" s="26" t="s">
        <v>2542</v>
      </c>
      <c r="G2500" s="26">
        <v>632.1</v>
      </c>
    </row>
    <row r="2501">
      <c r="A2501" s="27">
        <v>45504.0</v>
      </c>
      <c r="B2501" s="26" t="s">
        <v>3193</v>
      </c>
      <c r="C2501" s="26" t="s">
        <v>255</v>
      </c>
      <c r="D2501" s="26">
        <v>2195000.0</v>
      </c>
      <c r="F2501" s="26" t="s">
        <v>2542</v>
      </c>
    </row>
    <row r="2502">
      <c r="A2502" s="27">
        <v>45504.0</v>
      </c>
      <c r="B2502" s="26" t="s">
        <v>2668</v>
      </c>
      <c r="C2502" s="26" t="s">
        <v>255</v>
      </c>
      <c r="D2502" s="26">
        <v>1188000.0</v>
      </c>
      <c r="F2502" s="26" t="s">
        <v>2542</v>
      </c>
    </row>
    <row r="2503">
      <c r="A2503" s="27">
        <v>45504.0</v>
      </c>
      <c r="B2503" s="26" t="s">
        <v>2543</v>
      </c>
      <c r="C2503" s="26" t="s">
        <v>255</v>
      </c>
      <c r="D2503" s="26">
        <v>5742.0</v>
      </c>
      <c r="F2503" s="26" t="s">
        <v>2542</v>
      </c>
    </row>
    <row r="2504">
      <c r="A2504" s="27">
        <v>45504.0</v>
      </c>
      <c r="B2504" s="26" t="s">
        <v>3115</v>
      </c>
      <c r="C2504" s="26" t="s">
        <v>2545</v>
      </c>
      <c r="D2504" s="26">
        <v>1.29E7</v>
      </c>
      <c r="F2504" s="26" t="s">
        <v>2542</v>
      </c>
      <c r="G2504" s="26">
        <v>3341.0</v>
      </c>
    </row>
    <row r="2505">
      <c r="A2505" s="27">
        <v>45504.0</v>
      </c>
      <c r="B2505" s="26" t="s">
        <v>2961</v>
      </c>
      <c r="C2505" s="26" t="s">
        <v>2545</v>
      </c>
      <c r="D2505" s="26">
        <v>7000000.0</v>
      </c>
      <c r="F2505" s="26" t="s">
        <v>2542</v>
      </c>
      <c r="G2505" s="26">
        <v>3341.0</v>
      </c>
    </row>
    <row r="2506">
      <c r="A2506" s="27">
        <v>45503.0</v>
      </c>
      <c r="B2506" s="26" t="s">
        <v>4781</v>
      </c>
      <c r="C2506" s="26" t="s">
        <v>255</v>
      </c>
      <c r="D2506" s="26">
        <v>6960000.0</v>
      </c>
      <c r="F2506" s="26" t="s">
        <v>2542</v>
      </c>
    </row>
    <row r="2507">
      <c r="A2507" s="27">
        <v>45503.0</v>
      </c>
      <c r="B2507" s="26" t="s">
        <v>3517</v>
      </c>
      <c r="C2507" s="26" t="s">
        <v>255</v>
      </c>
      <c r="D2507" s="26">
        <v>3.6E8</v>
      </c>
      <c r="F2507" s="26" t="s">
        <v>2542</v>
      </c>
    </row>
    <row r="2508">
      <c r="A2508" s="27">
        <v>45503.0</v>
      </c>
      <c r="B2508" s="26" t="s">
        <v>4782</v>
      </c>
      <c r="C2508" s="26" t="s">
        <v>2887</v>
      </c>
      <c r="D2508" s="26" t="s">
        <v>4673</v>
      </c>
      <c r="F2508" s="26" t="s">
        <v>2542</v>
      </c>
    </row>
    <row r="2509">
      <c r="A2509" s="27">
        <v>45503.0</v>
      </c>
      <c r="B2509" s="26" t="s">
        <v>4783</v>
      </c>
      <c r="C2509" s="26" t="s">
        <v>2887</v>
      </c>
      <c r="D2509" s="26" t="s">
        <v>4784</v>
      </c>
      <c r="F2509" s="26" t="s">
        <v>2542</v>
      </c>
    </row>
    <row r="2510">
      <c r="A2510" s="27">
        <v>45503.0</v>
      </c>
      <c r="B2510" s="26" t="s">
        <v>4785</v>
      </c>
      <c r="C2510" s="26" t="s">
        <v>255</v>
      </c>
      <c r="D2510" s="26">
        <v>288750.0</v>
      </c>
      <c r="F2510" s="26" t="s">
        <v>2542</v>
      </c>
    </row>
    <row r="2511">
      <c r="A2511" s="27">
        <v>45503.0</v>
      </c>
      <c r="B2511" s="26" t="s">
        <v>4786</v>
      </c>
      <c r="C2511" s="26" t="s">
        <v>255</v>
      </c>
      <c r="D2511" s="26">
        <v>1595000.0</v>
      </c>
      <c r="F2511" s="26" t="s">
        <v>2542</v>
      </c>
    </row>
    <row r="2512">
      <c r="A2512" s="27">
        <v>45503.0</v>
      </c>
      <c r="B2512" s="26" t="s">
        <v>4781</v>
      </c>
      <c r="C2512" s="28"/>
      <c r="D2512" s="26">
        <v>6960000.0</v>
      </c>
      <c r="F2512" s="26" t="s">
        <v>2542</v>
      </c>
    </row>
    <row r="2513">
      <c r="A2513" s="27">
        <v>45503.0</v>
      </c>
      <c r="B2513" s="26" t="s">
        <v>3517</v>
      </c>
      <c r="C2513" s="28"/>
      <c r="D2513" s="26">
        <v>3.6E8</v>
      </c>
      <c r="F2513" s="26" t="s">
        <v>2542</v>
      </c>
    </row>
    <row r="2514">
      <c r="A2514" s="27">
        <v>45503.0</v>
      </c>
      <c r="B2514" s="26" t="s">
        <v>4787</v>
      </c>
      <c r="C2514" s="26" t="s">
        <v>2593</v>
      </c>
      <c r="D2514" s="26">
        <v>6960000.0</v>
      </c>
      <c r="F2514" s="26" t="s">
        <v>2542</v>
      </c>
      <c r="G2514" s="26">
        <v>6423.0</v>
      </c>
    </row>
    <row r="2515">
      <c r="A2515" s="27">
        <v>45503.0</v>
      </c>
      <c r="B2515" s="26" t="s">
        <v>4788</v>
      </c>
      <c r="C2515" s="26" t="s">
        <v>2561</v>
      </c>
      <c r="D2515" s="26">
        <v>3.658752E8</v>
      </c>
      <c r="F2515" s="26" t="s">
        <v>2542</v>
      </c>
      <c r="G2515" s="26">
        <v>331.0</v>
      </c>
    </row>
    <row r="2516">
      <c r="A2516" s="27">
        <v>45503.0</v>
      </c>
      <c r="B2516" s="26" t="s">
        <v>4789</v>
      </c>
      <c r="C2516" s="26" t="s">
        <v>2563</v>
      </c>
      <c r="D2516" s="26">
        <v>833763.0</v>
      </c>
      <c r="F2516" s="26" t="s">
        <v>2542</v>
      </c>
      <c r="G2516" s="26">
        <v>635.0</v>
      </c>
    </row>
    <row r="2517">
      <c r="A2517" s="27">
        <v>45503.0</v>
      </c>
      <c r="B2517" s="26" t="s">
        <v>3444</v>
      </c>
      <c r="C2517" s="26" t="s">
        <v>2564</v>
      </c>
      <c r="D2517" s="26" t="s">
        <v>4790</v>
      </c>
      <c r="F2517" s="26" t="s">
        <v>2542</v>
      </c>
      <c r="G2517" s="26">
        <v>3332.0</v>
      </c>
    </row>
    <row r="2518">
      <c r="A2518" s="27">
        <v>45502.0</v>
      </c>
      <c r="B2518" s="26" t="s">
        <v>4791</v>
      </c>
      <c r="C2518" s="26" t="s">
        <v>255</v>
      </c>
      <c r="D2518" s="26">
        <v>4143750.0</v>
      </c>
      <c r="F2518" s="26" t="s">
        <v>2542</v>
      </c>
    </row>
    <row r="2519">
      <c r="A2519" s="27">
        <v>45502.0</v>
      </c>
      <c r="B2519" s="26" t="s">
        <v>4792</v>
      </c>
      <c r="C2519" s="26" t="s">
        <v>255</v>
      </c>
      <c r="D2519" s="26">
        <v>3850000.0</v>
      </c>
      <c r="F2519" s="26" t="s">
        <v>2542</v>
      </c>
    </row>
    <row r="2520">
      <c r="A2520" s="27">
        <v>45500.0</v>
      </c>
      <c r="B2520" s="26" t="s">
        <v>4793</v>
      </c>
      <c r="C2520" s="26" t="s">
        <v>255</v>
      </c>
      <c r="D2520" s="26">
        <v>3665000.0</v>
      </c>
      <c r="F2520" s="26" t="s">
        <v>2542</v>
      </c>
    </row>
    <row r="2521">
      <c r="A2521" s="27">
        <v>45500.0</v>
      </c>
      <c r="B2521" s="26" t="s">
        <v>4694</v>
      </c>
      <c r="C2521" s="26" t="s">
        <v>255</v>
      </c>
      <c r="D2521" s="26">
        <v>2600000.0</v>
      </c>
      <c r="F2521" s="26" t="s">
        <v>2542</v>
      </c>
    </row>
    <row r="2522">
      <c r="A2522" s="27">
        <v>45500.0</v>
      </c>
      <c r="B2522" s="26" t="s">
        <v>2769</v>
      </c>
      <c r="C2522" s="26" t="s">
        <v>255</v>
      </c>
      <c r="D2522" s="26">
        <v>1080000.0</v>
      </c>
      <c r="F2522" s="26" t="s">
        <v>2542</v>
      </c>
    </row>
    <row r="2523">
      <c r="A2523" s="27">
        <v>45500.0</v>
      </c>
      <c r="B2523" s="26" t="s">
        <v>4794</v>
      </c>
      <c r="C2523" s="26" t="s">
        <v>255</v>
      </c>
      <c r="D2523" s="26">
        <v>2880000.0</v>
      </c>
      <c r="F2523" s="26" t="s">
        <v>2542</v>
      </c>
    </row>
    <row r="2524">
      <c r="A2524" s="27">
        <v>45499.0</v>
      </c>
      <c r="B2524" s="26" t="s">
        <v>3215</v>
      </c>
      <c r="C2524" s="26" t="s">
        <v>255</v>
      </c>
      <c r="D2524" s="26">
        <v>2160000.0</v>
      </c>
      <c r="F2524" s="26" t="s">
        <v>2542</v>
      </c>
    </row>
    <row r="2525">
      <c r="A2525" s="27">
        <v>45498.0</v>
      </c>
      <c r="B2525" s="26" t="s">
        <v>4795</v>
      </c>
      <c r="C2525" s="26" t="s">
        <v>255</v>
      </c>
      <c r="D2525" s="26">
        <v>5690000.0</v>
      </c>
      <c r="F2525" s="26" t="s">
        <v>2542</v>
      </c>
    </row>
    <row r="2526">
      <c r="A2526" s="27">
        <v>45498.0</v>
      </c>
      <c r="B2526" s="26" t="s">
        <v>4796</v>
      </c>
      <c r="C2526" s="26" t="s">
        <v>255</v>
      </c>
      <c r="D2526" s="26">
        <v>1254000.0</v>
      </c>
      <c r="F2526" s="26" t="s">
        <v>2542</v>
      </c>
    </row>
    <row r="2527">
      <c r="A2527" s="27">
        <v>45498.0</v>
      </c>
      <c r="B2527" s="26" t="s">
        <v>4797</v>
      </c>
      <c r="C2527" s="26" t="s">
        <v>255</v>
      </c>
      <c r="D2527" s="26">
        <v>1.5555E7</v>
      </c>
      <c r="F2527" s="26" t="s">
        <v>2542</v>
      </c>
    </row>
    <row r="2528">
      <c r="A2528" s="27">
        <v>45498.0</v>
      </c>
      <c r="B2528" s="26" t="s">
        <v>4746</v>
      </c>
      <c r="C2528" s="26" t="s">
        <v>255</v>
      </c>
      <c r="D2528" s="26">
        <v>1790000.0</v>
      </c>
      <c r="F2528" s="26" t="s">
        <v>2542</v>
      </c>
    </row>
    <row r="2529">
      <c r="A2529" s="27">
        <v>45498.0</v>
      </c>
      <c r="B2529" s="26" t="s">
        <v>4795</v>
      </c>
      <c r="C2529" s="28"/>
      <c r="D2529" s="26">
        <v>5690000.0</v>
      </c>
      <c r="F2529" s="26" t="s">
        <v>2542</v>
      </c>
    </row>
    <row r="2530">
      <c r="A2530" s="27">
        <v>45498.0</v>
      </c>
      <c r="B2530" s="26" t="s">
        <v>4798</v>
      </c>
      <c r="C2530" s="26" t="s">
        <v>2561</v>
      </c>
      <c r="D2530" s="26" t="s">
        <v>4799</v>
      </c>
      <c r="F2530" s="26" t="s">
        <v>2542</v>
      </c>
      <c r="G2530" s="26">
        <v>632.3</v>
      </c>
    </row>
    <row r="2531">
      <c r="A2531" s="27">
        <v>45498.0</v>
      </c>
      <c r="B2531" s="26" t="s">
        <v>4800</v>
      </c>
      <c r="C2531" s="26" t="s">
        <v>2574</v>
      </c>
      <c r="D2531" s="26">
        <v>8785260.0</v>
      </c>
      <c r="F2531" s="26" t="s">
        <v>2542</v>
      </c>
      <c r="G2531" s="26">
        <v>331.0</v>
      </c>
    </row>
    <row r="2532">
      <c r="A2532" s="27">
        <v>45498.0</v>
      </c>
      <c r="B2532" s="26" t="s">
        <v>4801</v>
      </c>
      <c r="C2532" s="26" t="s">
        <v>2593</v>
      </c>
      <c r="D2532" s="26">
        <v>5690000.0</v>
      </c>
      <c r="F2532" s="26" t="s">
        <v>2542</v>
      </c>
      <c r="G2532" s="26">
        <v>6423.0</v>
      </c>
    </row>
    <row r="2533">
      <c r="A2533" s="27">
        <v>45497.0</v>
      </c>
      <c r="B2533" s="26" t="s">
        <v>2586</v>
      </c>
      <c r="C2533" s="26" t="s">
        <v>255</v>
      </c>
      <c r="D2533" s="26">
        <v>7484.0</v>
      </c>
      <c r="F2533" s="26" t="s">
        <v>2542</v>
      </c>
    </row>
    <row r="2534">
      <c r="A2534" s="27">
        <v>45497.0</v>
      </c>
      <c r="B2534" s="26" t="s">
        <v>4802</v>
      </c>
      <c r="C2534" s="26" t="s">
        <v>2583</v>
      </c>
      <c r="D2534" s="26">
        <v>84000.0</v>
      </c>
      <c r="F2534" s="26" t="s">
        <v>2542</v>
      </c>
      <c r="G2534" s="26">
        <v>641.24</v>
      </c>
    </row>
    <row r="2535">
      <c r="A2535" s="27">
        <v>45497.0</v>
      </c>
      <c r="B2535" s="26" t="s">
        <v>4803</v>
      </c>
      <c r="C2535" s="26" t="s">
        <v>2561</v>
      </c>
      <c r="D2535" s="26">
        <v>142.0</v>
      </c>
      <c r="F2535" s="26" t="s">
        <v>2542</v>
      </c>
      <c r="G2535" s="26">
        <v>632.2</v>
      </c>
    </row>
    <row r="2536">
      <c r="A2536" s="27">
        <v>45497.0</v>
      </c>
      <c r="B2536" s="26" t="s">
        <v>4804</v>
      </c>
      <c r="C2536" s="26" t="s">
        <v>2593</v>
      </c>
      <c r="D2536" s="26">
        <v>540000.0</v>
      </c>
      <c r="F2536" s="26" t="s">
        <v>2542</v>
      </c>
      <c r="G2536" s="26">
        <v>6423.0</v>
      </c>
    </row>
    <row r="2537">
      <c r="A2537" s="27">
        <v>45497.0</v>
      </c>
      <c r="B2537" s="26" t="s">
        <v>4805</v>
      </c>
      <c r="C2537" s="26" t="s">
        <v>2764</v>
      </c>
      <c r="D2537" s="26">
        <v>1462782.0</v>
      </c>
      <c r="F2537" s="26" t="s">
        <v>2542</v>
      </c>
      <c r="G2537" s="26">
        <v>6273.0</v>
      </c>
    </row>
    <row r="2538">
      <c r="A2538" s="27">
        <v>45497.0</v>
      </c>
      <c r="B2538" s="26" t="s">
        <v>4806</v>
      </c>
      <c r="C2538" s="26" t="s">
        <v>2561</v>
      </c>
      <c r="D2538" s="26" t="s">
        <v>4807</v>
      </c>
      <c r="F2538" s="26" t="s">
        <v>2542</v>
      </c>
      <c r="G2538" s="26">
        <v>632.1</v>
      </c>
    </row>
    <row r="2539">
      <c r="A2539" s="27">
        <v>45497.0</v>
      </c>
      <c r="B2539" s="26" t="s">
        <v>3568</v>
      </c>
      <c r="C2539" s="26" t="s">
        <v>2564</v>
      </c>
      <c r="D2539" s="26">
        <v>242.5</v>
      </c>
      <c r="F2539" s="26" t="s">
        <v>2542</v>
      </c>
      <c r="G2539" s="26">
        <v>3335.0</v>
      </c>
    </row>
    <row r="2540">
      <c r="A2540" s="27">
        <v>45496.0</v>
      </c>
      <c r="B2540" s="26" t="s">
        <v>4808</v>
      </c>
      <c r="C2540" s="26" t="s">
        <v>255</v>
      </c>
      <c r="D2540" s="26">
        <v>3325000.0</v>
      </c>
      <c r="F2540" s="26" t="s">
        <v>2542</v>
      </c>
    </row>
    <row r="2541">
      <c r="A2541" s="27">
        <v>45496.0</v>
      </c>
      <c r="B2541" s="26" t="s">
        <v>4809</v>
      </c>
      <c r="C2541" s="26" t="s">
        <v>255</v>
      </c>
      <c r="D2541" s="26">
        <v>4752000.0</v>
      </c>
      <c r="F2541" s="26" t="s">
        <v>2542</v>
      </c>
    </row>
    <row r="2542">
      <c r="A2542" s="27">
        <v>45496.0</v>
      </c>
      <c r="B2542" s="26" t="s">
        <v>4810</v>
      </c>
      <c r="C2542" s="26" t="s">
        <v>2764</v>
      </c>
      <c r="D2542" s="26">
        <v>2350000.0</v>
      </c>
      <c r="F2542" s="26" t="s">
        <v>2542</v>
      </c>
      <c r="G2542" s="26">
        <v>6273.0</v>
      </c>
    </row>
    <row r="2543">
      <c r="A2543" s="27">
        <v>45496.0</v>
      </c>
      <c r="B2543" s="26" t="s">
        <v>4811</v>
      </c>
      <c r="C2543" s="26" t="s">
        <v>2583</v>
      </c>
      <c r="D2543" s="26">
        <v>4567065.0</v>
      </c>
      <c r="F2543" s="26" t="s">
        <v>2542</v>
      </c>
      <c r="G2543" s="26">
        <v>641.23</v>
      </c>
    </row>
    <row r="2544">
      <c r="A2544" s="27">
        <v>45496.0</v>
      </c>
      <c r="B2544" s="26" t="s">
        <v>4812</v>
      </c>
      <c r="C2544" s="26" t="s">
        <v>2583</v>
      </c>
      <c r="D2544" s="26">
        <v>4876868.0</v>
      </c>
      <c r="F2544" s="26" t="s">
        <v>2542</v>
      </c>
      <c r="G2544" s="26">
        <v>641.23</v>
      </c>
    </row>
    <row r="2545">
      <c r="A2545" s="27">
        <v>45496.0</v>
      </c>
      <c r="B2545" s="26" t="s">
        <v>4813</v>
      </c>
      <c r="C2545" s="26" t="s">
        <v>2545</v>
      </c>
      <c r="D2545" s="26">
        <v>1.016322E7</v>
      </c>
      <c r="F2545" s="26" t="s">
        <v>2542</v>
      </c>
      <c r="G2545" s="26">
        <v>641.25</v>
      </c>
    </row>
    <row r="2546">
      <c r="A2546" s="27">
        <v>45496.0</v>
      </c>
      <c r="B2546" s="26" t="s">
        <v>4814</v>
      </c>
      <c r="C2546" s="26" t="s">
        <v>2564</v>
      </c>
      <c r="D2546" s="26" t="s">
        <v>4815</v>
      </c>
      <c r="F2546" s="26" t="s">
        <v>2542</v>
      </c>
      <c r="G2546" s="26">
        <v>33312.0</v>
      </c>
    </row>
    <row r="2547">
      <c r="A2547" s="27">
        <v>45495.0</v>
      </c>
      <c r="B2547" s="26" t="s">
        <v>4816</v>
      </c>
      <c r="C2547" s="26" t="s">
        <v>2764</v>
      </c>
      <c r="D2547" s="26">
        <v>1.174E7</v>
      </c>
      <c r="F2547" s="26" t="s">
        <v>2542</v>
      </c>
      <c r="G2547" s="26">
        <v>6273.0</v>
      </c>
    </row>
    <row r="2548">
      <c r="A2548" s="27">
        <v>45495.0</v>
      </c>
      <c r="B2548" s="26" t="s">
        <v>4817</v>
      </c>
      <c r="C2548" s="26" t="s">
        <v>2561</v>
      </c>
      <c r="D2548" s="26">
        <v>5600000.0</v>
      </c>
      <c r="F2548" s="26" t="s">
        <v>2542</v>
      </c>
      <c r="G2548" s="26">
        <v>331.0</v>
      </c>
    </row>
    <row r="2549">
      <c r="A2549" s="27">
        <v>45495.0</v>
      </c>
      <c r="B2549" s="26" t="s">
        <v>4818</v>
      </c>
      <c r="C2549" s="26" t="s">
        <v>2561</v>
      </c>
      <c r="D2549" s="26">
        <v>9242210.0</v>
      </c>
      <c r="F2549" s="26" t="s">
        <v>2542</v>
      </c>
      <c r="G2549" s="26">
        <v>331.0</v>
      </c>
    </row>
    <row r="2550">
      <c r="A2550" s="27">
        <v>45495.0</v>
      </c>
      <c r="B2550" s="26" t="s">
        <v>4819</v>
      </c>
      <c r="C2550" s="26" t="s">
        <v>2561</v>
      </c>
      <c r="D2550" s="26">
        <v>7076000.0</v>
      </c>
      <c r="F2550" s="26" t="s">
        <v>2542</v>
      </c>
      <c r="G2550" s="26">
        <v>331.0</v>
      </c>
    </row>
    <row r="2551">
      <c r="A2551" s="27">
        <v>45493.0</v>
      </c>
      <c r="B2551" s="26" t="s">
        <v>4820</v>
      </c>
      <c r="C2551" s="26" t="s">
        <v>255</v>
      </c>
      <c r="D2551" s="26">
        <v>660000.0</v>
      </c>
      <c r="F2551" s="26" t="s">
        <v>2542</v>
      </c>
    </row>
    <row r="2552">
      <c r="A2552" s="27">
        <v>45493.0</v>
      </c>
      <c r="B2552" s="26" t="s">
        <v>4821</v>
      </c>
      <c r="C2552" s="26" t="s">
        <v>2764</v>
      </c>
      <c r="D2552" s="26">
        <v>5500000.0</v>
      </c>
      <c r="F2552" s="26" t="s">
        <v>2542</v>
      </c>
      <c r="G2552" s="26">
        <v>6273.0</v>
      </c>
    </row>
    <row r="2553">
      <c r="A2553" s="27">
        <v>45492.0</v>
      </c>
      <c r="B2553" s="26" t="s">
        <v>3297</v>
      </c>
      <c r="C2553" s="26" t="s">
        <v>255</v>
      </c>
      <c r="D2553" s="26">
        <v>1.374208E7</v>
      </c>
      <c r="F2553" s="26" t="s">
        <v>2542</v>
      </c>
    </row>
    <row r="2554">
      <c r="A2554" s="27">
        <v>45492.0</v>
      </c>
      <c r="B2554" s="26" t="s">
        <v>3248</v>
      </c>
      <c r="C2554" s="26" t="s">
        <v>255</v>
      </c>
      <c r="D2554" s="26">
        <v>1.085568E7</v>
      </c>
      <c r="F2554" s="26" t="s">
        <v>2542</v>
      </c>
    </row>
    <row r="2555">
      <c r="A2555" s="27">
        <v>45492.0</v>
      </c>
      <c r="B2555" s="26" t="s">
        <v>4822</v>
      </c>
      <c r="C2555" s="26" t="s">
        <v>2581</v>
      </c>
      <c r="D2555" s="26">
        <v>1260000.0</v>
      </c>
      <c r="F2555" s="26" t="s">
        <v>2542</v>
      </c>
      <c r="G2555" s="26">
        <v>6422.0</v>
      </c>
    </row>
    <row r="2556">
      <c r="A2556" s="27">
        <v>45491.0</v>
      </c>
      <c r="B2556" s="26" t="s">
        <v>2668</v>
      </c>
      <c r="C2556" s="26" t="s">
        <v>255</v>
      </c>
      <c r="D2556" s="26">
        <v>1188000.0</v>
      </c>
      <c r="F2556" s="26" t="s">
        <v>2542</v>
      </c>
    </row>
    <row r="2557">
      <c r="A2557" s="27">
        <v>45491.0</v>
      </c>
      <c r="B2557" s="26" t="s">
        <v>4823</v>
      </c>
      <c r="C2557" s="26" t="s">
        <v>2655</v>
      </c>
      <c r="D2557" s="26">
        <v>1.408E7</v>
      </c>
      <c r="F2557" s="26" t="s">
        <v>2542</v>
      </c>
      <c r="G2557" s="26">
        <v>3383.0</v>
      </c>
    </row>
    <row r="2558">
      <c r="A2558" s="27">
        <v>45491.0</v>
      </c>
      <c r="B2558" s="26" t="s">
        <v>4824</v>
      </c>
      <c r="C2558" s="26" t="s">
        <v>2561</v>
      </c>
      <c r="D2558" s="26">
        <v>1.296E7</v>
      </c>
      <c r="F2558" s="26" t="s">
        <v>2542</v>
      </c>
      <c r="G2558" s="26">
        <v>331.0</v>
      </c>
    </row>
    <row r="2559">
      <c r="A2559" s="27">
        <v>45491.0</v>
      </c>
      <c r="B2559" s="26" t="s">
        <v>4825</v>
      </c>
      <c r="C2559" s="26" t="s">
        <v>2561</v>
      </c>
      <c r="D2559" s="26">
        <v>1.41167796E8</v>
      </c>
      <c r="F2559" s="26" t="s">
        <v>2542</v>
      </c>
      <c r="G2559" s="26">
        <v>331.0</v>
      </c>
    </row>
    <row r="2560">
      <c r="A2560" s="27">
        <v>45491.0</v>
      </c>
      <c r="B2560" s="26" t="s">
        <v>4826</v>
      </c>
      <c r="C2560" s="26" t="s">
        <v>2563</v>
      </c>
      <c r="D2560" s="26">
        <v>833631.0</v>
      </c>
      <c r="F2560" s="26" t="s">
        <v>2542</v>
      </c>
      <c r="G2560" s="26">
        <v>635.0</v>
      </c>
    </row>
    <row r="2561">
      <c r="A2561" s="27">
        <v>45490.0</v>
      </c>
      <c r="B2561" s="26" t="s">
        <v>3672</v>
      </c>
      <c r="C2561" s="26" t="s">
        <v>255</v>
      </c>
      <c r="D2561" s="26">
        <v>1.0E8</v>
      </c>
      <c r="F2561" s="26" t="s">
        <v>2542</v>
      </c>
    </row>
    <row r="2562">
      <c r="A2562" s="27">
        <v>45490.0</v>
      </c>
      <c r="B2562" s="26" t="s">
        <v>3672</v>
      </c>
      <c r="C2562" s="28"/>
      <c r="D2562" s="26">
        <v>1.0E8</v>
      </c>
      <c r="F2562" s="26" t="s">
        <v>2542</v>
      </c>
    </row>
    <row r="2563">
      <c r="A2563" s="27">
        <v>45489.0</v>
      </c>
      <c r="B2563" s="26" t="s">
        <v>4221</v>
      </c>
      <c r="C2563" s="26" t="s">
        <v>2887</v>
      </c>
      <c r="D2563" s="26" t="s">
        <v>4222</v>
      </c>
      <c r="F2563" s="26" t="s">
        <v>2542</v>
      </c>
    </row>
    <row r="2564">
      <c r="A2564" s="27">
        <v>45489.0</v>
      </c>
      <c r="B2564" s="26" t="s">
        <v>4221</v>
      </c>
      <c r="C2564" s="28"/>
      <c r="D2564" s="26">
        <v>8000000.0</v>
      </c>
      <c r="F2564" s="26" t="s">
        <v>2542</v>
      </c>
    </row>
    <row r="2565">
      <c r="A2565" s="27">
        <v>45489.0</v>
      </c>
      <c r="B2565" s="26" t="s">
        <v>3999</v>
      </c>
      <c r="C2565" s="26" t="s">
        <v>2561</v>
      </c>
      <c r="D2565" s="26">
        <v>8100000.0</v>
      </c>
      <c r="F2565" s="26" t="s">
        <v>2542</v>
      </c>
      <c r="G2565" s="26">
        <v>331.0</v>
      </c>
    </row>
    <row r="2566">
      <c r="A2566" s="27">
        <v>45489.0</v>
      </c>
      <c r="B2566" s="26" t="s">
        <v>4827</v>
      </c>
      <c r="C2566" s="26" t="s">
        <v>2563</v>
      </c>
      <c r="D2566" s="26">
        <v>1760390.0</v>
      </c>
      <c r="F2566" s="26" t="s">
        <v>2542</v>
      </c>
      <c r="G2566" s="26">
        <v>6428.0</v>
      </c>
    </row>
    <row r="2567">
      <c r="A2567" s="27">
        <v>45488.0</v>
      </c>
      <c r="B2567" s="26" t="s">
        <v>3293</v>
      </c>
      <c r="C2567" s="26" t="s">
        <v>255</v>
      </c>
      <c r="D2567" s="26">
        <v>6368750.0</v>
      </c>
      <c r="F2567" s="26" t="s">
        <v>2542</v>
      </c>
    </row>
    <row r="2568">
      <c r="A2568" s="27">
        <v>45488.0</v>
      </c>
      <c r="B2568" s="26" t="s">
        <v>4828</v>
      </c>
      <c r="C2568" s="26" t="s">
        <v>255</v>
      </c>
      <c r="D2568" s="26">
        <v>3325000.0</v>
      </c>
      <c r="F2568" s="26" t="s">
        <v>2542</v>
      </c>
    </row>
    <row r="2569">
      <c r="A2569" s="27">
        <v>45488.0</v>
      </c>
      <c r="B2569" s="26" t="s">
        <v>4829</v>
      </c>
      <c r="C2569" s="26" t="s">
        <v>255</v>
      </c>
      <c r="D2569" s="26">
        <v>2400000.0</v>
      </c>
      <c r="F2569" s="26" t="s">
        <v>2542</v>
      </c>
    </row>
    <row r="2570">
      <c r="A2570" s="27">
        <v>45488.0</v>
      </c>
      <c r="B2570" s="26" t="s">
        <v>4830</v>
      </c>
      <c r="C2570" s="26" t="s">
        <v>255</v>
      </c>
      <c r="D2570" s="26">
        <v>3480000.0</v>
      </c>
      <c r="F2570" s="26" t="s">
        <v>2542</v>
      </c>
    </row>
    <row r="2571">
      <c r="A2571" s="27">
        <v>45488.0</v>
      </c>
      <c r="B2571" s="26" t="s">
        <v>4831</v>
      </c>
      <c r="C2571" s="26" t="s">
        <v>255</v>
      </c>
      <c r="D2571" s="26">
        <v>1.0E7</v>
      </c>
      <c r="F2571" s="26" t="s">
        <v>2542</v>
      </c>
    </row>
    <row r="2572">
      <c r="A2572" s="27">
        <v>45488.0</v>
      </c>
      <c r="B2572" s="26" t="s">
        <v>4832</v>
      </c>
      <c r="C2572" s="26" t="s">
        <v>2545</v>
      </c>
      <c r="D2572" s="26">
        <v>1.2E7</v>
      </c>
      <c r="F2572" s="26" t="s">
        <v>2542</v>
      </c>
      <c r="G2572" s="26">
        <v>3341.0</v>
      </c>
    </row>
    <row r="2573">
      <c r="A2573" s="27">
        <v>45488.0</v>
      </c>
      <c r="B2573" s="26" t="s">
        <v>4833</v>
      </c>
      <c r="C2573" s="26" t="s">
        <v>2545</v>
      </c>
      <c r="D2573" s="26">
        <v>3000000.0</v>
      </c>
      <c r="F2573" s="26" t="s">
        <v>2542</v>
      </c>
      <c r="G2573" s="26">
        <v>3341.0</v>
      </c>
    </row>
    <row r="2574">
      <c r="A2574" s="27">
        <v>45488.0</v>
      </c>
      <c r="B2574" s="26" t="s">
        <v>3444</v>
      </c>
      <c r="C2574" s="26" t="s">
        <v>2564</v>
      </c>
      <c r="D2574" s="26" t="s">
        <v>4834</v>
      </c>
      <c r="F2574" s="26" t="s">
        <v>2542</v>
      </c>
      <c r="G2574" s="26">
        <v>3332.0</v>
      </c>
    </row>
    <row r="2575">
      <c r="A2575" s="27">
        <v>45487.0</v>
      </c>
      <c r="B2575" s="26" t="s">
        <v>4835</v>
      </c>
      <c r="C2575" s="26" t="s">
        <v>255</v>
      </c>
      <c r="D2575" s="26">
        <v>130000.0</v>
      </c>
      <c r="F2575" s="26" t="s">
        <v>2542</v>
      </c>
    </row>
    <row r="2576">
      <c r="A2576" s="27">
        <v>45486.0</v>
      </c>
      <c r="B2576" s="26" t="s">
        <v>3247</v>
      </c>
      <c r="C2576" s="26" t="s">
        <v>255</v>
      </c>
      <c r="D2576" s="26">
        <v>7893600.0</v>
      </c>
      <c r="F2576" s="26" t="s">
        <v>2542</v>
      </c>
    </row>
    <row r="2577">
      <c r="A2577" s="27">
        <v>45485.0</v>
      </c>
      <c r="B2577" s="26" t="s">
        <v>4836</v>
      </c>
      <c r="C2577" s="26" t="s">
        <v>255</v>
      </c>
      <c r="D2577" s="26">
        <v>1069200.0</v>
      </c>
      <c r="F2577" s="26" t="s">
        <v>2542</v>
      </c>
    </row>
    <row r="2578">
      <c r="A2578" s="27">
        <v>45485.0</v>
      </c>
      <c r="B2578" s="26" t="s">
        <v>4837</v>
      </c>
      <c r="C2578" s="26" t="s">
        <v>2561</v>
      </c>
      <c r="D2578" s="26">
        <v>1.83469E7</v>
      </c>
      <c r="F2578" s="26" t="s">
        <v>2542</v>
      </c>
      <c r="G2578" s="26">
        <v>331.0</v>
      </c>
    </row>
    <row r="2579">
      <c r="A2579" s="27">
        <v>45485.0</v>
      </c>
      <c r="B2579" s="26" t="s">
        <v>4838</v>
      </c>
      <c r="C2579" s="26" t="s">
        <v>2571</v>
      </c>
      <c r="D2579" s="26">
        <v>129000.0</v>
      </c>
      <c r="F2579" s="26" t="s">
        <v>2542</v>
      </c>
      <c r="G2579" s="26">
        <v>641.22</v>
      </c>
    </row>
    <row r="2580">
      <c r="A2580" s="27">
        <v>45484.0</v>
      </c>
      <c r="B2580" s="26" t="s">
        <v>3308</v>
      </c>
      <c r="C2580" s="26" t="s">
        <v>255</v>
      </c>
      <c r="D2580" s="26">
        <v>2640000.0</v>
      </c>
      <c r="F2580" s="26" t="s">
        <v>2542</v>
      </c>
    </row>
    <row r="2581">
      <c r="A2581" s="27">
        <v>45484.0</v>
      </c>
      <c r="B2581" s="26" t="s">
        <v>4839</v>
      </c>
      <c r="C2581" s="26" t="s">
        <v>255</v>
      </c>
      <c r="D2581" s="26">
        <v>1080000.0</v>
      </c>
      <c r="F2581" s="26" t="s">
        <v>2542</v>
      </c>
    </row>
    <row r="2582">
      <c r="A2582" s="27">
        <v>45484.0</v>
      </c>
      <c r="B2582" s="26" t="s">
        <v>4840</v>
      </c>
      <c r="C2582" s="26" t="s">
        <v>255</v>
      </c>
      <c r="D2582" s="26">
        <v>2960000.0</v>
      </c>
      <c r="F2582" s="26" t="s">
        <v>2542</v>
      </c>
    </row>
    <row r="2583">
      <c r="A2583" s="27">
        <v>45484.0</v>
      </c>
      <c r="B2583" s="26" t="s">
        <v>4841</v>
      </c>
      <c r="C2583" s="26" t="s">
        <v>255</v>
      </c>
      <c r="D2583" s="26">
        <v>1080000.0</v>
      </c>
      <c r="F2583" s="26" t="s">
        <v>2542</v>
      </c>
    </row>
    <row r="2584">
      <c r="A2584" s="27">
        <v>45484.0</v>
      </c>
      <c r="B2584" s="26" t="s">
        <v>2961</v>
      </c>
      <c r="C2584" s="26" t="s">
        <v>2545</v>
      </c>
      <c r="D2584" s="26">
        <v>5000000.0</v>
      </c>
      <c r="F2584" s="26" t="s">
        <v>2542</v>
      </c>
      <c r="G2584" s="26">
        <v>3341.0</v>
      </c>
    </row>
    <row r="2585">
      <c r="A2585" s="27">
        <v>45484.0</v>
      </c>
      <c r="B2585" s="26" t="s">
        <v>4842</v>
      </c>
      <c r="C2585" s="26" t="s">
        <v>2561</v>
      </c>
      <c r="D2585" s="26">
        <v>1.03023E7</v>
      </c>
      <c r="F2585" s="26" t="s">
        <v>2542</v>
      </c>
      <c r="G2585" s="26">
        <v>331.0</v>
      </c>
    </row>
    <row r="2586">
      <c r="A2586" s="27">
        <v>45484.0</v>
      </c>
      <c r="B2586" s="26" t="s">
        <v>4843</v>
      </c>
      <c r="C2586" s="26" t="s">
        <v>2593</v>
      </c>
      <c r="D2586" s="26">
        <v>1209600.0</v>
      </c>
      <c r="F2586" s="26" t="s">
        <v>2542</v>
      </c>
      <c r="G2586" s="26">
        <v>6423.0</v>
      </c>
    </row>
    <row r="2587">
      <c r="A2587" s="27">
        <v>45483.0</v>
      </c>
      <c r="B2587" s="26" t="s">
        <v>3268</v>
      </c>
      <c r="C2587" s="26" t="s">
        <v>255</v>
      </c>
      <c r="D2587" s="26">
        <v>3060000.0</v>
      </c>
      <c r="F2587" s="26" t="s">
        <v>2542</v>
      </c>
    </row>
    <row r="2588">
      <c r="A2588" s="27">
        <v>45483.0</v>
      </c>
      <c r="B2588" s="26" t="s">
        <v>3324</v>
      </c>
      <c r="C2588" s="26" t="s">
        <v>255</v>
      </c>
      <c r="D2588" s="26">
        <v>3460000.0</v>
      </c>
      <c r="F2588" s="26" t="s">
        <v>2542</v>
      </c>
    </row>
    <row r="2589">
      <c r="A2589" s="27">
        <v>45483.0</v>
      </c>
      <c r="B2589" s="26" t="s">
        <v>4844</v>
      </c>
      <c r="C2589" s="26" t="s">
        <v>255</v>
      </c>
      <c r="D2589" s="26">
        <v>800000.0</v>
      </c>
      <c r="F2589" s="26" t="s">
        <v>2542</v>
      </c>
    </row>
    <row r="2590">
      <c r="A2590" s="27">
        <v>45482.0</v>
      </c>
      <c r="B2590" s="26" t="s">
        <v>3517</v>
      </c>
      <c r="C2590" s="26" t="s">
        <v>255</v>
      </c>
      <c r="D2590" s="26">
        <v>3.6E8</v>
      </c>
      <c r="F2590" s="26" t="s">
        <v>2542</v>
      </c>
    </row>
    <row r="2591">
      <c r="A2591" s="27">
        <v>45482.0</v>
      </c>
      <c r="B2591" s="26" t="s">
        <v>4845</v>
      </c>
      <c r="C2591" s="26" t="s">
        <v>2887</v>
      </c>
      <c r="D2591" s="26" t="s">
        <v>4846</v>
      </c>
      <c r="F2591" s="26" t="s">
        <v>2542</v>
      </c>
    </row>
    <row r="2592">
      <c r="A2592" s="27">
        <v>45482.0</v>
      </c>
      <c r="B2592" s="26" t="s">
        <v>3517</v>
      </c>
      <c r="C2592" s="28"/>
      <c r="D2592" s="26">
        <v>3.6E8</v>
      </c>
      <c r="F2592" s="26" t="s">
        <v>2542</v>
      </c>
    </row>
    <row r="2593">
      <c r="A2593" s="27">
        <v>45482.0</v>
      </c>
      <c r="B2593" s="26" t="s">
        <v>4847</v>
      </c>
      <c r="C2593" s="26" t="s">
        <v>2764</v>
      </c>
      <c r="D2593" s="26">
        <v>1000000.0</v>
      </c>
      <c r="F2593" s="26" t="s">
        <v>2542</v>
      </c>
      <c r="G2593" s="26">
        <v>6273.0</v>
      </c>
    </row>
    <row r="2594">
      <c r="A2594" s="27">
        <v>45482.0</v>
      </c>
      <c r="B2594" s="26" t="s">
        <v>4848</v>
      </c>
      <c r="C2594" s="26" t="s">
        <v>2561</v>
      </c>
      <c r="D2594" s="26">
        <v>2.0142188E7</v>
      </c>
      <c r="F2594" s="26" t="s">
        <v>2542</v>
      </c>
      <c r="G2594" s="26">
        <v>331.0</v>
      </c>
    </row>
    <row r="2595">
      <c r="A2595" s="27">
        <v>45482.0</v>
      </c>
      <c r="B2595" s="26" t="s">
        <v>4849</v>
      </c>
      <c r="C2595" s="26" t="s">
        <v>2561</v>
      </c>
      <c r="D2595" s="26">
        <v>2.17388358E8</v>
      </c>
      <c r="F2595" s="26" t="s">
        <v>2542</v>
      </c>
      <c r="G2595" s="26">
        <v>331.0</v>
      </c>
    </row>
    <row r="2596">
      <c r="A2596" s="27">
        <v>45482.0</v>
      </c>
      <c r="B2596" s="26" t="s">
        <v>4850</v>
      </c>
      <c r="C2596" s="26" t="s">
        <v>2571</v>
      </c>
      <c r="D2596" s="26">
        <v>1610000.0</v>
      </c>
      <c r="F2596" s="26" t="s">
        <v>2542</v>
      </c>
      <c r="G2596" s="26">
        <v>641.16</v>
      </c>
    </row>
    <row r="2597">
      <c r="A2597" s="27">
        <v>45482.0</v>
      </c>
      <c r="B2597" s="26" t="s">
        <v>4851</v>
      </c>
      <c r="C2597" s="26" t="s">
        <v>2571</v>
      </c>
      <c r="D2597" s="26">
        <v>2290000.0</v>
      </c>
      <c r="F2597" s="26" t="s">
        <v>2542</v>
      </c>
      <c r="G2597" s="26">
        <v>641.16</v>
      </c>
    </row>
    <row r="2598">
      <c r="A2598" s="27">
        <v>45482.0</v>
      </c>
      <c r="B2598" s="26" t="s">
        <v>4852</v>
      </c>
      <c r="C2598" s="26" t="s">
        <v>2561</v>
      </c>
      <c r="D2598" s="26">
        <v>5171688.0</v>
      </c>
      <c r="F2598" s="26" t="s">
        <v>2542</v>
      </c>
      <c r="G2598" s="26">
        <v>331.0</v>
      </c>
    </row>
    <row r="2599">
      <c r="A2599" s="27">
        <v>45481.0</v>
      </c>
      <c r="B2599" s="26" t="s">
        <v>3517</v>
      </c>
      <c r="C2599" s="26" t="s">
        <v>255</v>
      </c>
      <c r="D2599" s="26">
        <v>3.0E7</v>
      </c>
      <c r="F2599" s="26" t="s">
        <v>2542</v>
      </c>
    </row>
    <row r="2600">
      <c r="A2600" s="27">
        <v>45481.0</v>
      </c>
      <c r="B2600" s="26" t="s">
        <v>3865</v>
      </c>
      <c r="C2600" s="26" t="s">
        <v>255</v>
      </c>
      <c r="D2600" s="26">
        <v>3.6E8</v>
      </c>
      <c r="F2600" s="26" t="s">
        <v>2542</v>
      </c>
    </row>
    <row r="2601">
      <c r="A2601" s="27">
        <v>45481.0</v>
      </c>
      <c r="B2601" s="26" t="s">
        <v>4853</v>
      </c>
      <c r="C2601" s="26" t="s">
        <v>255</v>
      </c>
      <c r="D2601" s="26">
        <v>1320000.0</v>
      </c>
      <c r="F2601" s="26" t="s">
        <v>2542</v>
      </c>
    </row>
    <row r="2602">
      <c r="A2602" s="27">
        <v>45481.0</v>
      </c>
      <c r="B2602" s="26" t="s">
        <v>3517</v>
      </c>
      <c r="C2602" s="28"/>
      <c r="D2602" s="26">
        <v>3.0E7</v>
      </c>
      <c r="F2602" s="26" t="s">
        <v>2542</v>
      </c>
    </row>
    <row r="2603">
      <c r="A2603" s="27">
        <v>45481.0</v>
      </c>
      <c r="B2603" s="26" t="s">
        <v>3865</v>
      </c>
      <c r="C2603" s="28"/>
      <c r="D2603" s="26">
        <v>3.6E8</v>
      </c>
      <c r="F2603" s="26" t="s">
        <v>2542</v>
      </c>
    </row>
    <row r="2604">
      <c r="A2604" s="27">
        <v>45481.0</v>
      </c>
      <c r="B2604" s="26" t="s">
        <v>4854</v>
      </c>
      <c r="C2604" s="26" t="s">
        <v>2545</v>
      </c>
      <c r="D2604" s="26">
        <v>1.2E7</v>
      </c>
      <c r="F2604" s="26" t="s">
        <v>2542</v>
      </c>
      <c r="G2604" s="26">
        <v>3341.0</v>
      </c>
    </row>
    <row r="2605">
      <c r="A2605" s="27">
        <v>45481.0</v>
      </c>
      <c r="B2605" s="26" t="s">
        <v>4855</v>
      </c>
      <c r="C2605" s="26" t="s">
        <v>2583</v>
      </c>
      <c r="D2605" s="26">
        <v>330000.0</v>
      </c>
      <c r="F2605" s="26" t="s">
        <v>2542</v>
      </c>
      <c r="G2605" s="26">
        <v>641.23</v>
      </c>
    </row>
    <row r="2606">
      <c r="A2606" s="27">
        <v>45480.0</v>
      </c>
      <c r="B2606" s="26" t="s">
        <v>4856</v>
      </c>
      <c r="C2606" s="26" t="s">
        <v>255</v>
      </c>
      <c r="D2606" s="26">
        <v>1080000.0</v>
      </c>
      <c r="F2606" s="26" t="s">
        <v>2542</v>
      </c>
    </row>
    <row r="2607">
      <c r="A2607" s="27">
        <v>45480.0</v>
      </c>
      <c r="B2607" s="26" t="s">
        <v>4857</v>
      </c>
      <c r="C2607" s="26" t="s">
        <v>255</v>
      </c>
      <c r="D2607" s="26">
        <v>3043000.0</v>
      </c>
      <c r="F2607" s="26" t="s">
        <v>2542</v>
      </c>
    </row>
    <row r="2608">
      <c r="A2608" s="27">
        <v>45480.0</v>
      </c>
      <c r="B2608" s="26" t="s">
        <v>4858</v>
      </c>
      <c r="C2608" s="26" t="s">
        <v>255</v>
      </c>
      <c r="D2608" s="26">
        <v>1080000.0</v>
      </c>
      <c r="F2608" s="26" t="s">
        <v>2542</v>
      </c>
    </row>
    <row r="2609">
      <c r="A2609" s="27">
        <v>45480.0</v>
      </c>
      <c r="B2609" s="26" t="s">
        <v>4859</v>
      </c>
      <c r="C2609" s="26" t="s">
        <v>255</v>
      </c>
      <c r="D2609" s="26">
        <v>1080000.0</v>
      </c>
      <c r="F2609" s="26" t="s">
        <v>2542</v>
      </c>
    </row>
    <row r="2610">
      <c r="A2610" s="27">
        <v>45480.0</v>
      </c>
      <c r="B2610" s="26" t="s">
        <v>4860</v>
      </c>
      <c r="C2610" s="26" t="s">
        <v>255</v>
      </c>
      <c r="D2610" s="26">
        <v>6086000.0</v>
      </c>
      <c r="F2610" s="26" t="s">
        <v>2542</v>
      </c>
    </row>
    <row r="2611">
      <c r="A2611" s="27">
        <v>45480.0</v>
      </c>
      <c r="B2611" s="26" t="s">
        <v>4861</v>
      </c>
      <c r="C2611" s="26" t="s">
        <v>255</v>
      </c>
      <c r="D2611" s="26">
        <v>1080000.0</v>
      </c>
      <c r="F2611" s="26" t="s">
        <v>2542</v>
      </c>
    </row>
    <row r="2612">
      <c r="A2612" s="27">
        <v>45480.0</v>
      </c>
      <c r="B2612" s="26" t="s">
        <v>4862</v>
      </c>
      <c r="C2612" s="26" t="s">
        <v>255</v>
      </c>
      <c r="D2612" s="26">
        <v>2960000.0</v>
      </c>
      <c r="F2612" s="26" t="s">
        <v>2542</v>
      </c>
    </row>
    <row r="2613">
      <c r="A2613" s="27">
        <v>45480.0</v>
      </c>
      <c r="B2613" s="26" t="s">
        <v>4863</v>
      </c>
      <c r="C2613" s="26" t="s">
        <v>2583</v>
      </c>
      <c r="D2613" s="26">
        <v>1722000.0</v>
      </c>
      <c r="F2613" s="26" t="s">
        <v>2542</v>
      </c>
      <c r="G2613" s="26">
        <v>641.13</v>
      </c>
    </row>
    <row r="2614">
      <c r="A2614" s="27">
        <v>45479.0</v>
      </c>
      <c r="B2614" s="26" t="s">
        <v>3312</v>
      </c>
      <c r="C2614" s="26" t="s">
        <v>255</v>
      </c>
      <c r="D2614" s="26">
        <v>6240000.0</v>
      </c>
      <c r="F2614" s="26" t="s">
        <v>2542</v>
      </c>
    </row>
    <row r="2615">
      <c r="A2615" s="27">
        <v>45479.0</v>
      </c>
      <c r="B2615" s="26" t="s">
        <v>3362</v>
      </c>
      <c r="C2615" s="26" t="s">
        <v>255</v>
      </c>
      <c r="D2615" s="26">
        <v>2.421408E7</v>
      </c>
      <c r="F2615" s="26" t="s">
        <v>2542</v>
      </c>
    </row>
    <row r="2616">
      <c r="A2616" s="27">
        <v>45478.0</v>
      </c>
      <c r="B2616" s="26" t="s">
        <v>2745</v>
      </c>
      <c r="C2616" s="26" t="s">
        <v>255</v>
      </c>
      <c r="D2616" s="26">
        <v>1.0E7</v>
      </c>
      <c r="F2616" s="26" t="s">
        <v>2542</v>
      </c>
    </row>
    <row r="2617">
      <c r="A2617" s="27">
        <v>45478.0</v>
      </c>
      <c r="B2617" s="26" t="s">
        <v>3378</v>
      </c>
      <c r="C2617" s="26" t="s">
        <v>255</v>
      </c>
      <c r="D2617" s="26">
        <v>1.0003E7</v>
      </c>
      <c r="F2617" s="26" t="s">
        <v>2542</v>
      </c>
    </row>
    <row r="2618">
      <c r="A2618" s="27">
        <v>45478.0</v>
      </c>
      <c r="B2618" s="26" t="s">
        <v>4864</v>
      </c>
      <c r="C2618" s="26" t="s">
        <v>255</v>
      </c>
      <c r="D2618" s="26">
        <v>1450000.0</v>
      </c>
      <c r="F2618" s="26" t="s">
        <v>2542</v>
      </c>
    </row>
    <row r="2619">
      <c r="A2619" s="27">
        <v>45477.0</v>
      </c>
      <c r="B2619" s="26" t="s">
        <v>3327</v>
      </c>
      <c r="C2619" s="26" t="s">
        <v>255</v>
      </c>
      <c r="D2619" s="26">
        <v>1.051E7</v>
      </c>
      <c r="F2619" s="26" t="s">
        <v>2542</v>
      </c>
    </row>
    <row r="2620">
      <c r="A2620" s="27">
        <v>45477.0</v>
      </c>
      <c r="B2620" s="26" t="s">
        <v>4865</v>
      </c>
      <c r="C2620" s="26" t="s">
        <v>255</v>
      </c>
      <c r="D2620" s="26">
        <v>1080000.0</v>
      </c>
      <c r="F2620" s="26" t="s">
        <v>2542</v>
      </c>
    </row>
    <row r="2621">
      <c r="A2621" s="27">
        <v>45477.0</v>
      </c>
      <c r="B2621" s="26" t="s">
        <v>4866</v>
      </c>
      <c r="C2621" s="26" t="s">
        <v>255</v>
      </c>
      <c r="D2621" s="26">
        <v>1080000.0</v>
      </c>
      <c r="F2621" s="26" t="s">
        <v>2542</v>
      </c>
    </row>
    <row r="2622">
      <c r="A2622" s="27">
        <v>45477.0</v>
      </c>
      <c r="B2622" s="26" t="s">
        <v>4867</v>
      </c>
      <c r="C2622" s="26" t="s">
        <v>255</v>
      </c>
      <c r="D2622" s="26">
        <v>2160000.0</v>
      </c>
      <c r="F2622" s="26" t="s">
        <v>2542</v>
      </c>
    </row>
    <row r="2623">
      <c r="A2623" s="27">
        <v>45477.0</v>
      </c>
      <c r="B2623" s="26" t="s">
        <v>4868</v>
      </c>
      <c r="C2623" s="26" t="s">
        <v>255</v>
      </c>
      <c r="D2623" s="26">
        <v>1069200.0</v>
      </c>
      <c r="F2623" s="26" t="s">
        <v>2542</v>
      </c>
    </row>
    <row r="2624">
      <c r="A2624" s="27">
        <v>45477.0</v>
      </c>
      <c r="B2624" s="26" t="s">
        <v>4869</v>
      </c>
      <c r="C2624" s="26" t="s">
        <v>2583</v>
      </c>
      <c r="D2624" s="26">
        <v>600000.0</v>
      </c>
      <c r="F2624" s="26" t="s">
        <v>2542</v>
      </c>
      <c r="G2624" s="26">
        <v>641.23</v>
      </c>
    </row>
    <row r="2625">
      <c r="A2625" s="27">
        <v>45477.0</v>
      </c>
      <c r="B2625" s="26" t="s">
        <v>4870</v>
      </c>
      <c r="C2625" s="26" t="s">
        <v>2571</v>
      </c>
      <c r="D2625" s="26">
        <v>329590.0</v>
      </c>
      <c r="F2625" s="26" t="s">
        <v>2542</v>
      </c>
      <c r="G2625" s="26">
        <v>641.36</v>
      </c>
    </row>
    <row r="2626">
      <c r="A2626" s="27">
        <v>45476.0</v>
      </c>
      <c r="B2626" s="26" t="s">
        <v>4871</v>
      </c>
      <c r="C2626" s="26" t="s">
        <v>255</v>
      </c>
      <c r="D2626" s="26">
        <v>9520000.0</v>
      </c>
      <c r="F2626" s="26" t="s">
        <v>2542</v>
      </c>
    </row>
    <row r="2627">
      <c r="A2627" s="27">
        <v>45476.0</v>
      </c>
      <c r="B2627" s="26" t="s">
        <v>4872</v>
      </c>
      <c r="C2627" s="26" t="s">
        <v>2561</v>
      </c>
      <c r="D2627" s="26">
        <v>1.1E7</v>
      </c>
      <c r="F2627" s="26" t="s">
        <v>2542</v>
      </c>
      <c r="G2627" s="26">
        <v>331.0</v>
      </c>
    </row>
    <row r="2628">
      <c r="A2628" s="27">
        <v>45476.0</v>
      </c>
      <c r="B2628" s="26" t="s">
        <v>4873</v>
      </c>
      <c r="C2628" s="26" t="s">
        <v>2545</v>
      </c>
      <c r="D2628" s="26">
        <v>1.04E7</v>
      </c>
      <c r="F2628" s="26" t="s">
        <v>2542</v>
      </c>
      <c r="G2628" s="26">
        <v>3341.0</v>
      </c>
    </row>
    <row r="2629">
      <c r="A2629" s="27">
        <v>45475.0</v>
      </c>
      <c r="B2629" s="26" t="s">
        <v>3517</v>
      </c>
      <c r="C2629" s="26" t="s">
        <v>255</v>
      </c>
      <c r="D2629" s="26">
        <v>2.0E7</v>
      </c>
      <c r="F2629" s="26" t="s">
        <v>2542</v>
      </c>
    </row>
    <row r="2630">
      <c r="A2630" s="27">
        <v>45475.0</v>
      </c>
      <c r="B2630" s="26" t="s">
        <v>4874</v>
      </c>
      <c r="C2630" s="26" t="s">
        <v>255</v>
      </c>
      <c r="D2630" s="26">
        <v>7172000.0</v>
      </c>
      <c r="F2630" s="26" t="s">
        <v>2542</v>
      </c>
    </row>
    <row r="2631">
      <c r="A2631" s="27">
        <v>45475.0</v>
      </c>
      <c r="B2631" s="26" t="s">
        <v>4875</v>
      </c>
      <c r="C2631" s="26" t="s">
        <v>255</v>
      </c>
      <c r="D2631" s="26">
        <v>1230000.0</v>
      </c>
      <c r="F2631" s="26" t="s">
        <v>2542</v>
      </c>
    </row>
    <row r="2632">
      <c r="A2632" s="27">
        <v>45475.0</v>
      </c>
      <c r="B2632" s="26" t="s">
        <v>4876</v>
      </c>
      <c r="C2632" s="26" t="s">
        <v>255</v>
      </c>
      <c r="D2632" s="26">
        <v>4320000.0</v>
      </c>
      <c r="F2632" s="26" t="s">
        <v>2542</v>
      </c>
    </row>
    <row r="2633">
      <c r="A2633" s="27">
        <v>45475.0</v>
      </c>
      <c r="B2633" s="26" t="s">
        <v>4877</v>
      </c>
      <c r="C2633" s="26" t="s">
        <v>255</v>
      </c>
      <c r="D2633" s="26">
        <v>3190000.0</v>
      </c>
      <c r="F2633" s="26" t="s">
        <v>2542</v>
      </c>
    </row>
    <row r="2634">
      <c r="A2634" s="27">
        <v>45475.0</v>
      </c>
      <c r="B2634" s="26" t="s">
        <v>3356</v>
      </c>
      <c r="C2634" s="26" t="s">
        <v>255</v>
      </c>
      <c r="D2634" s="26">
        <v>9840000.0</v>
      </c>
      <c r="F2634" s="26" t="s">
        <v>2542</v>
      </c>
    </row>
    <row r="2635">
      <c r="A2635" s="27">
        <v>45475.0</v>
      </c>
      <c r="B2635" s="26" t="s">
        <v>4878</v>
      </c>
      <c r="C2635" s="26" t="s">
        <v>255</v>
      </c>
      <c r="D2635" s="26">
        <v>2620000.0</v>
      </c>
      <c r="F2635" s="26" t="s">
        <v>2542</v>
      </c>
    </row>
    <row r="2636">
      <c r="A2636" s="27">
        <v>45475.0</v>
      </c>
      <c r="B2636" s="26" t="s">
        <v>3353</v>
      </c>
      <c r="C2636" s="26" t="s">
        <v>255</v>
      </c>
      <c r="D2636" s="26">
        <v>4570000.0</v>
      </c>
      <c r="F2636" s="26" t="s">
        <v>2542</v>
      </c>
    </row>
    <row r="2637">
      <c r="A2637" s="27">
        <v>45475.0</v>
      </c>
      <c r="B2637" s="26" t="s">
        <v>4879</v>
      </c>
      <c r="C2637" s="26" t="s">
        <v>255</v>
      </c>
      <c r="D2637" s="26">
        <v>1080000.0</v>
      </c>
      <c r="F2637" s="26" t="s">
        <v>2542</v>
      </c>
    </row>
    <row r="2638">
      <c r="A2638" s="27">
        <v>45475.0</v>
      </c>
      <c r="B2638" s="26" t="s">
        <v>4880</v>
      </c>
      <c r="C2638" s="26" t="s">
        <v>255</v>
      </c>
      <c r="D2638" s="26">
        <v>2618000.0</v>
      </c>
      <c r="F2638" s="26" t="s">
        <v>2542</v>
      </c>
    </row>
    <row r="2639">
      <c r="A2639" s="27">
        <v>45475.0</v>
      </c>
      <c r="B2639" s="26" t="s">
        <v>3517</v>
      </c>
      <c r="C2639" s="28"/>
      <c r="D2639" s="26">
        <v>2.0E7</v>
      </c>
      <c r="F2639" s="26" t="s">
        <v>2542</v>
      </c>
    </row>
    <row r="2640">
      <c r="A2640" s="27">
        <v>45475.0</v>
      </c>
      <c r="B2640" s="26" t="s">
        <v>4881</v>
      </c>
      <c r="C2640" s="26" t="s">
        <v>2583</v>
      </c>
      <c r="D2640" s="26">
        <v>2191433.0</v>
      </c>
      <c r="F2640" s="26" t="s">
        <v>2542</v>
      </c>
      <c r="G2640" s="26">
        <v>641.23</v>
      </c>
    </row>
    <row r="2641">
      <c r="A2641" s="27">
        <v>45475.0</v>
      </c>
      <c r="B2641" s="26" t="s">
        <v>4882</v>
      </c>
      <c r="C2641" s="26" t="s">
        <v>2545</v>
      </c>
      <c r="D2641" s="26">
        <v>7000000.0</v>
      </c>
      <c r="F2641" s="26" t="s">
        <v>2542</v>
      </c>
      <c r="G2641" s="26">
        <v>3341.0</v>
      </c>
    </row>
    <row r="2642">
      <c r="A2642" s="27">
        <v>45475.0</v>
      </c>
      <c r="B2642" s="26" t="s">
        <v>4883</v>
      </c>
      <c r="C2642" s="26" t="s">
        <v>2545</v>
      </c>
      <c r="D2642" s="26">
        <v>9065390.0</v>
      </c>
      <c r="F2642" s="26" t="s">
        <v>2542</v>
      </c>
      <c r="G2642" s="26">
        <v>3341.0</v>
      </c>
    </row>
    <row r="2643">
      <c r="A2643" s="27">
        <v>45475.0</v>
      </c>
      <c r="B2643" s="26" t="s">
        <v>4884</v>
      </c>
      <c r="C2643" s="26" t="s">
        <v>2581</v>
      </c>
      <c r="D2643" s="26">
        <v>2.4393096E7</v>
      </c>
      <c r="F2643" s="26" t="s">
        <v>2542</v>
      </c>
      <c r="G2643" s="26">
        <v>6422.0</v>
      </c>
    </row>
    <row r="2644">
      <c r="A2644" s="27">
        <v>45474.0</v>
      </c>
      <c r="B2644" s="26" t="s">
        <v>4885</v>
      </c>
      <c r="C2644" s="26" t="s">
        <v>255</v>
      </c>
      <c r="D2644" s="26">
        <v>8916200.0</v>
      </c>
      <c r="F2644" s="26" t="s">
        <v>2542</v>
      </c>
    </row>
    <row r="2645">
      <c r="A2645" s="27">
        <v>45474.0</v>
      </c>
      <c r="B2645" s="26" t="s">
        <v>2745</v>
      </c>
      <c r="C2645" s="26" t="s">
        <v>255</v>
      </c>
      <c r="D2645" s="26">
        <v>2.0E7</v>
      </c>
      <c r="F2645" s="26" t="s">
        <v>2542</v>
      </c>
    </row>
    <row r="2646">
      <c r="A2646" s="27">
        <v>45474.0</v>
      </c>
      <c r="B2646" s="26" t="s">
        <v>4886</v>
      </c>
      <c r="C2646" s="26" t="s">
        <v>255</v>
      </c>
      <c r="D2646" s="26">
        <v>1875000.0</v>
      </c>
      <c r="F2646" s="26" t="s">
        <v>2542</v>
      </c>
    </row>
    <row r="2647">
      <c r="A2647" s="27">
        <v>45474.0</v>
      </c>
      <c r="B2647" s="26" t="s">
        <v>4885</v>
      </c>
      <c r="C2647" s="28"/>
      <c r="D2647" s="26">
        <v>8916200.0</v>
      </c>
      <c r="F2647" s="26" t="s">
        <v>2542</v>
      </c>
    </row>
    <row r="2648">
      <c r="A2648" s="27">
        <v>45474.0</v>
      </c>
      <c r="B2648" s="26" t="s">
        <v>4887</v>
      </c>
      <c r="C2648" s="26" t="s">
        <v>2581</v>
      </c>
      <c r="D2648" s="26">
        <v>3000000.0</v>
      </c>
      <c r="F2648" s="26" t="s">
        <v>2542</v>
      </c>
      <c r="G2648" s="26">
        <v>6422.0</v>
      </c>
    </row>
    <row r="2649">
      <c r="A2649" s="27">
        <v>45474.0</v>
      </c>
      <c r="B2649" s="26" t="s">
        <v>4888</v>
      </c>
      <c r="C2649" s="26" t="s">
        <v>2764</v>
      </c>
      <c r="D2649" s="26">
        <v>393000.0</v>
      </c>
      <c r="F2649" s="26" t="s">
        <v>2542</v>
      </c>
      <c r="G2649" s="26">
        <v>6273.0</v>
      </c>
    </row>
    <row r="2650">
      <c r="A2650" s="27">
        <v>45473.0</v>
      </c>
      <c r="B2650" s="26" t="s">
        <v>4889</v>
      </c>
      <c r="C2650" s="26" t="s">
        <v>255</v>
      </c>
      <c r="D2650" s="26">
        <v>4590000.0</v>
      </c>
      <c r="F2650" s="26" t="s">
        <v>2542</v>
      </c>
    </row>
    <row r="2651">
      <c r="A2651" s="27">
        <v>45473.0</v>
      </c>
      <c r="B2651" s="26" t="s">
        <v>4890</v>
      </c>
      <c r="C2651" s="26" t="s">
        <v>255</v>
      </c>
      <c r="D2651" s="26">
        <v>3240000.0</v>
      </c>
      <c r="F2651" s="26" t="s">
        <v>2542</v>
      </c>
    </row>
    <row r="2652">
      <c r="A2652" s="27">
        <v>45473.0</v>
      </c>
      <c r="B2652" s="26" t="s">
        <v>4891</v>
      </c>
      <c r="C2652" s="26" t="s">
        <v>255</v>
      </c>
      <c r="D2652" s="26">
        <v>4320000.0</v>
      </c>
      <c r="F2652" s="26" t="s">
        <v>2542</v>
      </c>
    </row>
    <row r="2653">
      <c r="A2653" s="27">
        <v>45473.0</v>
      </c>
      <c r="B2653" s="26" t="s">
        <v>4892</v>
      </c>
      <c r="C2653" s="26" t="s">
        <v>255</v>
      </c>
      <c r="D2653" s="26">
        <v>995000.0</v>
      </c>
      <c r="F2653" s="26" t="s">
        <v>2542</v>
      </c>
    </row>
    <row r="2654">
      <c r="A2654" s="27">
        <v>45473.0</v>
      </c>
      <c r="B2654" s="26" t="s">
        <v>4893</v>
      </c>
      <c r="C2654" s="26" t="s">
        <v>255</v>
      </c>
      <c r="D2654" s="26">
        <v>1593000.0</v>
      </c>
      <c r="F2654" s="26" t="s">
        <v>2542</v>
      </c>
    </row>
    <row r="2655">
      <c r="A2655" s="27">
        <v>45472.0</v>
      </c>
      <c r="B2655" s="26" t="s">
        <v>2543</v>
      </c>
      <c r="C2655" s="26" t="s">
        <v>255</v>
      </c>
      <c r="D2655" s="26">
        <v>5121.0</v>
      </c>
      <c r="F2655" s="26" t="s">
        <v>2542</v>
      </c>
    </row>
    <row r="2656">
      <c r="A2656" s="27">
        <v>45472.0</v>
      </c>
      <c r="B2656" s="26" t="s">
        <v>4894</v>
      </c>
      <c r="C2656" s="26" t="s">
        <v>2583</v>
      </c>
      <c r="D2656" s="26">
        <v>3562750.0</v>
      </c>
      <c r="F2656" s="26" t="s">
        <v>2542</v>
      </c>
      <c r="G2656" s="26">
        <v>641.37</v>
      </c>
    </row>
    <row r="2657">
      <c r="A2657" s="27">
        <v>45472.0</v>
      </c>
      <c r="B2657" s="26" t="s">
        <v>4895</v>
      </c>
      <c r="C2657" s="26" t="s">
        <v>2583</v>
      </c>
      <c r="D2657" s="26">
        <v>3685000.0</v>
      </c>
      <c r="F2657" s="26" t="s">
        <v>2542</v>
      </c>
      <c r="G2657" s="26">
        <v>641.37</v>
      </c>
    </row>
    <row r="2658">
      <c r="A2658" s="27">
        <v>45471.0</v>
      </c>
      <c r="B2658" s="26" t="s">
        <v>4896</v>
      </c>
      <c r="C2658" s="26" t="s">
        <v>255</v>
      </c>
      <c r="D2658" s="26">
        <v>1080000.0</v>
      </c>
      <c r="F2658" s="26" t="s">
        <v>2542</v>
      </c>
    </row>
    <row r="2659">
      <c r="A2659" s="27">
        <v>45471.0</v>
      </c>
      <c r="B2659" s="26" t="s">
        <v>4878</v>
      </c>
      <c r="C2659" s="26" t="s">
        <v>255</v>
      </c>
      <c r="D2659" s="26">
        <v>2760000.0</v>
      </c>
      <c r="F2659" s="26" t="s">
        <v>2542</v>
      </c>
    </row>
    <row r="2660">
      <c r="A2660" s="27">
        <v>45471.0</v>
      </c>
      <c r="B2660" s="26" t="s">
        <v>4897</v>
      </c>
      <c r="C2660" s="26" t="s">
        <v>2574</v>
      </c>
      <c r="D2660" s="26">
        <v>5120280.0</v>
      </c>
      <c r="F2660" s="26" t="s">
        <v>2542</v>
      </c>
      <c r="G2660" s="26">
        <v>331.0</v>
      </c>
    </row>
    <row r="2661">
      <c r="A2661" s="27">
        <v>45471.0</v>
      </c>
      <c r="B2661" s="26" t="s">
        <v>4898</v>
      </c>
      <c r="C2661" s="26" t="s">
        <v>2581</v>
      </c>
      <c r="D2661" s="26">
        <v>1260000.0</v>
      </c>
      <c r="F2661" s="26" t="s">
        <v>2542</v>
      </c>
      <c r="G2661" s="26">
        <v>6422.0</v>
      </c>
    </row>
    <row r="2662">
      <c r="A2662" s="27">
        <v>45471.0</v>
      </c>
      <c r="B2662" s="26" t="s">
        <v>4899</v>
      </c>
      <c r="C2662" s="26" t="s">
        <v>2545</v>
      </c>
      <c r="D2662" s="26">
        <v>1.56E7</v>
      </c>
      <c r="F2662" s="26" t="s">
        <v>2542</v>
      </c>
      <c r="G2662" s="26">
        <v>3341.0</v>
      </c>
    </row>
    <row r="2663">
      <c r="A2663" s="27">
        <v>45471.0</v>
      </c>
      <c r="B2663" s="26" t="s">
        <v>4900</v>
      </c>
      <c r="C2663" s="26" t="s">
        <v>2545</v>
      </c>
      <c r="D2663" s="26">
        <v>1.236E7</v>
      </c>
      <c r="F2663" s="26" t="s">
        <v>2542</v>
      </c>
      <c r="G2663" s="26">
        <v>3341.0</v>
      </c>
    </row>
    <row r="2664">
      <c r="A2664" s="27">
        <v>45471.0</v>
      </c>
      <c r="B2664" s="26" t="s">
        <v>4901</v>
      </c>
      <c r="C2664" s="26" t="s">
        <v>2545</v>
      </c>
      <c r="D2664" s="26">
        <v>1.116E7</v>
      </c>
      <c r="F2664" s="26" t="s">
        <v>2542</v>
      </c>
      <c r="G2664" s="26">
        <v>3341.0</v>
      </c>
    </row>
    <row r="2665">
      <c r="A2665" s="27">
        <v>45471.0</v>
      </c>
      <c r="B2665" s="26" t="s">
        <v>4902</v>
      </c>
      <c r="C2665" s="26" t="s">
        <v>2545</v>
      </c>
      <c r="D2665" s="26">
        <v>1.236E7</v>
      </c>
      <c r="F2665" s="26" t="s">
        <v>2542</v>
      </c>
      <c r="G2665" s="26">
        <v>3341.0</v>
      </c>
    </row>
    <row r="2666">
      <c r="A2666" s="27">
        <v>45471.0</v>
      </c>
      <c r="B2666" s="26" t="s">
        <v>4903</v>
      </c>
      <c r="C2666" s="26" t="s">
        <v>2545</v>
      </c>
      <c r="D2666" s="26">
        <v>1.5E7</v>
      </c>
      <c r="F2666" s="26" t="s">
        <v>2542</v>
      </c>
      <c r="G2666" s="26">
        <v>3341.0</v>
      </c>
    </row>
    <row r="2667">
      <c r="A2667" s="27">
        <v>45471.0</v>
      </c>
      <c r="B2667" s="26" t="s">
        <v>4904</v>
      </c>
      <c r="C2667" s="26" t="s">
        <v>2545</v>
      </c>
      <c r="D2667" s="26">
        <v>1.5E7</v>
      </c>
      <c r="F2667" s="26" t="s">
        <v>2542</v>
      </c>
      <c r="G2667" s="26">
        <v>3341.0</v>
      </c>
    </row>
    <row r="2668">
      <c r="A2668" s="27">
        <v>45471.0</v>
      </c>
      <c r="B2668" s="26" t="s">
        <v>4905</v>
      </c>
      <c r="C2668" s="26" t="s">
        <v>2561</v>
      </c>
      <c r="D2668" s="26">
        <v>6.061384E7</v>
      </c>
      <c r="F2668" s="26" t="s">
        <v>2542</v>
      </c>
      <c r="G2668" s="26">
        <v>331.0</v>
      </c>
    </row>
    <row r="2669">
      <c r="A2669" s="27">
        <v>45471.0</v>
      </c>
      <c r="B2669" s="26" t="s">
        <v>4906</v>
      </c>
      <c r="C2669" s="26" t="s">
        <v>2563</v>
      </c>
      <c r="D2669" s="26">
        <v>837195.0</v>
      </c>
      <c r="F2669" s="26" t="s">
        <v>2542</v>
      </c>
      <c r="G2669" s="26">
        <v>635.0</v>
      </c>
    </row>
    <row r="2670">
      <c r="A2670" s="27">
        <v>45470.0</v>
      </c>
      <c r="B2670" s="26" t="s">
        <v>4907</v>
      </c>
      <c r="C2670" s="26" t="s">
        <v>255</v>
      </c>
      <c r="D2670" s="26">
        <v>216000.0</v>
      </c>
      <c r="F2670" s="26" t="s">
        <v>2542</v>
      </c>
    </row>
    <row r="2671">
      <c r="A2671" s="27">
        <v>45470.0</v>
      </c>
      <c r="B2671" s="26" t="s">
        <v>4908</v>
      </c>
      <c r="C2671" s="26" t="s">
        <v>2887</v>
      </c>
      <c r="D2671" s="26" t="s">
        <v>4909</v>
      </c>
      <c r="F2671" s="26" t="s">
        <v>2542</v>
      </c>
    </row>
    <row r="2672">
      <c r="A2672" s="27">
        <v>45470.0</v>
      </c>
      <c r="B2672" s="26" t="s">
        <v>4910</v>
      </c>
      <c r="C2672" s="26" t="s">
        <v>255</v>
      </c>
      <c r="D2672" s="26">
        <v>5973000.0</v>
      </c>
      <c r="F2672" s="26" t="s">
        <v>2542</v>
      </c>
    </row>
    <row r="2673">
      <c r="A2673" s="27">
        <v>45470.0</v>
      </c>
      <c r="B2673" s="26" t="s">
        <v>4911</v>
      </c>
      <c r="C2673" s="26" t="s">
        <v>255</v>
      </c>
      <c r="D2673" s="26">
        <v>6380000.0</v>
      </c>
      <c r="F2673" s="26" t="s">
        <v>2542</v>
      </c>
    </row>
    <row r="2674">
      <c r="A2674" s="27">
        <v>45470.0</v>
      </c>
      <c r="B2674" s="26" t="s">
        <v>4912</v>
      </c>
      <c r="C2674" s="26" t="s">
        <v>255</v>
      </c>
      <c r="D2674" s="26">
        <v>4785000.0</v>
      </c>
      <c r="F2674" s="26" t="s">
        <v>2542</v>
      </c>
    </row>
    <row r="2675">
      <c r="A2675" s="27">
        <v>45470.0</v>
      </c>
      <c r="B2675" s="26" t="s">
        <v>4913</v>
      </c>
      <c r="C2675" s="26" t="s">
        <v>2583</v>
      </c>
      <c r="D2675" s="26">
        <v>4150000.0</v>
      </c>
      <c r="F2675" s="26" t="s">
        <v>2542</v>
      </c>
      <c r="G2675" s="26">
        <v>641.24</v>
      </c>
    </row>
    <row r="2676">
      <c r="A2676" s="27">
        <v>45470.0</v>
      </c>
      <c r="B2676" s="26" t="s">
        <v>4914</v>
      </c>
      <c r="C2676" s="26" t="s">
        <v>3460</v>
      </c>
      <c r="D2676" s="26">
        <v>1.4402795E7</v>
      </c>
      <c r="F2676" s="26" t="s">
        <v>2542</v>
      </c>
      <c r="G2676" s="26">
        <v>331.0</v>
      </c>
    </row>
    <row r="2677">
      <c r="A2677" s="27">
        <v>45469.0</v>
      </c>
      <c r="B2677" s="26" t="s">
        <v>4915</v>
      </c>
      <c r="C2677" s="26" t="s">
        <v>255</v>
      </c>
      <c r="D2677" s="26">
        <v>6259000.0</v>
      </c>
      <c r="F2677" s="26" t="s">
        <v>2542</v>
      </c>
    </row>
    <row r="2678">
      <c r="A2678" s="27">
        <v>45469.0</v>
      </c>
      <c r="B2678" s="26" t="s">
        <v>4916</v>
      </c>
      <c r="C2678" s="26" t="s">
        <v>2583</v>
      </c>
      <c r="D2678" s="26">
        <v>500000.0</v>
      </c>
      <c r="F2678" s="26" t="s">
        <v>2542</v>
      </c>
      <c r="G2678" s="26">
        <v>641.23</v>
      </c>
    </row>
    <row r="2679">
      <c r="A2679" s="27">
        <v>45469.0</v>
      </c>
      <c r="B2679" s="26" t="s">
        <v>4917</v>
      </c>
      <c r="C2679" s="26" t="s">
        <v>2583</v>
      </c>
      <c r="D2679" s="26">
        <v>2000000.0</v>
      </c>
      <c r="F2679" s="26" t="s">
        <v>2542</v>
      </c>
      <c r="G2679" s="26">
        <v>641.23</v>
      </c>
    </row>
    <row r="2680">
      <c r="A2680" s="27">
        <v>45469.0</v>
      </c>
      <c r="B2680" s="26" t="s">
        <v>4918</v>
      </c>
      <c r="C2680" s="26" t="s">
        <v>4919</v>
      </c>
      <c r="D2680" s="26">
        <v>3.5850528E8</v>
      </c>
      <c r="F2680" s="26" t="s">
        <v>2542</v>
      </c>
      <c r="G2680" s="26">
        <v>244.0</v>
      </c>
    </row>
    <row r="2681">
      <c r="A2681" s="27">
        <v>45469.0</v>
      </c>
      <c r="B2681" s="26" t="s">
        <v>4920</v>
      </c>
      <c r="C2681" s="26" t="s">
        <v>2655</v>
      </c>
      <c r="D2681" s="26">
        <v>1.408E7</v>
      </c>
      <c r="F2681" s="26" t="s">
        <v>2542</v>
      </c>
      <c r="G2681" s="26">
        <v>3383.0</v>
      </c>
    </row>
    <row r="2682">
      <c r="A2682" s="27">
        <v>45469.0</v>
      </c>
      <c r="B2682" s="26" t="s">
        <v>4921</v>
      </c>
      <c r="C2682" s="26" t="s">
        <v>3460</v>
      </c>
      <c r="D2682" s="26">
        <v>8500000.0</v>
      </c>
      <c r="F2682" s="26" t="s">
        <v>2542</v>
      </c>
      <c r="G2682" s="26">
        <v>331.0</v>
      </c>
    </row>
    <row r="2683">
      <c r="A2683" s="27">
        <v>45469.0</v>
      </c>
      <c r="B2683" s="26" t="s">
        <v>4922</v>
      </c>
      <c r="C2683" s="26" t="s">
        <v>2593</v>
      </c>
      <c r="D2683" s="26">
        <v>329000.0</v>
      </c>
      <c r="F2683" s="26" t="s">
        <v>2542</v>
      </c>
      <c r="G2683" s="26">
        <v>6423.0</v>
      </c>
    </row>
    <row r="2684">
      <c r="A2684" s="27">
        <v>45468.0</v>
      </c>
      <c r="B2684" s="26" t="s">
        <v>4923</v>
      </c>
      <c r="C2684" s="26" t="s">
        <v>255</v>
      </c>
      <c r="D2684" s="26">
        <v>4.0E8</v>
      </c>
      <c r="F2684" s="26" t="s">
        <v>2542</v>
      </c>
    </row>
    <row r="2685">
      <c r="A2685" s="27">
        <v>45468.0</v>
      </c>
      <c r="B2685" s="26" t="s">
        <v>4924</v>
      </c>
      <c r="C2685" s="26" t="s">
        <v>255</v>
      </c>
      <c r="D2685" s="26">
        <v>4775000.0</v>
      </c>
      <c r="F2685" s="26" t="s">
        <v>2542</v>
      </c>
    </row>
    <row r="2686">
      <c r="A2686" s="27">
        <v>45468.0</v>
      </c>
      <c r="B2686" s="26" t="s">
        <v>4925</v>
      </c>
      <c r="C2686" s="26" t="s">
        <v>2887</v>
      </c>
      <c r="D2686" s="26" t="s">
        <v>4673</v>
      </c>
      <c r="F2686" s="26" t="s">
        <v>2542</v>
      </c>
    </row>
    <row r="2687">
      <c r="A2687" s="27">
        <v>45468.0</v>
      </c>
      <c r="B2687" s="26" t="s">
        <v>4926</v>
      </c>
      <c r="C2687" s="26" t="s">
        <v>2887</v>
      </c>
      <c r="D2687" s="26" t="s">
        <v>4604</v>
      </c>
      <c r="F2687" s="26" t="s">
        <v>2542</v>
      </c>
    </row>
    <row r="2688">
      <c r="A2688" s="27">
        <v>45468.0</v>
      </c>
      <c r="B2688" s="26" t="s">
        <v>3373</v>
      </c>
      <c r="C2688" s="26" t="s">
        <v>255</v>
      </c>
      <c r="D2688" s="26">
        <v>2691650.0</v>
      </c>
      <c r="F2688" s="26" t="s">
        <v>2542</v>
      </c>
    </row>
    <row r="2689">
      <c r="A2689" s="27">
        <v>45468.0</v>
      </c>
      <c r="B2689" s="26" t="s">
        <v>3368</v>
      </c>
      <c r="C2689" s="26" t="s">
        <v>255</v>
      </c>
      <c r="D2689" s="26">
        <v>1875000.0</v>
      </c>
      <c r="F2689" s="26" t="s">
        <v>2542</v>
      </c>
    </row>
    <row r="2690">
      <c r="A2690" s="27">
        <v>45468.0</v>
      </c>
      <c r="B2690" s="26" t="s">
        <v>4923</v>
      </c>
      <c r="C2690" s="28"/>
      <c r="D2690" s="26">
        <v>4.0E8</v>
      </c>
      <c r="F2690" s="26" t="s">
        <v>2542</v>
      </c>
    </row>
    <row r="2691">
      <c r="A2691" s="27">
        <v>45467.0</v>
      </c>
      <c r="B2691" s="26" t="s">
        <v>2586</v>
      </c>
      <c r="C2691" s="26" t="s">
        <v>255</v>
      </c>
      <c r="D2691" s="26">
        <v>2460.0</v>
      </c>
      <c r="F2691" s="26" t="s">
        <v>2542</v>
      </c>
    </row>
    <row r="2692">
      <c r="A2692" s="27">
        <v>45467.0</v>
      </c>
      <c r="B2692" s="26" t="s">
        <v>4927</v>
      </c>
      <c r="C2692" s="26" t="s">
        <v>255</v>
      </c>
      <c r="D2692" s="26">
        <v>40000.0</v>
      </c>
      <c r="F2692" s="26" t="s">
        <v>2542</v>
      </c>
    </row>
    <row r="2693">
      <c r="A2693" s="27">
        <v>45467.0</v>
      </c>
      <c r="B2693" s="26" t="s">
        <v>4928</v>
      </c>
      <c r="C2693" s="26" t="s">
        <v>2545</v>
      </c>
      <c r="D2693" s="26">
        <v>1.79E7</v>
      </c>
      <c r="F2693" s="26" t="s">
        <v>2542</v>
      </c>
      <c r="G2693" s="26">
        <v>3341.0</v>
      </c>
    </row>
    <row r="2694">
      <c r="A2694" s="27">
        <v>45465.0</v>
      </c>
      <c r="B2694" s="26" t="s">
        <v>4929</v>
      </c>
      <c r="C2694" s="26" t="s">
        <v>2574</v>
      </c>
      <c r="D2694" s="26">
        <v>6946500.0</v>
      </c>
      <c r="F2694" s="26" t="s">
        <v>2542</v>
      </c>
      <c r="G2694" s="26">
        <v>331.0</v>
      </c>
    </row>
    <row r="2695">
      <c r="A2695" s="27">
        <v>45464.0</v>
      </c>
      <c r="B2695" s="26" t="s">
        <v>4930</v>
      </c>
      <c r="C2695" s="26" t="s">
        <v>255</v>
      </c>
      <c r="D2695" s="26">
        <v>1380000.0</v>
      </c>
      <c r="F2695" s="26" t="s">
        <v>2542</v>
      </c>
    </row>
    <row r="2696">
      <c r="A2696" s="27">
        <v>45464.0</v>
      </c>
      <c r="B2696" s="26" t="s">
        <v>4931</v>
      </c>
      <c r="C2696" s="26" t="s">
        <v>255</v>
      </c>
      <c r="D2696" s="26">
        <v>2618000.0</v>
      </c>
      <c r="F2696" s="26" t="s">
        <v>2542</v>
      </c>
    </row>
    <row r="2697">
      <c r="A2697" s="27">
        <v>45464.0</v>
      </c>
      <c r="B2697" s="26" t="s">
        <v>4932</v>
      </c>
      <c r="C2697" s="26" t="s">
        <v>255</v>
      </c>
      <c r="D2697" s="26">
        <v>1155000.0</v>
      </c>
      <c r="F2697" s="26" t="s">
        <v>2542</v>
      </c>
    </row>
    <row r="2698">
      <c r="A2698" s="27">
        <v>45464.0</v>
      </c>
      <c r="B2698" s="26" t="s">
        <v>4933</v>
      </c>
      <c r="C2698" s="26" t="s">
        <v>2571</v>
      </c>
      <c r="D2698" s="26">
        <v>40000.0</v>
      </c>
      <c r="F2698" s="26" t="s">
        <v>2542</v>
      </c>
      <c r="G2698" s="26">
        <v>641.22</v>
      </c>
    </row>
    <row r="2699">
      <c r="A2699" s="27">
        <v>45464.0</v>
      </c>
      <c r="B2699" s="26" t="s">
        <v>4934</v>
      </c>
      <c r="C2699" s="26" t="s">
        <v>2593</v>
      </c>
      <c r="D2699" s="26">
        <v>296000.0</v>
      </c>
      <c r="F2699" s="26" t="s">
        <v>2542</v>
      </c>
      <c r="G2699" s="26">
        <v>6423.0</v>
      </c>
    </row>
    <row r="2700">
      <c r="A2700" s="27">
        <v>45463.0</v>
      </c>
      <c r="B2700" s="26" t="s">
        <v>4935</v>
      </c>
      <c r="C2700" s="26" t="s">
        <v>255</v>
      </c>
      <c r="D2700" s="26">
        <v>1836000.0</v>
      </c>
      <c r="F2700" s="26" t="s">
        <v>2542</v>
      </c>
    </row>
    <row r="2701">
      <c r="A2701" s="27">
        <v>45463.0</v>
      </c>
      <c r="B2701" s="26" t="s">
        <v>4936</v>
      </c>
      <c r="C2701" s="26" t="s">
        <v>255</v>
      </c>
      <c r="D2701" s="26">
        <v>1695000.0</v>
      </c>
      <c r="F2701" s="26" t="s">
        <v>2542</v>
      </c>
    </row>
    <row r="2702">
      <c r="A2702" s="27">
        <v>45463.0</v>
      </c>
      <c r="B2702" s="26" t="s">
        <v>4937</v>
      </c>
      <c r="C2702" s="26" t="s">
        <v>255</v>
      </c>
      <c r="D2702" s="26">
        <v>1332800.0</v>
      </c>
      <c r="F2702" s="26" t="s">
        <v>2542</v>
      </c>
    </row>
    <row r="2703">
      <c r="A2703" s="27">
        <v>45463.0</v>
      </c>
      <c r="B2703" s="26" t="s">
        <v>4938</v>
      </c>
      <c r="C2703" s="26" t="s">
        <v>255</v>
      </c>
      <c r="D2703" s="26">
        <v>2160000.0</v>
      </c>
      <c r="F2703" s="26" t="s">
        <v>2542</v>
      </c>
    </row>
    <row r="2704">
      <c r="A2704" s="27">
        <v>45463.0</v>
      </c>
      <c r="B2704" s="26" t="s">
        <v>4939</v>
      </c>
      <c r="C2704" s="26" t="s">
        <v>255</v>
      </c>
      <c r="D2704" s="26">
        <v>1080000.0</v>
      </c>
      <c r="F2704" s="26" t="s">
        <v>2542</v>
      </c>
    </row>
    <row r="2705">
      <c r="A2705" s="27">
        <v>45463.0</v>
      </c>
      <c r="B2705" s="26" t="s">
        <v>4940</v>
      </c>
      <c r="C2705" s="26" t="s">
        <v>255</v>
      </c>
      <c r="D2705" s="26">
        <v>1080000.0</v>
      </c>
      <c r="F2705" s="26" t="s">
        <v>2542</v>
      </c>
    </row>
    <row r="2706">
      <c r="A2706" s="27">
        <v>45463.0</v>
      </c>
      <c r="B2706" s="26" t="s">
        <v>4941</v>
      </c>
      <c r="C2706" s="26" t="s">
        <v>255</v>
      </c>
      <c r="D2706" s="26">
        <v>510000.0</v>
      </c>
      <c r="F2706" s="26" t="s">
        <v>2542</v>
      </c>
    </row>
    <row r="2707">
      <c r="A2707" s="27">
        <v>45463.0</v>
      </c>
      <c r="B2707" s="26" t="s">
        <v>4942</v>
      </c>
      <c r="C2707" s="26" t="s">
        <v>255</v>
      </c>
      <c r="D2707" s="26">
        <v>1080000.0</v>
      </c>
      <c r="F2707" s="26" t="s">
        <v>2542</v>
      </c>
    </row>
    <row r="2708">
      <c r="A2708" s="27">
        <v>45463.0</v>
      </c>
      <c r="B2708" s="26" t="s">
        <v>4943</v>
      </c>
      <c r="C2708" s="26" t="s">
        <v>255</v>
      </c>
      <c r="D2708" s="26">
        <v>3750000.0</v>
      </c>
      <c r="F2708" s="26" t="s">
        <v>2542</v>
      </c>
    </row>
    <row r="2709">
      <c r="A2709" s="27">
        <v>45463.0</v>
      </c>
      <c r="B2709" s="26" t="s">
        <v>4944</v>
      </c>
      <c r="C2709" s="26" t="s">
        <v>255</v>
      </c>
      <c r="D2709" s="26">
        <v>2160000.0</v>
      </c>
      <c r="F2709" s="26" t="s">
        <v>2542</v>
      </c>
    </row>
    <row r="2710">
      <c r="A2710" s="27">
        <v>45463.0</v>
      </c>
      <c r="B2710" s="26" t="s">
        <v>4945</v>
      </c>
      <c r="C2710" s="26" t="s">
        <v>255</v>
      </c>
      <c r="D2710" s="26">
        <v>6000000.0</v>
      </c>
      <c r="F2710" s="26" t="s">
        <v>2542</v>
      </c>
    </row>
    <row r="2711">
      <c r="A2711" s="27">
        <v>45463.0</v>
      </c>
      <c r="B2711" s="26" t="s">
        <v>3210</v>
      </c>
      <c r="C2711" s="26" t="s">
        <v>255</v>
      </c>
      <c r="D2711" s="26">
        <v>1080000.0</v>
      </c>
      <c r="F2711" s="26" t="s">
        <v>2542</v>
      </c>
    </row>
    <row r="2712">
      <c r="A2712" s="27">
        <v>45463.0</v>
      </c>
      <c r="B2712" s="26" t="s">
        <v>4946</v>
      </c>
      <c r="C2712" s="26" t="s">
        <v>2561</v>
      </c>
      <c r="D2712" s="26">
        <v>8300000.0</v>
      </c>
      <c r="F2712" s="26" t="s">
        <v>2542</v>
      </c>
      <c r="G2712" s="26">
        <v>331.0</v>
      </c>
    </row>
    <row r="2713">
      <c r="A2713" s="27">
        <v>45463.0</v>
      </c>
      <c r="B2713" s="26" t="s">
        <v>4947</v>
      </c>
      <c r="C2713" s="26" t="s">
        <v>2545</v>
      </c>
      <c r="D2713" s="26">
        <v>1.2E7</v>
      </c>
      <c r="F2713" s="26" t="s">
        <v>2542</v>
      </c>
      <c r="G2713" s="26">
        <v>3341.0</v>
      </c>
    </row>
    <row r="2714">
      <c r="A2714" s="27">
        <v>45462.0</v>
      </c>
      <c r="B2714" s="26" t="s">
        <v>4948</v>
      </c>
      <c r="C2714" s="26" t="s">
        <v>255</v>
      </c>
      <c r="D2714" s="26">
        <v>1080000.0</v>
      </c>
      <c r="F2714" s="26" t="s">
        <v>2542</v>
      </c>
    </row>
    <row r="2715">
      <c r="A2715" s="27">
        <v>45462.0</v>
      </c>
      <c r="B2715" s="26" t="s">
        <v>4746</v>
      </c>
      <c r="C2715" s="26" t="s">
        <v>255</v>
      </c>
      <c r="D2715" s="26">
        <v>1790000.0</v>
      </c>
      <c r="F2715" s="26" t="s">
        <v>2542</v>
      </c>
    </row>
    <row r="2716">
      <c r="A2716" s="27">
        <v>45461.0</v>
      </c>
      <c r="B2716" s="26" t="s">
        <v>4949</v>
      </c>
      <c r="C2716" s="26" t="s">
        <v>2583</v>
      </c>
      <c r="D2716" s="26">
        <v>3000000.0</v>
      </c>
      <c r="F2716" s="26" t="s">
        <v>2542</v>
      </c>
      <c r="G2716" s="26">
        <v>641.24</v>
      </c>
    </row>
    <row r="2717">
      <c r="A2717" s="27">
        <v>45461.0</v>
      </c>
      <c r="B2717" s="26" t="s">
        <v>4950</v>
      </c>
      <c r="C2717" s="26" t="s">
        <v>2571</v>
      </c>
      <c r="D2717" s="26">
        <v>40000.0</v>
      </c>
      <c r="F2717" s="26" t="s">
        <v>2542</v>
      </c>
      <c r="G2717" s="26">
        <v>641.22</v>
      </c>
    </row>
    <row r="2718">
      <c r="A2718" s="27">
        <v>45460.0</v>
      </c>
      <c r="B2718" s="26" t="s">
        <v>3363</v>
      </c>
      <c r="C2718" s="26" t="s">
        <v>255</v>
      </c>
      <c r="D2718" s="26">
        <v>1.902912E7</v>
      </c>
      <c r="F2718" s="26" t="s">
        <v>2542</v>
      </c>
    </row>
    <row r="2719">
      <c r="A2719" s="27">
        <v>45460.0</v>
      </c>
      <c r="B2719" s="26" t="s">
        <v>2745</v>
      </c>
      <c r="C2719" s="26" t="s">
        <v>255</v>
      </c>
      <c r="D2719" s="26">
        <v>498500.0</v>
      </c>
      <c r="F2719" s="26" t="s">
        <v>2542</v>
      </c>
    </row>
    <row r="2720">
      <c r="A2720" s="27">
        <v>45460.0</v>
      </c>
      <c r="B2720" s="26" t="s">
        <v>4951</v>
      </c>
      <c r="C2720" s="26" t="s">
        <v>255</v>
      </c>
      <c r="D2720" s="26">
        <v>9570000.0</v>
      </c>
      <c r="F2720" s="26" t="s">
        <v>2542</v>
      </c>
    </row>
    <row r="2721">
      <c r="A2721" s="27">
        <v>45460.0</v>
      </c>
      <c r="B2721" s="26" t="s">
        <v>3063</v>
      </c>
      <c r="C2721" s="26" t="s">
        <v>255</v>
      </c>
      <c r="D2721" s="26">
        <v>1080000.0</v>
      </c>
      <c r="F2721" s="26" t="s">
        <v>2542</v>
      </c>
    </row>
    <row r="2722">
      <c r="A2722" s="27">
        <v>45460.0</v>
      </c>
      <c r="B2722" s="26" t="s">
        <v>4952</v>
      </c>
      <c r="C2722" s="26" t="s">
        <v>255</v>
      </c>
      <c r="D2722" s="26">
        <v>1188000.0</v>
      </c>
      <c r="F2722" s="26" t="s">
        <v>2542</v>
      </c>
    </row>
    <row r="2723">
      <c r="A2723" s="27">
        <v>45458.0</v>
      </c>
      <c r="B2723" s="26" t="s">
        <v>4953</v>
      </c>
      <c r="C2723" s="26" t="s">
        <v>255</v>
      </c>
      <c r="D2723" s="26">
        <v>2400000.0</v>
      </c>
      <c r="F2723" s="26" t="s">
        <v>2542</v>
      </c>
    </row>
    <row r="2724">
      <c r="A2724" s="27">
        <v>45458.0</v>
      </c>
      <c r="B2724" s="26" t="s">
        <v>2745</v>
      </c>
      <c r="C2724" s="26" t="s">
        <v>255</v>
      </c>
      <c r="D2724" s="26">
        <v>1000000.0</v>
      </c>
      <c r="F2724" s="26" t="s">
        <v>2542</v>
      </c>
    </row>
    <row r="2725">
      <c r="A2725" s="27">
        <v>45457.0</v>
      </c>
      <c r="B2725" s="26" t="s">
        <v>3462</v>
      </c>
      <c r="C2725" s="26" t="s">
        <v>255</v>
      </c>
      <c r="D2725" s="26">
        <v>6200000.0</v>
      </c>
      <c r="F2725" s="26" t="s">
        <v>2542</v>
      </c>
    </row>
    <row r="2726">
      <c r="A2726" s="27">
        <v>45457.0</v>
      </c>
      <c r="B2726" s="26" t="s">
        <v>4954</v>
      </c>
      <c r="C2726" s="26" t="s">
        <v>255</v>
      </c>
      <c r="D2726" s="26">
        <v>3325000.0</v>
      </c>
      <c r="F2726" s="26" t="s">
        <v>2542</v>
      </c>
    </row>
    <row r="2727">
      <c r="A2727" s="27">
        <v>45457.0</v>
      </c>
      <c r="B2727" s="26" t="s">
        <v>4955</v>
      </c>
      <c r="C2727" s="26" t="s">
        <v>255</v>
      </c>
      <c r="D2727" s="26">
        <v>1280000.0</v>
      </c>
      <c r="F2727" s="26" t="s">
        <v>2542</v>
      </c>
    </row>
    <row r="2728">
      <c r="A2728" s="27">
        <v>45457.0</v>
      </c>
      <c r="B2728" s="26" t="s">
        <v>4956</v>
      </c>
      <c r="C2728" s="26" t="s">
        <v>2583</v>
      </c>
      <c r="D2728" s="26">
        <v>1040000.0</v>
      </c>
      <c r="F2728" s="26" t="s">
        <v>2542</v>
      </c>
      <c r="G2728" s="26">
        <v>641.23</v>
      </c>
    </row>
    <row r="2729">
      <c r="A2729" s="27">
        <v>45457.0</v>
      </c>
      <c r="B2729" s="26" t="s">
        <v>3407</v>
      </c>
      <c r="C2729" s="26" t="s">
        <v>2545</v>
      </c>
      <c r="D2729" s="26">
        <v>1.236E7</v>
      </c>
      <c r="F2729" s="26" t="s">
        <v>2542</v>
      </c>
      <c r="G2729" s="26">
        <v>3341.0</v>
      </c>
    </row>
    <row r="2730">
      <c r="A2730" s="27">
        <v>45457.0</v>
      </c>
      <c r="B2730" s="26" t="s">
        <v>4957</v>
      </c>
      <c r="C2730" s="26" t="s">
        <v>2571</v>
      </c>
      <c r="D2730" s="26">
        <v>150000.0</v>
      </c>
      <c r="F2730" s="26" t="s">
        <v>2542</v>
      </c>
      <c r="G2730" s="26">
        <v>641.22</v>
      </c>
    </row>
    <row r="2731">
      <c r="A2731" s="27">
        <v>45457.0</v>
      </c>
      <c r="B2731" s="26" t="s">
        <v>4958</v>
      </c>
      <c r="C2731" s="26" t="s">
        <v>2561</v>
      </c>
      <c r="D2731" s="26">
        <v>5346000.0</v>
      </c>
      <c r="F2731" s="26" t="s">
        <v>2542</v>
      </c>
      <c r="G2731" s="26">
        <v>331.0</v>
      </c>
    </row>
    <row r="2732">
      <c r="A2732" s="27">
        <v>45457.0</v>
      </c>
      <c r="B2732" s="26" t="s">
        <v>4959</v>
      </c>
      <c r="C2732" s="26" t="s">
        <v>2764</v>
      </c>
      <c r="D2732" s="26">
        <v>921000.0</v>
      </c>
      <c r="F2732" s="26" t="s">
        <v>2542</v>
      </c>
      <c r="G2732" s="26">
        <v>6273.0</v>
      </c>
    </row>
    <row r="2733">
      <c r="A2733" s="27">
        <v>45456.0</v>
      </c>
      <c r="B2733" s="26" t="s">
        <v>3424</v>
      </c>
      <c r="C2733" s="26" t="s">
        <v>255</v>
      </c>
      <c r="D2733" s="26">
        <v>1.011875E7</v>
      </c>
      <c r="F2733" s="26" t="s">
        <v>2542</v>
      </c>
    </row>
    <row r="2734">
      <c r="A2734" s="27">
        <v>45456.0</v>
      </c>
      <c r="B2734" s="26" t="s">
        <v>4960</v>
      </c>
      <c r="C2734" s="26" t="s">
        <v>255</v>
      </c>
      <c r="D2734" s="26">
        <v>40000.0</v>
      </c>
      <c r="F2734" s="26" t="s">
        <v>2542</v>
      </c>
    </row>
    <row r="2735">
      <c r="A2735" s="27">
        <v>45456.0</v>
      </c>
      <c r="B2735" s="26" t="s">
        <v>4961</v>
      </c>
      <c r="C2735" s="26" t="s">
        <v>255</v>
      </c>
      <c r="D2735" s="26">
        <v>1480000.0</v>
      </c>
      <c r="F2735" s="26" t="s">
        <v>2542</v>
      </c>
    </row>
    <row r="2736">
      <c r="A2736" s="27">
        <v>45456.0</v>
      </c>
      <c r="B2736" s="26" t="s">
        <v>2668</v>
      </c>
      <c r="C2736" s="26" t="s">
        <v>255</v>
      </c>
      <c r="D2736" s="26">
        <v>1069200.0</v>
      </c>
      <c r="F2736" s="26" t="s">
        <v>2542</v>
      </c>
    </row>
    <row r="2737">
      <c r="A2737" s="27">
        <v>45456.0</v>
      </c>
      <c r="B2737" s="26" t="s">
        <v>4962</v>
      </c>
      <c r="C2737" s="26" t="s">
        <v>2563</v>
      </c>
      <c r="D2737" s="26">
        <v>373213.0</v>
      </c>
      <c r="F2737" s="26" t="s">
        <v>2542</v>
      </c>
      <c r="G2737" s="26">
        <v>635.0</v>
      </c>
    </row>
    <row r="2738">
      <c r="A2738" s="27">
        <v>45455.0</v>
      </c>
      <c r="B2738" s="26" t="s">
        <v>3419</v>
      </c>
      <c r="C2738" s="26" t="s">
        <v>255</v>
      </c>
      <c r="D2738" s="26">
        <v>2640000.0</v>
      </c>
      <c r="F2738" s="26" t="s">
        <v>2542</v>
      </c>
    </row>
    <row r="2739">
      <c r="A2739" s="27">
        <v>45455.0</v>
      </c>
      <c r="B2739" s="26" t="s">
        <v>4963</v>
      </c>
      <c r="C2739" s="26" t="s">
        <v>255</v>
      </c>
      <c r="D2739" s="26">
        <v>6091680.0</v>
      </c>
      <c r="F2739" s="26" t="s">
        <v>2542</v>
      </c>
    </row>
    <row r="2740">
      <c r="A2740" s="27">
        <v>45455.0</v>
      </c>
      <c r="B2740" s="26" t="s">
        <v>4964</v>
      </c>
      <c r="C2740" s="26" t="s">
        <v>2561</v>
      </c>
      <c r="D2740" s="26" t="s">
        <v>4965</v>
      </c>
      <c r="F2740" s="26" t="s">
        <v>2542</v>
      </c>
      <c r="G2740" s="26">
        <v>632.1</v>
      </c>
    </row>
    <row r="2741">
      <c r="A2741" s="27">
        <v>45455.0</v>
      </c>
      <c r="B2741" s="26" t="s">
        <v>4966</v>
      </c>
      <c r="C2741" s="26" t="s">
        <v>2564</v>
      </c>
      <c r="D2741" s="26" t="s">
        <v>4967</v>
      </c>
      <c r="F2741" s="26" t="s">
        <v>2542</v>
      </c>
      <c r="G2741" s="26">
        <v>6425.0</v>
      </c>
    </row>
    <row r="2742">
      <c r="A2742" s="27">
        <v>45455.0</v>
      </c>
      <c r="B2742" s="26" t="s">
        <v>4968</v>
      </c>
      <c r="C2742" s="26" t="s">
        <v>2583</v>
      </c>
      <c r="D2742" s="26">
        <v>3000000.0</v>
      </c>
      <c r="F2742" s="26" t="s">
        <v>2542</v>
      </c>
      <c r="G2742" s="26">
        <v>641.23</v>
      </c>
    </row>
    <row r="2743">
      <c r="A2743" s="27">
        <v>45455.0</v>
      </c>
      <c r="B2743" s="26" t="s">
        <v>4969</v>
      </c>
      <c r="C2743" s="26" t="s">
        <v>2561</v>
      </c>
      <c r="D2743" s="26">
        <v>6480000.0</v>
      </c>
      <c r="F2743" s="26" t="s">
        <v>2542</v>
      </c>
      <c r="G2743" s="26">
        <v>331.0</v>
      </c>
    </row>
    <row r="2744">
      <c r="A2744" s="27">
        <v>45454.0</v>
      </c>
      <c r="B2744" s="26" t="s">
        <v>4970</v>
      </c>
      <c r="C2744" s="26" t="s">
        <v>255</v>
      </c>
      <c r="D2744" s="26">
        <v>5296154.0</v>
      </c>
      <c r="F2744" s="26" t="s">
        <v>2542</v>
      </c>
    </row>
    <row r="2745">
      <c r="A2745" s="27">
        <v>45454.0</v>
      </c>
      <c r="B2745" s="26" t="s">
        <v>4971</v>
      </c>
      <c r="C2745" s="26" t="s">
        <v>255</v>
      </c>
      <c r="D2745" s="26">
        <v>1188000.0</v>
      </c>
      <c r="F2745" s="26" t="s">
        <v>2542</v>
      </c>
    </row>
    <row r="2746">
      <c r="A2746" s="27">
        <v>45454.0</v>
      </c>
      <c r="B2746" s="26" t="s">
        <v>4972</v>
      </c>
      <c r="C2746" s="26" t="s">
        <v>2561</v>
      </c>
      <c r="D2746" s="26">
        <v>2.95056E7</v>
      </c>
      <c r="F2746" s="26" t="s">
        <v>2542</v>
      </c>
      <c r="G2746" s="26">
        <v>331.0</v>
      </c>
    </row>
    <row r="2747">
      <c r="A2747" s="27">
        <v>45454.0</v>
      </c>
      <c r="B2747" s="26" t="s">
        <v>4973</v>
      </c>
      <c r="C2747" s="26" t="s">
        <v>2561</v>
      </c>
      <c r="D2747" s="26">
        <v>9.12627E7</v>
      </c>
      <c r="F2747" s="26" t="s">
        <v>2542</v>
      </c>
      <c r="G2747" s="26">
        <v>331.0</v>
      </c>
    </row>
    <row r="2748">
      <c r="A2748" s="27">
        <v>45454.0</v>
      </c>
      <c r="B2748" s="26" t="s">
        <v>4974</v>
      </c>
      <c r="C2748" s="26" t="s">
        <v>2561</v>
      </c>
      <c r="D2748" s="26">
        <v>1.9849297E7</v>
      </c>
      <c r="F2748" s="26" t="s">
        <v>2542</v>
      </c>
      <c r="G2748" s="26">
        <v>331.0</v>
      </c>
    </row>
    <row r="2749">
      <c r="A2749" s="27">
        <v>45454.0</v>
      </c>
      <c r="B2749" s="26" t="s">
        <v>4975</v>
      </c>
      <c r="C2749" s="26" t="s">
        <v>2561</v>
      </c>
      <c r="D2749" s="26">
        <v>1.4196E7</v>
      </c>
      <c r="F2749" s="26" t="s">
        <v>2542</v>
      </c>
      <c r="G2749" s="26">
        <v>331.0</v>
      </c>
    </row>
    <row r="2750">
      <c r="A2750" s="27">
        <v>45453.0</v>
      </c>
      <c r="B2750" s="26" t="s">
        <v>4976</v>
      </c>
      <c r="C2750" s="26" t="s">
        <v>255</v>
      </c>
      <c r="D2750" s="26">
        <v>1504000.0</v>
      </c>
      <c r="F2750" s="26" t="s">
        <v>2542</v>
      </c>
    </row>
    <row r="2751">
      <c r="A2751" s="27">
        <v>45453.0</v>
      </c>
      <c r="B2751" s="26" t="s">
        <v>4977</v>
      </c>
      <c r="C2751" s="26" t="s">
        <v>255</v>
      </c>
      <c r="D2751" s="26">
        <v>1080000.0</v>
      </c>
      <c r="F2751" s="26" t="s">
        <v>2542</v>
      </c>
    </row>
    <row r="2752">
      <c r="A2752" s="27">
        <v>45453.0</v>
      </c>
      <c r="B2752" s="26" t="s">
        <v>4978</v>
      </c>
      <c r="C2752" s="26" t="s">
        <v>255</v>
      </c>
      <c r="D2752" s="26">
        <v>3240000.0</v>
      </c>
      <c r="F2752" s="26" t="s">
        <v>2542</v>
      </c>
    </row>
    <row r="2753">
      <c r="A2753" s="27">
        <v>45453.0</v>
      </c>
      <c r="B2753" s="26" t="s">
        <v>4979</v>
      </c>
      <c r="C2753" s="26" t="s">
        <v>255</v>
      </c>
      <c r="D2753" s="26">
        <v>4320000.0</v>
      </c>
      <c r="F2753" s="26" t="s">
        <v>2542</v>
      </c>
    </row>
    <row r="2754">
      <c r="A2754" s="27">
        <v>45453.0</v>
      </c>
      <c r="B2754" s="26" t="s">
        <v>4980</v>
      </c>
      <c r="C2754" s="26" t="s">
        <v>255</v>
      </c>
      <c r="D2754" s="26">
        <v>2160000.0</v>
      </c>
      <c r="F2754" s="26" t="s">
        <v>2542</v>
      </c>
    </row>
    <row r="2755">
      <c r="A2755" s="27">
        <v>45453.0</v>
      </c>
      <c r="B2755" s="26" t="s">
        <v>4981</v>
      </c>
      <c r="C2755" s="26" t="s">
        <v>255</v>
      </c>
      <c r="D2755" s="26">
        <v>2160000.0</v>
      </c>
      <c r="F2755" s="26" t="s">
        <v>2542</v>
      </c>
    </row>
    <row r="2756">
      <c r="A2756" s="27">
        <v>45453.0</v>
      </c>
      <c r="B2756" s="26" t="s">
        <v>4982</v>
      </c>
      <c r="C2756" s="26" t="s">
        <v>255</v>
      </c>
      <c r="D2756" s="26">
        <v>5920000.0</v>
      </c>
      <c r="F2756" s="26" t="s">
        <v>2542</v>
      </c>
    </row>
    <row r="2757">
      <c r="A2757" s="27">
        <v>45453.0</v>
      </c>
      <c r="B2757" s="26" t="s">
        <v>4983</v>
      </c>
      <c r="C2757" s="26" t="s">
        <v>255</v>
      </c>
      <c r="D2757" s="26">
        <v>1450000.0</v>
      </c>
      <c r="F2757" s="26" t="s">
        <v>2542</v>
      </c>
    </row>
    <row r="2758">
      <c r="A2758" s="27">
        <v>45453.0</v>
      </c>
      <c r="B2758" s="26" t="s">
        <v>2769</v>
      </c>
      <c r="C2758" s="26" t="s">
        <v>255</v>
      </c>
      <c r="D2758" s="26">
        <v>1080000.0</v>
      </c>
      <c r="F2758" s="26" t="s">
        <v>2542</v>
      </c>
    </row>
    <row r="2759">
      <c r="A2759" s="27">
        <v>45451.0</v>
      </c>
      <c r="B2759" s="26" t="s">
        <v>4984</v>
      </c>
      <c r="C2759" s="26" t="s">
        <v>255</v>
      </c>
      <c r="D2759" s="26">
        <v>3479000.0</v>
      </c>
      <c r="F2759" s="26" t="s">
        <v>2542</v>
      </c>
    </row>
    <row r="2760">
      <c r="A2760" s="27">
        <v>45451.0</v>
      </c>
      <c r="B2760" s="26" t="s">
        <v>4985</v>
      </c>
      <c r="C2760" s="26" t="s">
        <v>255</v>
      </c>
      <c r="D2760" s="26">
        <v>6000000.0</v>
      </c>
      <c r="F2760" s="26" t="s">
        <v>2542</v>
      </c>
    </row>
    <row r="2761">
      <c r="A2761" s="27">
        <v>45451.0</v>
      </c>
      <c r="B2761" s="26" t="s">
        <v>3865</v>
      </c>
      <c r="C2761" s="26" t="s">
        <v>255</v>
      </c>
      <c r="D2761" s="26">
        <v>4.0E7</v>
      </c>
      <c r="F2761" s="26" t="s">
        <v>2542</v>
      </c>
    </row>
    <row r="2762">
      <c r="A2762" s="27">
        <v>45451.0</v>
      </c>
      <c r="B2762" s="26" t="s">
        <v>4986</v>
      </c>
      <c r="C2762" s="26" t="s">
        <v>255</v>
      </c>
      <c r="D2762" s="26">
        <v>30000.0</v>
      </c>
      <c r="F2762" s="26" t="s">
        <v>2542</v>
      </c>
    </row>
    <row r="2763">
      <c r="A2763" s="27">
        <v>45451.0</v>
      </c>
      <c r="B2763" s="26" t="s">
        <v>2817</v>
      </c>
      <c r="C2763" s="26" t="s">
        <v>255</v>
      </c>
      <c r="D2763" s="26">
        <v>1080000.0</v>
      </c>
      <c r="F2763" s="26" t="s">
        <v>2542</v>
      </c>
    </row>
    <row r="2764">
      <c r="A2764" s="27">
        <v>45451.0</v>
      </c>
      <c r="B2764" s="26" t="s">
        <v>2769</v>
      </c>
      <c r="C2764" s="26" t="s">
        <v>255</v>
      </c>
      <c r="D2764" s="26">
        <v>1080000.0</v>
      </c>
      <c r="F2764" s="26" t="s">
        <v>2542</v>
      </c>
    </row>
    <row r="2765">
      <c r="A2765" s="27">
        <v>45451.0</v>
      </c>
      <c r="B2765" s="26" t="s">
        <v>4984</v>
      </c>
      <c r="C2765" s="28"/>
      <c r="D2765" s="26">
        <v>3479000.0</v>
      </c>
      <c r="F2765" s="26" t="s">
        <v>2542</v>
      </c>
    </row>
    <row r="2766">
      <c r="A2766" s="27">
        <v>45451.0</v>
      </c>
      <c r="B2766" s="26" t="s">
        <v>4985</v>
      </c>
      <c r="C2766" s="28"/>
      <c r="D2766" s="26">
        <v>6000000.0</v>
      </c>
      <c r="F2766" s="26" t="s">
        <v>2542</v>
      </c>
    </row>
    <row r="2767">
      <c r="A2767" s="27">
        <v>45451.0</v>
      </c>
      <c r="B2767" s="26" t="s">
        <v>3865</v>
      </c>
      <c r="C2767" s="28"/>
      <c r="D2767" s="26">
        <v>4.0E7</v>
      </c>
      <c r="F2767" s="26" t="s">
        <v>2542</v>
      </c>
    </row>
    <row r="2768">
      <c r="A2768" s="27">
        <v>45451.0</v>
      </c>
      <c r="B2768" s="26" t="s">
        <v>4987</v>
      </c>
      <c r="C2768" s="26" t="s">
        <v>2545</v>
      </c>
      <c r="D2768" s="26">
        <v>2200000.0</v>
      </c>
      <c r="F2768" s="26" t="s">
        <v>2542</v>
      </c>
      <c r="G2768" s="26">
        <v>3341.0</v>
      </c>
    </row>
    <row r="2769">
      <c r="A2769" s="27">
        <v>45451.0</v>
      </c>
      <c r="B2769" s="26" t="s">
        <v>4988</v>
      </c>
      <c r="C2769" s="26" t="s">
        <v>2545</v>
      </c>
      <c r="D2769" s="26">
        <v>2.51E7</v>
      </c>
      <c r="F2769" s="26" t="s">
        <v>2542</v>
      </c>
      <c r="G2769" s="26">
        <v>3341.0</v>
      </c>
    </row>
    <row r="2770">
      <c r="A2770" s="27">
        <v>45451.0</v>
      </c>
      <c r="B2770" s="26" t="s">
        <v>3456</v>
      </c>
      <c r="C2770" s="26" t="s">
        <v>2545</v>
      </c>
      <c r="D2770" s="26">
        <v>1.2E7</v>
      </c>
      <c r="F2770" s="26" t="s">
        <v>2542</v>
      </c>
      <c r="G2770" s="26">
        <v>3341.0</v>
      </c>
    </row>
    <row r="2771">
      <c r="A2771" s="27">
        <v>45451.0</v>
      </c>
      <c r="B2771" s="26" t="s">
        <v>4989</v>
      </c>
      <c r="C2771" s="26" t="s">
        <v>2545</v>
      </c>
      <c r="D2771" s="26">
        <v>7650000.0</v>
      </c>
      <c r="F2771" s="26" t="s">
        <v>2542</v>
      </c>
      <c r="G2771" s="26">
        <v>3341.0</v>
      </c>
    </row>
    <row r="2772">
      <c r="A2772" s="27">
        <v>45451.0</v>
      </c>
      <c r="B2772" s="26" t="s">
        <v>4990</v>
      </c>
      <c r="C2772" s="26" t="s">
        <v>2581</v>
      </c>
      <c r="D2772" s="26">
        <v>6000000.0</v>
      </c>
      <c r="F2772" s="26" t="s">
        <v>2542</v>
      </c>
      <c r="G2772" s="26">
        <v>6422.0</v>
      </c>
    </row>
    <row r="2773">
      <c r="A2773" s="27">
        <v>45450.0</v>
      </c>
      <c r="B2773" s="26" t="s">
        <v>3517</v>
      </c>
      <c r="C2773" s="26" t="s">
        <v>255</v>
      </c>
      <c r="D2773" s="26">
        <v>4.0E8</v>
      </c>
      <c r="F2773" s="26" t="s">
        <v>2542</v>
      </c>
    </row>
    <row r="2774">
      <c r="A2774" s="27">
        <v>45450.0</v>
      </c>
      <c r="B2774" s="26" t="s">
        <v>4991</v>
      </c>
      <c r="C2774" s="26" t="s">
        <v>255</v>
      </c>
      <c r="D2774" s="26">
        <v>2160000.0</v>
      </c>
      <c r="F2774" s="26" t="s">
        <v>2542</v>
      </c>
    </row>
    <row r="2775">
      <c r="A2775" s="27">
        <v>45450.0</v>
      </c>
      <c r="B2775" s="26" t="s">
        <v>4992</v>
      </c>
      <c r="C2775" s="26" t="s">
        <v>2887</v>
      </c>
      <c r="D2775" s="26" t="s">
        <v>4673</v>
      </c>
      <c r="F2775" s="26" t="s">
        <v>2542</v>
      </c>
    </row>
    <row r="2776">
      <c r="A2776" s="27">
        <v>45450.0</v>
      </c>
      <c r="B2776" s="26" t="s">
        <v>4925</v>
      </c>
      <c r="C2776" s="26" t="s">
        <v>2887</v>
      </c>
      <c r="D2776" s="26" t="s">
        <v>4673</v>
      </c>
      <c r="F2776" s="26" t="s">
        <v>2542</v>
      </c>
    </row>
    <row r="2777">
      <c r="A2777" s="27">
        <v>45450.0</v>
      </c>
      <c r="B2777" s="26" t="s">
        <v>3517</v>
      </c>
      <c r="C2777" s="28"/>
      <c r="D2777" s="26">
        <v>4.0E8</v>
      </c>
      <c r="F2777" s="26" t="s">
        <v>2542</v>
      </c>
    </row>
    <row r="2778">
      <c r="A2778" s="27">
        <v>45450.0</v>
      </c>
      <c r="B2778" s="26" t="s">
        <v>4993</v>
      </c>
      <c r="C2778" s="26" t="s">
        <v>2545</v>
      </c>
      <c r="D2778" s="26">
        <v>2.4E7</v>
      </c>
      <c r="F2778" s="26" t="s">
        <v>2542</v>
      </c>
      <c r="G2778" s="26">
        <v>3341.0</v>
      </c>
    </row>
    <row r="2779">
      <c r="A2779" s="27">
        <v>45450.0</v>
      </c>
      <c r="B2779" s="26" t="s">
        <v>4994</v>
      </c>
      <c r="C2779" s="26" t="s">
        <v>2545</v>
      </c>
      <c r="D2779" s="26">
        <v>2.4E7</v>
      </c>
      <c r="F2779" s="26" t="s">
        <v>2542</v>
      </c>
      <c r="G2779" s="26">
        <v>3341.0</v>
      </c>
    </row>
    <row r="2780">
      <c r="A2780" s="27">
        <v>45450.0</v>
      </c>
      <c r="B2780" s="26" t="s">
        <v>4995</v>
      </c>
      <c r="C2780" s="26" t="s">
        <v>2545</v>
      </c>
      <c r="D2780" s="26">
        <v>2.2E7</v>
      </c>
      <c r="F2780" s="26" t="s">
        <v>2542</v>
      </c>
      <c r="G2780" s="26">
        <v>3341.0</v>
      </c>
    </row>
    <row r="2781">
      <c r="A2781" s="27">
        <v>45450.0</v>
      </c>
      <c r="B2781" s="26" t="s">
        <v>4996</v>
      </c>
      <c r="C2781" s="26" t="s">
        <v>2545</v>
      </c>
      <c r="D2781" s="26">
        <v>1.42E7</v>
      </c>
      <c r="F2781" s="26" t="s">
        <v>2542</v>
      </c>
      <c r="G2781" s="26">
        <v>3341.0</v>
      </c>
    </row>
    <row r="2782">
      <c r="A2782" s="27">
        <v>45450.0</v>
      </c>
      <c r="B2782" s="26" t="s">
        <v>3422</v>
      </c>
      <c r="C2782" s="26" t="s">
        <v>2545</v>
      </c>
      <c r="D2782" s="26">
        <v>1.2E7</v>
      </c>
      <c r="F2782" s="26" t="s">
        <v>2542</v>
      </c>
      <c r="G2782" s="26">
        <v>3341.0</v>
      </c>
    </row>
    <row r="2783">
      <c r="A2783" s="27">
        <v>45450.0</v>
      </c>
      <c r="B2783" s="26" t="s">
        <v>3461</v>
      </c>
      <c r="C2783" s="26" t="s">
        <v>2545</v>
      </c>
      <c r="D2783" s="26">
        <v>2.250375E7</v>
      </c>
      <c r="F2783" s="26" t="s">
        <v>2542</v>
      </c>
      <c r="G2783" s="26">
        <v>3341.0</v>
      </c>
    </row>
    <row r="2784">
      <c r="A2784" s="27">
        <v>45450.0</v>
      </c>
      <c r="B2784" s="26" t="s">
        <v>4997</v>
      </c>
      <c r="C2784" s="26" t="s">
        <v>2545</v>
      </c>
      <c r="D2784" s="26">
        <v>1.236E7</v>
      </c>
      <c r="F2784" s="26" t="s">
        <v>2542</v>
      </c>
      <c r="G2784" s="26">
        <v>3341.0</v>
      </c>
    </row>
    <row r="2785">
      <c r="A2785" s="27">
        <v>45450.0</v>
      </c>
      <c r="B2785" s="26" t="s">
        <v>4998</v>
      </c>
      <c r="C2785" s="26" t="s">
        <v>2574</v>
      </c>
      <c r="D2785" s="26">
        <v>4645080.0</v>
      </c>
      <c r="F2785" s="26" t="s">
        <v>2542</v>
      </c>
      <c r="G2785" s="26">
        <v>331.0</v>
      </c>
    </row>
    <row r="2786">
      <c r="A2786" s="27">
        <v>45450.0</v>
      </c>
      <c r="B2786" s="26" t="s">
        <v>4999</v>
      </c>
      <c r="C2786" s="26" t="s">
        <v>3460</v>
      </c>
      <c r="D2786" s="26">
        <v>7970000.0</v>
      </c>
      <c r="F2786" s="26" t="s">
        <v>2542</v>
      </c>
      <c r="G2786" s="26">
        <v>331.0</v>
      </c>
    </row>
    <row r="2787">
      <c r="A2787" s="27">
        <v>45450.0</v>
      </c>
      <c r="B2787" s="26" t="s">
        <v>5000</v>
      </c>
      <c r="C2787" s="26" t="s">
        <v>2561</v>
      </c>
      <c r="D2787" s="26">
        <v>3.2925E7</v>
      </c>
      <c r="F2787" s="26" t="s">
        <v>2542</v>
      </c>
      <c r="G2787" s="26">
        <v>331.0</v>
      </c>
    </row>
    <row r="2788">
      <c r="A2788" s="27">
        <v>45450.0</v>
      </c>
      <c r="B2788" s="26" t="s">
        <v>5001</v>
      </c>
      <c r="C2788" s="26" t="s">
        <v>3460</v>
      </c>
      <c r="D2788" s="26">
        <v>1.1E7</v>
      </c>
      <c r="F2788" s="26" t="s">
        <v>2542</v>
      </c>
      <c r="G2788" s="26">
        <v>331.0</v>
      </c>
    </row>
    <row r="2789">
      <c r="A2789" s="27">
        <v>45450.0</v>
      </c>
      <c r="B2789" s="26" t="s">
        <v>5002</v>
      </c>
      <c r="C2789" s="26" t="s">
        <v>2561</v>
      </c>
      <c r="D2789" s="26">
        <v>1.9364412E7</v>
      </c>
      <c r="F2789" s="26" t="s">
        <v>2542</v>
      </c>
      <c r="G2789" s="26">
        <v>331.0</v>
      </c>
    </row>
    <row r="2790">
      <c r="A2790" s="27">
        <v>45450.0</v>
      </c>
      <c r="B2790" s="26" t="s">
        <v>5003</v>
      </c>
      <c r="C2790" s="26" t="s">
        <v>2561</v>
      </c>
      <c r="D2790" s="26">
        <v>9.7388358E7</v>
      </c>
      <c r="F2790" s="26" t="s">
        <v>2542</v>
      </c>
      <c r="G2790" s="26">
        <v>331.0</v>
      </c>
    </row>
    <row r="2791">
      <c r="A2791" s="27">
        <v>45450.0</v>
      </c>
      <c r="B2791" s="26" t="s">
        <v>5004</v>
      </c>
      <c r="C2791" s="26" t="s">
        <v>2655</v>
      </c>
      <c r="D2791" s="26">
        <v>1.632E7</v>
      </c>
      <c r="F2791" s="26" t="s">
        <v>2542</v>
      </c>
      <c r="G2791" s="26">
        <v>3383.0</v>
      </c>
    </row>
    <row r="2792">
      <c r="A2792" s="27">
        <v>45450.0</v>
      </c>
      <c r="B2792" s="26" t="s">
        <v>3468</v>
      </c>
      <c r="C2792" s="26" t="s">
        <v>2545</v>
      </c>
      <c r="D2792" s="26">
        <v>1.59E7</v>
      </c>
      <c r="F2792" s="26" t="s">
        <v>2542</v>
      </c>
      <c r="G2792" s="26">
        <v>3341.0</v>
      </c>
    </row>
    <row r="2793">
      <c r="A2793" s="27">
        <v>45450.0</v>
      </c>
      <c r="B2793" s="26" t="s">
        <v>5005</v>
      </c>
      <c r="C2793" s="26" t="s">
        <v>2564</v>
      </c>
      <c r="D2793" s="26" t="s">
        <v>5006</v>
      </c>
      <c r="F2793" s="26" t="s">
        <v>2542</v>
      </c>
      <c r="G2793" s="26">
        <v>3332.0</v>
      </c>
    </row>
    <row r="2794">
      <c r="A2794" s="27">
        <v>45450.0</v>
      </c>
      <c r="B2794" s="26" t="s">
        <v>5007</v>
      </c>
      <c r="C2794" s="26" t="s">
        <v>2564</v>
      </c>
      <c r="D2794" s="26" t="s">
        <v>5008</v>
      </c>
      <c r="F2794" s="26" t="s">
        <v>2542</v>
      </c>
      <c r="G2794" s="26">
        <v>3332.0</v>
      </c>
    </row>
    <row r="2795">
      <c r="A2795" s="27">
        <v>45450.0</v>
      </c>
      <c r="B2795" s="26" t="s">
        <v>5009</v>
      </c>
      <c r="C2795" s="26" t="s">
        <v>2564</v>
      </c>
      <c r="D2795" s="26">
        <v>115.0</v>
      </c>
      <c r="F2795" s="26" t="s">
        <v>2542</v>
      </c>
      <c r="G2795" s="26">
        <v>3335.0</v>
      </c>
    </row>
    <row r="2796">
      <c r="A2796" s="27">
        <v>45449.0</v>
      </c>
      <c r="B2796" s="26" t="s">
        <v>5010</v>
      </c>
      <c r="C2796" s="26" t="s">
        <v>255</v>
      </c>
      <c r="D2796" s="26">
        <v>429000.0</v>
      </c>
      <c r="F2796" s="26" t="s">
        <v>2542</v>
      </c>
    </row>
    <row r="2797">
      <c r="A2797" s="27">
        <v>45449.0</v>
      </c>
      <c r="B2797" s="26" t="s">
        <v>5011</v>
      </c>
      <c r="C2797" s="26" t="s">
        <v>2583</v>
      </c>
      <c r="D2797" s="26">
        <v>500000.0</v>
      </c>
      <c r="F2797" s="26" t="s">
        <v>2542</v>
      </c>
      <c r="G2797" s="26">
        <v>641.23</v>
      </c>
    </row>
    <row r="2798">
      <c r="A2798" s="27">
        <v>45449.0</v>
      </c>
      <c r="B2798" s="26" t="s">
        <v>5012</v>
      </c>
      <c r="C2798" s="26" t="s">
        <v>2583</v>
      </c>
      <c r="D2798" s="26">
        <v>1300000.0</v>
      </c>
      <c r="F2798" s="26" t="s">
        <v>2542</v>
      </c>
      <c r="G2798" s="26">
        <v>641.23</v>
      </c>
    </row>
    <row r="2799">
      <c r="A2799" s="27">
        <v>45449.0</v>
      </c>
      <c r="B2799" s="26" t="s">
        <v>5013</v>
      </c>
      <c r="C2799" s="26" t="s">
        <v>2764</v>
      </c>
      <c r="D2799" s="26">
        <v>550000.0</v>
      </c>
      <c r="F2799" s="26" t="s">
        <v>2542</v>
      </c>
      <c r="G2799" s="26">
        <v>6273.0</v>
      </c>
    </row>
    <row r="2800">
      <c r="A2800" s="27">
        <v>45449.0</v>
      </c>
      <c r="B2800" s="26" t="s">
        <v>5014</v>
      </c>
      <c r="C2800" s="26" t="s">
        <v>2561</v>
      </c>
      <c r="D2800" s="26">
        <v>5753150.0</v>
      </c>
      <c r="F2800" s="26" t="s">
        <v>2542</v>
      </c>
      <c r="G2800" s="26">
        <v>331.0</v>
      </c>
    </row>
    <row r="2801">
      <c r="A2801" s="27">
        <v>45448.0</v>
      </c>
      <c r="B2801" s="26" t="s">
        <v>5015</v>
      </c>
      <c r="C2801" s="26" t="s">
        <v>255</v>
      </c>
      <c r="D2801" s="26">
        <v>3840000.0</v>
      </c>
      <c r="F2801" s="26" t="s">
        <v>2542</v>
      </c>
    </row>
    <row r="2802">
      <c r="A2802" s="27">
        <v>45448.0</v>
      </c>
      <c r="B2802" s="26" t="s">
        <v>5016</v>
      </c>
      <c r="C2802" s="26" t="s">
        <v>255</v>
      </c>
      <c r="D2802" s="26">
        <v>4590000.0</v>
      </c>
      <c r="F2802" s="26" t="s">
        <v>2542</v>
      </c>
    </row>
    <row r="2803">
      <c r="A2803" s="27">
        <v>45448.0</v>
      </c>
      <c r="B2803" s="26" t="s">
        <v>5017</v>
      </c>
      <c r="C2803" s="26" t="s">
        <v>255</v>
      </c>
      <c r="D2803" s="26">
        <v>3600000.0</v>
      </c>
      <c r="F2803" s="26" t="s">
        <v>2542</v>
      </c>
    </row>
    <row r="2804">
      <c r="A2804" s="27">
        <v>45448.0</v>
      </c>
      <c r="B2804" s="26" t="s">
        <v>5018</v>
      </c>
      <c r="C2804" s="26" t="s">
        <v>2561</v>
      </c>
      <c r="D2804" s="26">
        <v>6950000.0</v>
      </c>
      <c r="F2804" s="26" t="s">
        <v>2542</v>
      </c>
      <c r="G2804" s="26">
        <v>331.0</v>
      </c>
    </row>
    <row r="2805">
      <c r="A2805" s="27">
        <v>45448.0</v>
      </c>
      <c r="B2805" s="26" t="s">
        <v>5019</v>
      </c>
      <c r="C2805" s="26" t="s">
        <v>2545</v>
      </c>
      <c r="D2805" s="26">
        <v>2461200.0</v>
      </c>
      <c r="F2805" s="26" t="s">
        <v>2542</v>
      </c>
      <c r="G2805" s="26">
        <v>3341.0</v>
      </c>
    </row>
    <row r="2806">
      <c r="A2806" s="27">
        <v>45448.0</v>
      </c>
      <c r="B2806" s="26" t="s">
        <v>5020</v>
      </c>
      <c r="C2806" s="26" t="s">
        <v>2583</v>
      </c>
      <c r="D2806" s="26">
        <v>1500000.0</v>
      </c>
      <c r="F2806" s="26" t="s">
        <v>2542</v>
      </c>
      <c r="G2806" s="26">
        <v>641.27</v>
      </c>
    </row>
    <row r="2807">
      <c r="A2807" s="27">
        <v>45448.0</v>
      </c>
      <c r="B2807" s="26" t="s">
        <v>5021</v>
      </c>
      <c r="C2807" s="26" t="s">
        <v>2581</v>
      </c>
      <c r="D2807" s="26">
        <v>3000000.0</v>
      </c>
      <c r="F2807" s="26" t="s">
        <v>2542</v>
      </c>
      <c r="G2807" s="26">
        <v>6422.0</v>
      </c>
    </row>
    <row r="2808">
      <c r="A2808" s="27">
        <v>45447.0</v>
      </c>
      <c r="B2808" s="26" t="s">
        <v>3439</v>
      </c>
      <c r="C2808" s="26" t="s">
        <v>255</v>
      </c>
      <c r="D2808" s="26">
        <v>8882500.0</v>
      </c>
      <c r="F2808" s="26" t="s">
        <v>2542</v>
      </c>
    </row>
    <row r="2809">
      <c r="A2809" s="27">
        <v>45447.0</v>
      </c>
      <c r="B2809" s="26" t="s">
        <v>3490</v>
      </c>
      <c r="C2809" s="26" t="s">
        <v>255</v>
      </c>
      <c r="D2809" s="26">
        <v>1.3383E7</v>
      </c>
      <c r="F2809" s="26" t="s">
        <v>2542</v>
      </c>
    </row>
    <row r="2810">
      <c r="A2810" s="27">
        <v>45447.0</v>
      </c>
      <c r="B2810" s="26" t="s">
        <v>5022</v>
      </c>
      <c r="C2810" s="26" t="s">
        <v>2583</v>
      </c>
      <c r="D2810" s="26">
        <v>1.4E7</v>
      </c>
      <c r="F2810" s="26" t="s">
        <v>2542</v>
      </c>
      <c r="G2810" s="26">
        <v>641.24</v>
      </c>
    </row>
    <row r="2811">
      <c r="A2811" s="27">
        <v>45447.0</v>
      </c>
      <c r="B2811" s="26" t="s">
        <v>5023</v>
      </c>
      <c r="C2811" s="26" t="s">
        <v>2561</v>
      </c>
      <c r="D2811" s="26">
        <v>3380000.0</v>
      </c>
      <c r="F2811" s="26" t="s">
        <v>2542</v>
      </c>
      <c r="G2811" s="26">
        <v>331.0</v>
      </c>
    </row>
    <row r="2812">
      <c r="A2812" s="27">
        <v>45447.0</v>
      </c>
      <c r="B2812" s="26" t="s">
        <v>5024</v>
      </c>
      <c r="C2812" s="26" t="s">
        <v>2571</v>
      </c>
      <c r="D2812" s="26">
        <v>1565000.0</v>
      </c>
      <c r="F2812" s="26" t="s">
        <v>2542</v>
      </c>
      <c r="G2812" s="26">
        <v>641.16</v>
      </c>
    </row>
    <row r="2813">
      <c r="A2813" s="27">
        <v>45447.0</v>
      </c>
      <c r="B2813" s="26" t="s">
        <v>5025</v>
      </c>
      <c r="C2813" s="26" t="s">
        <v>2581</v>
      </c>
      <c r="D2813" s="26">
        <v>1260000.0</v>
      </c>
      <c r="F2813" s="26" t="s">
        <v>2542</v>
      </c>
      <c r="G2813" s="26">
        <v>6422.0</v>
      </c>
    </row>
    <row r="2814">
      <c r="A2814" s="27">
        <v>45446.0</v>
      </c>
      <c r="B2814" s="26" t="s">
        <v>3437</v>
      </c>
      <c r="C2814" s="26" t="s">
        <v>255</v>
      </c>
      <c r="D2814" s="26">
        <v>1875000.0</v>
      </c>
      <c r="F2814" s="26" t="s">
        <v>2542</v>
      </c>
    </row>
    <row r="2815">
      <c r="A2815" s="27">
        <v>45446.0</v>
      </c>
      <c r="B2815" s="26" t="s">
        <v>3480</v>
      </c>
      <c r="C2815" s="26" t="s">
        <v>255</v>
      </c>
      <c r="D2815" s="26">
        <v>1450000.0</v>
      </c>
      <c r="F2815" s="26" t="s">
        <v>2542</v>
      </c>
    </row>
    <row r="2816">
      <c r="A2816" s="27">
        <v>45446.0</v>
      </c>
      <c r="B2816" s="26" t="s">
        <v>3481</v>
      </c>
      <c r="C2816" s="26" t="s">
        <v>255</v>
      </c>
      <c r="D2816" s="26">
        <v>9960000.0</v>
      </c>
      <c r="F2816" s="26" t="s">
        <v>2542</v>
      </c>
    </row>
    <row r="2817">
      <c r="A2817" s="27">
        <v>45446.0</v>
      </c>
      <c r="B2817" s="26" t="s">
        <v>3010</v>
      </c>
      <c r="C2817" s="26" t="s">
        <v>255</v>
      </c>
      <c r="D2817" s="26">
        <v>1080000.0</v>
      </c>
      <c r="F2817" s="26" t="s">
        <v>2542</v>
      </c>
    </row>
    <row r="2818">
      <c r="A2818" s="27">
        <v>45446.0</v>
      </c>
      <c r="B2818" s="26" t="s">
        <v>5026</v>
      </c>
      <c r="C2818" s="26" t="s">
        <v>255</v>
      </c>
      <c r="D2818" s="26">
        <v>1080000.0</v>
      </c>
      <c r="F2818" s="26" t="s">
        <v>2542</v>
      </c>
    </row>
    <row r="2819">
      <c r="A2819" s="27">
        <v>45446.0</v>
      </c>
      <c r="B2819" s="26" t="s">
        <v>5027</v>
      </c>
      <c r="C2819" s="26" t="s">
        <v>2571</v>
      </c>
      <c r="D2819" s="26">
        <v>890000.0</v>
      </c>
      <c r="F2819" s="26" t="s">
        <v>2542</v>
      </c>
      <c r="G2819" s="26">
        <v>641.22</v>
      </c>
    </row>
    <row r="2820">
      <c r="A2820" s="27">
        <v>45444.0</v>
      </c>
      <c r="B2820" s="26" t="s">
        <v>5028</v>
      </c>
      <c r="C2820" s="26" t="s">
        <v>255</v>
      </c>
      <c r="D2820" s="26">
        <v>1.5768E7</v>
      </c>
      <c r="F2820" s="26" t="s">
        <v>2542</v>
      </c>
    </row>
    <row r="2821">
      <c r="A2821" s="27">
        <v>45444.0</v>
      </c>
      <c r="B2821" s="26" t="s">
        <v>4930</v>
      </c>
      <c r="C2821" s="26" t="s">
        <v>255</v>
      </c>
      <c r="D2821" s="26">
        <v>2700000.0</v>
      </c>
      <c r="F2821" s="26" t="s">
        <v>2542</v>
      </c>
    </row>
    <row r="2822">
      <c r="A2822" s="27">
        <v>45444.0</v>
      </c>
      <c r="B2822" s="26" t="s">
        <v>4931</v>
      </c>
      <c r="C2822" s="26" t="s">
        <v>255</v>
      </c>
      <c r="D2822" s="26">
        <v>2618000.0</v>
      </c>
      <c r="F2822" s="26" t="s">
        <v>2542</v>
      </c>
    </row>
    <row r="2823">
      <c r="A2823" s="27">
        <v>45444.0</v>
      </c>
      <c r="B2823" s="26" t="s">
        <v>5029</v>
      </c>
      <c r="C2823" s="26" t="s">
        <v>2545</v>
      </c>
      <c r="D2823" s="26">
        <v>1.6E7</v>
      </c>
      <c r="F2823" s="26" t="s">
        <v>2542</v>
      </c>
      <c r="G2823" s="26">
        <v>3341.0</v>
      </c>
    </row>
    <row r="2824">
      <c r="A2824" s="27">
        <v>45444.0</v>
      </c>
      <c r="B2824" s="26" t="s">
        <v>5030</v>
      </c>
      <c r="C2824" s="26" t="s">
        <v>2574</v>
      </c>
      <c r="D2824" s="26">
        <v>4502520.0</v>
      </c>
      <c r="F2824" s="26" t="s">
        <v>2542</v>
      </c>
      <c r="G2824" s="26">
        <v>331.0</v>
      </c>
    </row>
    <row r="2825">
      <c r="A2825" s="27">
        <v>45444.0</v>
      </c>
      <c r="B2825" s="26" t="s">
        <v>5031</v>
      </c>
      <c r="C2825" s="26" t="s">
        <v>2545</v>
      </c>
      <c r="D2825" s="26">
        <v>2000000.0</v>
      </c>
      <c r="F2825" s="26" t="s">
        <v>2542</v>
      </c>
      <c r="G2825" s="26">
        <v>3341.0</v>
      </c>
    </row>
    <row r="2826">
      <c r="A2826" s="27">
        <v>45444.0</v>
      </c>
      <c r="B2826" s="26" t="s">
        <v>5032</v>
      </c>
      <c r="C2826" s="26" t="s">
        <v>2561</v>
      </c>
      <c r="D2826" s="26">
        <v>4900000.0</v>
      </c>
      <c r="F2826" s="26" t="s">
        <v>2542</v>
      </c>
      <c r="G2826" s="26">
        <v>331.0</v>
      </c>
    </row>
    <row r="2827">
      <c r="A2827" s="27">
        <v>45444.0</v>
      </c>
      <c r="B2827" s="26" t="s">
        <v>5033</v>
      </c>
      <c r="C2827" s="26" t="s">
        <v>2583</v>
      </c>
      <c r="D2827" s="26">
        <v>618000.0</v>
      </c>
      <c r="F2827" s="26" t="s">
        <v>2542</v>
      </c>
      <c r="G2827" s="26">
        <v>641.23</v>
      </c>
    </row>
    <row r="2828">
      <c r="A2828" s="27">
        <v>45443.0</v>
      </c>
      <c r="B2828" s="26" t="s">
        <v>5034</v>
      </c>
      <c r="C2828" s="26" t="s">
        <v>255</v>
      </c>
      <c r="D2828" s="26">
        <v>540000.0</v>
      </c>
      <c r="F2828" s="26" t="s">
        <v>2542</v>
      </c>
    </row>
    <row r="2829">
      <c r="A2829" s="27">
        <v>45443.0</v>
      </c>
      <c r="B2829" s="26" t="s">
        <v>5035</v>
      </c>
      <c r="C2829" s="26" t="s">
        <v>255</v>
      </c>
      <c r="D2829" s="26">
        <v>1205000.0</v>
      </c>
      <c r="F2829" s="26" t="s">
        <v>2542</v>
      </c>
    </row>
    <row r="2830">
      <c r="A2830" s="27">
        <v>45443.0</v>
      </c>
      <c r="B2830" s="26" t="s">
        <v>4746</v>
      </c>
      <c r="C2830" s="26" t="s">
        <v>255</v>
      </c>
      <c r="D2830" s="26">
        <v>1875000.0</v>
      </c>
      <c r="F2830" s="26" t="s">
        <v>2542</v>
      </c>
    </row>
    <row r="2831">
      <c r="A2831" s="27">
        <v>45443.0</v>
      </c>
      <c r="B2831" s="26" t="s">
        <v>5036</v>
      </c>
      <c r="C2831" s="26" t="s">
        <v>255</v>
      </c>
      <c r="D2831" s="26">
        <v>1875000.0</v>
      </c>
      <c r="F2831" s="26" t="s">
        <v>2542</v>
      </c>
    </row>
    <row r="2832">
      <c r="A2832" s="27">
        <v>45443.0</v>
      </c>
      <c r="B2832" s="26" t="s">
        <v>5037</v>
      </c>
      <c r="C2832" s="26" t="s">
        <v>255</v>
      </c>
      <c r="D2832" s="26">
        <v>819.0</v>
      </c>
      <c r="F2832" s="26" t="s">
        <v>2542</v>
      </c>
    </row>
    <row r="2833">
      <c r="A2833" s="27">
        <v>45442.0</v>
      </c>
      <c r="B2833" s="26" t="s">
        <v>2829</v>
      </c>
      <c r="C2833" s="26" t="s">
        <v>255</v>
      </c>
      <c r="D2833" s="26">
        <v>2400000.0</v>
      </c>
      <c r="F2833" s="26" t="s">
        <v>2542</v>
      </c>
    </row>
    <row r="2834">
      <c r="A2834" s="27">
        <v>45442.0</v>
      </c>
      <c r="B2834" s="26" t="s">
        <v>2769</v>
      </c>
      <c r="C2834" s="26" t="s">
        <v>255</v>
      </c>
      <c r="D2834" s="26">
        <v>1080000.0</v>
      </c>
      <c r="F2834" s="26" t="s">
        <v>2542</v>
      </c>
    </row>
    <row r="2835">
      <c r="A2835" s="27">
        <v>45442.0</v>
      </c>
      <c r="B2835" s="26" t="s">
        <v>3010</v>
      </c>
      <c r="C2835" s="26" t="s">
        <v>255</v>
      </c>
      <c r="D2835" s="26">
        <v>1080000.0</v>
      </c>
      <c r="F2835" s="26" t="s">
        <v>2542</v>
      </c>
    </row>
    <row r="2836">
      <c r="A2836" s="27">
        <v>45442.0</v>
      </c>
      <c r="B2836" s="26" t="s">
        <v>3210</v>
      </c>
      <c r="C2836" s="26" t="s">
        <v>255</v>
      </c>
      <c r="D2836" s="26">
        <v>1080000.0</v>
      </c>
      <c r="F2836" s="26" t="s">
        <v>2542</v>
      </c>
    </row>
    <row r="2837">
      <c r="A2837" s="27">
        <v>45442.0</v>
      </c>
      <c r="B2837" s="26" t="s">
        <v>5038</v>
      </c>
      <c r="C2837" s="26" t="s">
        <v>2561</v>
      </c>
      <c r="D2837" s="26">
        <v>4320000.0</v>
      </c>
      <c r="F2837" s="26" t="s">
        <v>2542</v>
      </c>
      <c r="G2837" s="26">
        <v>331.0</v>
      </c>
    </row>
    <row r="2838">
      <c r="A2838" s="27">
        <v>45442.0</v>
      </c>
      <c r="B2838" s="26" t="s">
        <v>5039</v>
      </c>
      <c r="C2838" s="26" t="s">
        <v>2545</v>
      </c>
      <c r="D2838" s="26">
        <v>1.2E7</v>
      </c>
      <c r="F2838" s="26" t="s">
        <v>2542</v>
      </c>
      <c r="G2838" s="26">
        <v>3341.0</v>
      </c>
    </row>
    <row r="2839">
      <c r="A2839" s="27">
        <v>45442.0</v>
      </c>
      <c r="B2839" s="26" t="s">
        <v>5040</v>
      </c>
      <c r="C2839" s="26" t="s">
        <v>2583</v>
      </c>
      <c r="D2839" s="26">
        <v>1950000.0</v>
      </c>
      <c r="F2839" s="26" t="s">
        <v>2542</v>
      </c>
      <c r="G2839" s="26">
        <v>641.23</v>
      </c>
    </row>
    <row r="2840">
      <c r="A2840" s="27">
        <v>45442.0</v>
      </c>
      <c r="B2840" s="26" t="s">
        <v>5041</v>
      </c>
      <c r="C2840" s="26" t="s">
        <v>2561</v>
      </c>
      <c r="D2840" s="26">
        <v>1800000.0</v>
      </c>
      <c r="F2840" s="26" t="s">
        <v>2542</v>
      </c>
      <c r="G2840" s="26">
        <v>331.0</v>
      </c>
    </row>
    <row r="2841">
      <c r="A2841" s="27">
        <v>45442.0</v>
      </c>
      <c r="B2841" s="26" t="s">
        <v>5042</v>
      </c>
      <c r="C2841" s="26" t="s">
        <v>2561</v>
      </c>
      <c r="D2841" s="26">
        <v>1.15E7</v>
      </c>
      <c r="F2841" s="26" t="s">
        <v>2542</v>
      </c>
      <c r="G2841" s="26">
        <v>331.0</v>
      </c>
    </row>
    <row r="2842">
      <c r="A2842" s="27">
        <v>45442.0</v>
      </c>
      <c r="B2842" s="26" t="s">
        <v>5043</v>
      </c>
      <c r="C2842" s="26" t="s">
        <v>2583</v>
      </c>
      <c r="D2842" s="26">
        <v>3000000.0</v>
      </c>
      <c r="F2842" s="26" t="s">
        <v>2542</v>
      </c>
      <c r="G2842" s="26">
        <v>641.23</v>
      </c>
    </row>
    <row r="2843">
      <c r="A2843" s="27">
        <v>45442.0</v>
      </c>
      <c r="B2843" s="26" t="s">
        <v>5044</v>
      </c>
      <c r="C2843" s="26" t="s">
        <v>2583</v>
      </c>
      <c r="D2843" s="26">
        <v>612000.0</v>
      </c>
      <c r="F2843" s="26" t="s">
        <v>2542</v>
      </c>
      <c r="G2843" s="26">
        <v>641.24</v>
      </c>
    </row>
    <row r="2844">
      <c r="A2844" s="27">
        <v>45441.0</v>
      </c>
      <c r="B2844" s="26" t="s">
        <v>5045</v>
      </c>
      <c r="C2844" s="26" t="s">
        <v>255</v>
      </c>
      <c r="D2844" s="26">
        <v>1152000.0</v>
      </c>
      <c r="F2844" s="26" t="s">
        <v>2542</v>
      </c>
    </row>
    <row r="2845">
      <c r="A2845" s="27">
        <v>45440.0</v>
      </c>
      <c r="B2845" s="26" t="s">
        <v>5046</v>
      </c>
      <c r="C2845" s="26" t="s">
        <v>255</v>
      </c>
      <c r="D2845" s="26">
        <v>9875583.0</v>
      </c>
      <c r="F2845" s="26" t="s">
        <v>2542</v>
      </c>
    </row>
    <row r="2846">
      <c r="A2846" s="27">
        <v>45440.0</v>
      </c>
      <c r="B2846" s="26" t="s">
        <v>2775</v>
      </c>
      <c r="C2846" s="26" t="s">
        <v>255</v>
      </c>
      <c r="D2846" s="26">
        <v>1.56816E7</v>
      </c>
      <c r="F2846" s="26" t="s">
        <v>2542</v>
      </c>
    </row>
    <row r="2847">
      <c r="A2847" s="27">
        <v>45440.0</v>
      </c>
      <c r="B2847" s="26" t="s">
        <v>5047</v>
      </c>
      <c r="C2847" s="26" t="s">
        <v>2593</v>
      </c>
      <c r="D2847" s="26">
        <v>200000.0</v>
      </c>
      <c r="F2847" s="26" t="s">
        <v>2542</v>
      </c>
      <c r="G2847" s="26">
        <v>6423.0</v>
      </c>
    </row>
    <row r="2848">
      <c r="A2848" s="27">
        <v>45439.0</v>
      </c>
      <c r="B2848" s="26" t="s">
        <v>5048</v>
      </c>
      <c r="C2848" s="26" t="s">
        <v>255</v>
      </c>
      <c r="D2848" s="26">
        <v>2.2785E7</v>
      </c>
      <c r="F2848" s="26" t="s">
        <v>2542</v>
      </c>
    </row>
    <row r="2849">
      <c r="A2849" s="27">
        <v>45439.0</v>
      </c>
      <c r="B2849" s="26" t="s">
        <v>5049</v>
      </c>
      <c r="C2849" s="26" t="s">
        <v>255</v>
      </c>
      <c r="D2849" s="26">
        <v>4775000.0</v>
      </c>
      <c r="F2849" s="26" t="s">
        <v>2542</v>
      </c>
    </row>
    <row r="2850">
      <c r="A2850" s="27">
        <v>45439.0</v>
      </c>
      <c r="B2850" s="26" t="s">
        <v>5050</v>
      </c>
      <c r="C2850" s="26" t="s">
        <v>255</v>
      </c>
      <c r="D2850" s="26">
        <v>3665000.0</v>
      </c>
      <c r="F2850" s="26" t="s">
        <v>2542</v>
      </c>
    </row>
    <row r="2851">
      <c r="A2851" s="27">
        <v>45439.0</v>
      </c>
      <c r="B2851" s="26" t="s">
        <v>5051</v>
      </c>
      <c r="C2851" s="26" t="s">
        <v>255</v>
      </c>
      <c r="D2851" s="26">
        <v>1220000.0</v>
      </c>
      <c r="F2851" s="26" t="s">
        <v>2542</v>
      </c>
    </row>
    <row r="2852">
      <c r="A2852" s="27">
        <v>45439.0</v>
      </c>
      <c r="B2852" s="26" t="s">
        <v>5052</v>
      </c>
      <c r="C2852" s="26" t="s">
        <v>2764</v>
      </c>
      <c r="D2852" s="26">
        <v>8516915.0</v>
      </c>
      <c r="F2852" s="26" t="s">
        <v>2542</v>
      </c>
      <c r="G2852" s="26">
        <v>6273.0</v>
      </c>
    </row>
    <row r="2853">
      <c r="A2853" s="27">
        <v>45439.0</v>
      </c>
      <c r="B2853" s="26" t="s">
        <v>5053</v>
      </c>
      <c r="C2853" s="26" t="s">
        <v>2545</v>
      </c>
      <c r="D2853" s="26">
        <v>2000000.0</v>
      </c>
      <c r="F2853" s="26" t="s">
        <v>2542</v>
      </c>
      <c r="G2853" s="26">
        <v>3341.0</v>
      </c>
    </row>
    <row r="2854">
      <c r="A2854" s="27">
        <v>45439.0</v>
      </c>
      <c r="B2854" s="26" t="s">
        <v>5054</v>
      </c>
      <c r="C2854" s="26" t="s">
        <v>2545</v>
      </c>
      <c r="D2854" s="26">
        <v>1.0E7</v>
      </c>
      <c r="F2854" s="26" t="s">
        <v>2542</v>
      </c>
      <c r="G2854" s="26">
        <v>3341.0</v>
      </c>
    </row>
    <row r="2855">
      <c r="A2855" s="27">
        <v>45439.0</v>
      </c>
      <c r="B2855" s="26" t="s">
        <v>5055</v>
      </c>
      <c r="C2855" s="26" t="s">
        <v>2574</v>
      </c>
      <c r="D2855" s="26">
        <v>4502520.0</v>
      </c>
      <c r="F2855" s="26" t="s">
        <v>2542</v>
      </c>
      <c r="G2855" s="26">
        <v>331.0</v>
      </c>
    </row>
    <row r="2856">
      <c r="A2856" s="27">
        <v>45439.0</v>
      </c>
      <c r="B2856" s="26" t="s">
        <v>5056</v>
      </c>
      <c r="C2856" s="26" t="s">
        <v>2545</v>
      </c>
      <c r="D2856" s="26">
        <v>1.2E7</v>
      </c>
      <c r="F2856" s="26" t="s">
        <v>2542</v>
      </c>
      <c r="G2856" s="26">
        <v>3341.0</v>
      </c>
    </row>
    <row r="2857">
      <c r="A2857" s="27">
        <v>45439.0</v>
      </c>
      <c r="B2857" s="26" t="s">
        <v>5057</v>
      </c>
      <c r="C2857" s="28"/>
      <c r="D2857" s="26">
        <v>1348000.0</v>
      </c>
      <c r="F2857" s="26" t="s">
        <v>2542</v>
      </c>
    </row>
    <row r="2858">
      <c r="A2858" s="27">
        <v>45439.0</v>
      </c>
      <c r="B2858" s="26" t="s">
        <v>5058</v>
      </c>
      <c r="C2858" s="26" t="s">
        <v>2545</v>
      </c>
      <c r="D2858" s="26">
        <v>1.0E7</v>
      </c>
      <c r="F2858" s="26" t="s">
        <v>2542</v>
      </c>
      <c r="G2858" s="26">
        <v>3341.0</v>
      </c>
    </row>
    <row r="2859">
      <c r="A2859" s="27">
        <v>45437.0</v>
      </c>
      <c r="B2859" s="26" t="s">
        <v>5059</v>
      </c>
      <c r="C2859" s="26" t="s">
        <v>255</v>
      </c>
      <c r="D2859" s="26">
        <v>8369000.0</v>
      </c>
      <c r="F2859" s="26" t="s">
        <v>2542</v>
      </c>
    </row>
    <row r="2860">
      <c r="A2860" s="27">
        <v>45437.0</v>
      </c>
      <c r="B2860" s="26" t="s">
        <v>5060</v>
      </c>
      <c r="C2860" s="26" t="s">
        <v>255</v>
      </c>
      <c r="D2860" s="26">
        <v>9205000.0</v>
      </c>
      <c r="F2860" s="26" t="s">
        <v>2542</v>
      </c>
    </row>
    <row r="2861">
      <c r="A2861" s="27">
        <v>45436.0</v>
      </c>
      <c r="B2861" s="26" t="s">
        <v>2586</v>
      </c>
      <c r="C2861" s="26" t="s">
        <v>255</v>
      </c>
      <c r="D2861" s="26">
        <v>1260.0</v>
      </c>
      <c r="F2861" s="26" t="s">
        <v>2542</v>
      </c>
    </row>
    <row r="2862">
      <c r="A2862" s="27">
        <v>45436.0</v>
      </c>
      <c r="B2862" s="26" t="s">
        <v>5061</v>
      </c>
      <c r="C2862" s="26" t="s">
        <v>255</v>
      </c>
      <c r="D2862" s="26">
        <v>858000.0</v>
      </c>
      <c r="F2862" s="26" t="s">
        <v>2542</v>
      </c>
    </row>
    <row r="2863">
      <c r="A2863" s="27">
        <v>45436.0</v>
      </c>
      <c r="B2863" s="26" t="s">
        <v>5062</v>
      </c>
      <c r="C2863" s="26" t="s">
        <v>2561</v>
      </c>
      <c r="D2863" s="26">
        <v>1893000.0</v>
      </c>
      <c r="F2863" s="26" t="s">
        <v>2542</v>
      </c>
      <c r="G2863" s="26">
        <v>331.0</v>
      </c>
    </row>
    <row r="2864">
      <c r="A2864" s="27">
        <v>45436.0</v>
      </c>
      <c r="B2864" s="26" t="s">
        <v>5063</v>
      </c>
      <c r="C2864" s="26" t="s">
        <v>2561</v>
      </c>
      <c r="D2864" s="26">
        <v>5.0E7</v>
      </c>
      <c r="F2864" s="26" t="s">
        <v>2542</v>
      </c>
      <c r="G2864" s="26">
        <v>331.0</v>
      </c>
    </row>
    <row r="2865">
      <c r="A2865" s="27">
        <v>45435.0</v>
      </c>
      <c r="B2865" s="26" t="s">
        <v>5064</v>
      </c>
      <c r="C2865" s="26" t="s">
        <v>255</v>
      </c>
      <c r="D2865" s="26">
        <v>2.0027E7</v>
      </c>
      <c r="F2865" s="26" t="s">
        <v>2542</v>
      </c>
    </row>
    <row r="2866">
      <c r="A2866" s="27">
        <v>45435.0</v>
      </c>
      <c r="B2866" s="26" t="s">
        <v>5065</v>
      </c>
      <c r="C2866" s="26" t="s">
        <v>255</v>
      </c>
      <c r="D2866" s="26">
        <v>3190000.0</v>
      </c>
      <c r="F2866" s="26" t="s">
        <v>2542</v>
      </c>
    </row>
    <row r="2867">
      <c r="A2867" s="27">
        <v>45435.0</v>
      </c>
      <c r="B2867" s="26" t="s">
        <v>5064</v>
      </c>
      <c r="C2867" s="26" t="s">
        <v>255</v>
      </c>
      <c r="D2867" s="26">
        <v>2.6783E7</v>
      </c>
      <c r="F2867" s="26" t="s">
        <v>2542</v>
      </c>
    </row>
    <row r="2868">
      <c r="A2868" s="27">
        <v>45435.0</v>
      </c>
      <c r="B2868" s="26" t="s">
        <v>5066</v>
      </c>
      <c r="C2868" s="26" t="s">
        <v>2545</v>
      </c>
      <c r="D2868" s="26">
        <v>1.0E7</v>
      </c>
      <c r="F2868" s="26" t="s">
        <v>2542</v>
      </c>
      <c r="G2868" s="26">
        <v>3341.0</v>
      </c>
    </row>
    <row r="2869">
      <c r="A2869" s="27">
        <v>45434.0</v>
      </c>
      <c r="B2869" s="26" t="s">
        <v>5067</v>
      </c>
      <c r="C2869" s="26" t="s">
        <v>255</v>
      </c>
      <c r="D2869" s="26">
        <v>2340000.0</v>
      </c>
      <c r="F2869" s="26" t="s">
        <v>2542</v>
      </c>
    </row>
    <row r="2870">
      <c r="A2870" s="27">
        <v>45433.0</v>
      </c>
      <c r="B2870" s="26" t="s">
        <v>2555</v>
      </c>
      <c r="C2870" s="26" t="s">
        <v>255</v>
      </c>
      <c r="D2870" s="26">
        <v>1080000.0</v>
      </c>
      <c r="F2870" s="26" t="s">
        <v>2542</v>
      </c>
    </row>
    <row r="2871">
      <c r="A2871" s="27">
        <v>45433.0</v>
      </c>
      <c r="B2871" s="26" t="s">
        <v>5068</v>
      </c>
      <c r="C2871" s="26" t="s">
        <v>255</v>
      </c>
      <c r="D2871" s="26">
        <v>1595000.0</v>
      </c>
      <c r="F2871" s="26" t="s">
        <v>2542</v>
      </c>
    </row>
    <row r="2872">
      <c r="A2872" s="27">
        <v>45433.0</v>
      </c>
      <c r="B2872" s="26" t="s">
        <v>5069</v>
      </c>
      <c r="C2872" s="26" t="s">
        <v>255</v>
      </c>
      <c r="D2872" s="26">
        <v>2519600.0</v>
      </c>
      <c r="F2872" s="26" t="s">
        <v>2542</v>
      </c>
    </row>
    <row r="2873">
      <c r="A2873" s="27">
        <v>45433.0</v>
      </c>
      <c r="B2873" s="26" t="s">
        <v>5070</v>
      </c>
      <c r="C2873" s="26" t="s">
        <v>2581</v>
      </c>
      <c r="D2873" s="26">
        <v>7350000.0</v>
      </c>
      <c r="F2873" s="26" t="s">
        <v>2542</v>
      </c>
      <c r="G2873" s="26">
        <v>6422.0</v>
      </c>
    </row>
    <row r="2874">
      <c r="A2874" s="27">
        <v>45433.0</v>
      </c>
      <c r="B2874" s="26" t="s">
        <v>5071</v>
      </c>
      <c r="C2874" s="26" t="s">
        <v>2545</v>
      </c>
      <c r="D2874" s="26">
        <v>6900000.0</v>
      </c>
      <c r="F2874" s="26" t="s">
        <v>2542</v>
      </c>
      <c r="G2874" s="26">
        <v>3341.0</v>
      </c>
    </row>
    <row r="2875">
      <c r="A2875" s="27">
        <v>45433.0</v>
      </c>
      <c r="B2875" s="26" t="s">
        <v>5072</v>
      </c>
      <c r="C2875" s="26" t="s">
        <v>2561</v>
      </c>
      <c r="D2875" s="26">
        <v>5208000.0</v>
      </c>
      <c r="F2875" s="26" t="s">
        <v>2542</v>
      </c>
      <c r="G2875" s="26">
        <v>331.0</v>
      </c>
    </row>
    <row r="2876">
      <c r="A2876" s="27">
        <v>45433.0</v>
      </c>
      <c r="B2876" s="26" t="s">
        <v>5073</v>
      </c>
      <c r="C2876" s="28"/>
      <c r="D2876" s="26">
        <v>150000.0</v>
      </c>
      <c r="F2876" s="26" t="s">
        <v>2542</v>
      </c>
    </row>
    <row r="2877">
      <c r="A2877" s="27">
        <v>45432.0</v>
      </c>
      <c r="B2877" s="26" t="s">
        <v>5074</v>
      </c>
      <c r="C2877" s="26" t="s">
        <v>255</v>
      </c>
      <c r="D2877" s="26">
        <v>2.720256E7</v>
      </c>
      <c r="F2877" s="26" t="s">
        <v>2542</v>
      </c>
    </row>
    <row r="2878">
      <c r="A2878" s="27">
        <v>45432.0</v>
      </c>
      <c r="B2878" s="26" t="s">
        <v>5075</v>
      </c>
      <c r="C2878" s="26" t="s">
        <v>255</v>
      </c>
      <c r="D2878" s="26">
        <v>2750000.0</v>
      </c>
      <c r="F2878" s="26" t="s">
        <v>2542</v>
      </c>
    </row>
    <row r="2879">
      <c r="A2879" s="27">
        <v>45430.0</v>
      </c>
      <c r="B2879" s="26" t="s">
        <v>2980</v>
      </c>
      <c r="C2879" s="26" t="s">
        <v>255</v>
      </c>
      <c r="D2879" s="26">
        <v>1080000.0</v>
      </c>
      <c r="F2879" s="26" t="s">
        <v>2542</v>
      </c>
    </row>
    <row r="2880">
      <c r="A2880" s="27">
        <v>45429.0</v>
      </c>
      <c r="B2880" s="26" t="s">
        <v>5076</v>
      </c>
      <c r="C2880" s="26" t="s">
        <v>2655</v>
      </c>
      <c r="D2880" s="26">
        <v>4.896E7</v>
      </c>
      <c r="F2880" s="26" t="s">
        <v>2542</v>
      </c>
      <c r="G2880" s="26">
        <v>3383.0</v>
      </c>
    </row>
    <row r="2881">
      <c r="A2881" s="27">
        <v>45428.0</v>
      </c>
      <c r="B2881" s="26" t="s">
        <v>4571</v>
      </c>
      <c r="C2881" s="26" t="s">
        <v>255</v>
      </c>
      <c r="D2881" s="26">
        <v>3.0E7</v>
      </c>
      <c r="F2881" s="26" t="s">
        <v>2542</v>
      </c>
    </row>
    <row r="2882">
      <c r="A2882" s="27">
        <v>45428.0</v>
      </c>
      <c r="B2882" s="26" t="s">
        <v>5048</v>
      </c>
      <c r="C2882" s="26" t="s">
        <v>255</v>
      </c>
      <c r="D2882" s="26">
        <v>2.5188E7</v>
      </c>
      <c r="F2882" s="26" t="s">
        <v>2542</v>
      </c>
    </row>
    <row r="2883">
      <c r="A2883" s="27">
        <v>45428.0</v>
      </c>
      <c r="B2883" s="26" t="s">
        <v>5077</v>
      </c>
      <c r="C2883" s="26" t="s">
        <v>255</v>
      </c>
      <c r="D2883" s="26">
        <v>2.0935E7</v>
      </c>
      <c r="F2883" s="26" t="s">
        <v>2542</v>
      </c>
    </row>
    <row r="2884">
      <c r="A2884" s="27">
        <v>45428.0</v>
      </c>
      <c r="B2884" s="26" t="s">
        <v>5078</v>
      </c>
      <c r="C2884" s="26" t="s">
        <v>255</v>
      </c>
      <c r="D2884" s="26">
        <v>1.6676E7</v>
      </c>
      <c r="F2884" s="26" t="s">
        <v>2542</v>
      </c>
    </row>
    <row r="2885">
      <c r="A2885" s="27">
        <v>45428.0</v>
      </c>
      <c r="B2885" s="26" t="s">
        <v>5079</v>
      </c>
      <c r="C2885" s="26" t="s">
        <v>255</v>
      </c>
      <c r="D2885" s="26">
        <v>5603000.0</v>
      </c>
      <c r="F2885" s="26" t="s">
        <v>2542</v>
      </c>
    </row>
    <row r="2886">
      <c r="A2886" s="27">
        <v>45428.0</v>
      </c>
      <c r="B2886" s="26" t="s">
        <v>5080</v>
      </c>
      <c r="C2886" s="26" t="s">
        <v>255</v>
      </c>
      <c r="D2886" s="26">
        <v>1595000.0</v>
      </c>
      <c r="F2886" s="26" t="s">
        <v>2542</v>
      </c>
    </row>
    <row r="2887">
      <c r="A2887" s="27">
        <v>45428.0</v>
      </c>
      <c r="B2887" s="26" t="s">
        <v>5081</v>
      </c>
      <c r="C2887" s="26" t="s">
        <v>255</v>
      </c>
      <c r="D2887" s="26">
        <v>6380000.0</v>
      </c>
      <c r="F2887" s="26" t="s">
        <v>2542</v>
      </c>
    </row>
    <row r="2888">
      <c r="A2888" s="27">
        <v>45428.0</v>
      </c>
      <c r="B2888" s="26" t="s">
        <v>4571</v>
      </c>
      <c r="C2888" s="28"/>
      <c r="D2888" s="26">
        <v>3.0E7</v>
      </c>
      <c r="F2888" s="26" t="s">
        <v>2542</v>
      </c>
    </row>
    <row r="2889">
      <c r="A2889" s="27">
        <v>45428.0</v>
      </c>
      <c r="B2889" s="26" t="s">
        <v>5082</v>
      </c>
      <c r="C2889" s="26" t="s">
        <v>2764</v>
      </c>
      <c r="D2889" s="26">
        <v>2000000.0</v>
      </c>
      <c r="F2889" s="26" t="s">
        <v>2542</v>
      </c>
      <c r="G2889" s="26">
        <v>6273.0</v>
      </c>
    </row>
    <row r="2890">
      <c r="A2890" s="27">
        <v>45428.0</v>
      </c>
      <c r="B2890" s="26" t="s">
        <v>5083</v>
      </c>
      <c r="C2890" s="26" t="s">
        <v>2561</v>
      </c>
      <c r="D2890" s="26">
        <v>3.0E7</v>
      </c>
      <c r="F2890" s="26" t="s">
        <v>2542</v>
      </c>
      <c r="G2890" s="26">
        <v>331.0</v>
      </c>
    </row>
    <row r="2891">
      <c r="A2891" s="27">
        <v>45427.0</v>
      </c>
      <c r="B2891" s="26" t="s">
        <v>3517</v>
      </c>
      <c r="C2891" s="26" t="s">
        <v>255</v>
      </c>
      <c r="D2891" s="26">
        <v>3.5E7</v>
      </c>
      <c r="F2891" s="26" t="s">
        <v>2542</v>
      </c>
    </row>
    <row r="2892">
      <c r="A2892" s="27">
        <v>45427.0</v>
      </c>
      <c r="B2892" s="26" t="s">
        <v>4036</v>
      </c>
      <c r="C2892" s="26" t="s">
        <v>255</v>
      </c>
      <c r="D2892" s="26">
        <v>2160000.0</v>
      </c>
      <c r="F2892" s="26" t="s">
        <v>2542</v>
      </c>
    </row>
    <row r="2893">
      <c r="A2893" s="27">
        <v>45427.0</v>
      </c>
      <c r="B2893" s="26" t="s">
        <v>5084</v>
      </c>
      <c r="C2893" s="26" t="s">
        <v>255</v>
      </c>
      <c r="D2893" s="26">
        <v>3998400.0</v>
      </c>
      <c r="F2893" s="26" t="s">
        <v>2542</v>
      </c>
    </row>
    <row r="2894">
      <c r="A2894" s="27">
        <v>45427.0</v>
      </c>
      <c r="B2894" s="26" t="s">
        <v>3517</v>
      </c>
      <c r="C2894" s="28"/>
      <c r="D2894" s="26">
        <v>3.5E7</v>
      </c>
      <c r="F2894" s="26" t="s">
        <v>2542</v>
      </c>
    </row>
    <row r="2895">
      <c r="A2895" s="27">
        <v>45427.0</v>
      </c>
      <c r="B2895" s="26" t="s">
        <v>5085</v>
      </c>
      <c r="C2895" s="26" t="s">
        <v>2561</v>
      </c>
      <c r="D2895" s="26">
        <v>4.0E7</v>
      </c>
      <c r="F2895" s="26" t="s">
        <v>2542</v>
      </c>
      <c r="G2895" s="26">
        <v>331.0</v>
      </c>
    </row>
    <row r="2896">
      <c r="A2896" s="27">
        <v>45426.0</v>
      </c>
      <c r="B2896" s="26" t="s">
        <v>4038</v>
      </c>
      <c r="C2896" s="26" t="s">
        <v>255</v>
      </c>
      <c r="D2896" s="26">
        <v>1.0E7</v>
      </c>
      <c r="F2896" s="26" t="s">
        <v>2542</v>
      </c>
    </row>
    <row r="2897">
      <c r="A2897" s="27">
        <v>45426.0</v>
      </c>
      <c r="B2897" s="26" t="s">
        <v>4615</v>
      </c>
      <c r="C2897" s="26" t="s">
        <v>255</v>
      </c>
      <c r="D2897" s="26">
        <v>1122000.0</v>
      </c>
      <c r="F2897" s="26" t="s">
        <v>2542</v>
      </c>
    </row>
    <row r="2898">
      <c r="A2898" s="27">
        <v>45426.0</v>
      </c>
      <c r="B2898" s="26" t="s">
        <v>4084</v>
      </c>
      <c r="C2898" s="26" t="s">
        <v>255</v>
      </c>
      <c r="D2898" s="26">
        <v>2536500.0</v>
      </c>
      <c r="F2898" s="26" t="s">
        <v>2542</v>
      </c>
    </row>
    <row r="2899">
      <c r="A2899" s="27">
        <v>45426.0</v>
      </c>
      <c r="B2899" s="26" t="s">
        <v>5086</v>
      </c>
      <c r="C2899" s="26" t="s">
        <v>2571</v>
      </c>
      <c r="D2899" s="26">
        <v>93000.0</v>
      </c>
      <c r="F2899" s="26" t="s">
        <v>2542</v>
      </c>
      <c r="G2899" s="26">
        <v>641.22</v>
      </c>
    </row>
    <row r="2900">
      <c r="A2900" s="27">
        <v>45425.0</v>
      </c>
      <c r="B2900" s="26" t="s">
        <v>5087</v>
      </c>
      <c r="C2900" s="26" t="s">
        <v>255</v>
      </c>
      <c r="D2900" s="26">
        <v>3325000.0</v>
      </c>
      <c r="F2900" s="26" t="s">
        <v>2542</v>
      </c>
    </row>
    <row r="2901">
      <c r="A2901" s="27">
        <v>45425.0</v>
      </c>
      <c r="B2901" s="26" t="s">
        <v>5088</v>
      </c>
      <c r="C2901" s="26" t="s">
        <v>255</v>
      </c>
      <c r="D2901" s="26">
        <v>5485000.0</v>
      </c>
      <c r="F2901" s="26" t="s">
        <v>2542</v>
      </c>
    </row>
    <row r="2902">
      <c r="A2902" s="27">
        <v>45425.0</v>
      </c>
      <c r="B2902" s="26" t="s">
        <v>5089</v>
      </c>
      <c r="C2902" s="26" t="s">
        <v>255</v>
      </c>
      <c r="D2902" s="26">
        <v>8243750.0</v>
      </c>
      <c r="F2902" s="26" t="s">
        <v>2542</v>
      </c>
    </row>
    <row r="2903">
      <c r="A2903" s="27">
        <v>45425.0</v>
      </c>
      <c r="B2903" s="26" t="s">
        <v>5090</v>
      </c>
      <c r="C2903" s="26" t="s">
        <v>255</v>
      </c>
      <c r="D2903" s="26">
        <v>1.419E7</v>
      </c>
      <c r="F2903" s="26" t="s">
        <v>2542</v>
      </c>
    </row>
    <row r="2904">
      <c r="A2904" s="27">
        <v>45425.0</v>
      </c>
      <c r="B2904" s="26" t="s">
        <v>5091</v>
      </c>
      <c r="C2904" s="26" t="s">
        <v>255</v>
      </c>
      <c r="D2904" s="26">
        <v>2.2243038E7</v>
      </c>
      <c r="F2904" s="26" t="s">
        <v>2542</v>
      </c>
    </row>
    <row r="2905">
      <c r="A2905" s="27">
        <v>45425.0</v>
      </c>
      <c r="B2905" s="26" t="s">
        <v>5092</v>
      </c>
      <c r="C2905" s="26" t="s">
        <v>2887</v>
      </c>
      <c r="D2905" s="26" t="s">
        <v>5093</v>
      </c>
      <c r="F2905" s="26" t="s">
        <v>2542</v>
      </c>
    </row>
    <row r="2906">
      <c r="A2906" s="27">
        <v>45425.0</v>
      </c>
      <c r="B2906" s="26" t="s">
        <v>5094</v>
      </c>
      <c r="C2906" s="26" t="s">
        <v>255</v>
      </c>
      <c r="D2906" s="26">
        <v>3000000.0</v>
      </c>
      <c r="F2906" s="26" t="s">
        <v>2542</v>
      </c>
    </row>
    <row r="2907">
      <c r="A2907" s="27">
        <v>45425.0</v>
      </c>
      <c r="B2907" s="26" t="s">
        <v>5095</v>
      </c>
      <c r="C2907" s="26" t="s">
        <v>2545</v>
      </c>
      <c r="D2907" s="26">
        <v>2.2503705E7</v>
      </c>
      <c r="F2907" s="26" t="s">
        <v>2542</v>
      </c>
      <c r="G2907" s="26">
        <v>3341.0</v>
      </c>
    </row>
    <row r="2908">
      <c r="A2908" s="27">
        <v>45425.0</v>
      </c>
      <c r="B2908" s="26" t="s">
        <v>5096</v>
      </c>
      <c r="C2908" s="26" t="s">
        <v>2545</v>
      </c>
      <c r="D2908" s="26">
        <v>1.236E7</v>
      </c>
      <c r="F2908" s="26" t="s">
        <v>2542</v>
      </c>
      <c r="G2908" s="26">
        <v>3341.0</v>
      </c>
    </row>
    <row r="2909">
      <c r="A2909" s="27">
        <v>45425.0</v>
      </c>
      <c r="B2909" s="26" t="s">
        <v>5097</v>
      </c>
      <c r="C2909" s="26" t="s">
        <v>2545</v>
      </c>
      <c r="D2909" s="26">
        <v>1.47E7</v>
      </c>
      <c r="F2909" s="26" t="s">
        <v>2542</v>
      </c>
      <c r="G2909" s="26">
        <v>3341.0</v>
      </c>
    </row>
    <row r="2910">
      <c r="A2910" s="27">
        <v>45425.0</v>
      </c>
      <c r="B2910" s="26" t="s">
        <v>5098</v>
      </c>
      <c r="C2910" s="26" t="s">
        <v>2545</v>
      </c>
      <c r="D2910" s="26">
        <v>1.236E7</v>
      </c>
      <c r="F2910" s="26" t="s">
        <v>2542</v>
      </c>
      <c r="G2910" s="26">
        <v>3341.0</v>
      </c>
    </row>
    <row r="2911">
      <c r="A2911" s="27">
        <v>45425.0</v>
      </c>
      <c r="B2911" s="26" t="s">
        <v>5099</v>
      </c>
      <c r="C2911" s="26" t="s">
        <v>2545</v>
      </c>
      <c r="D2911" s="26">
        <v>5000000.0</v>
      </c>
      <c r="F2911" s="26" t="s">
        <v>2542</v>
      </c>
      <c r="G2911" s="26">
        <v>3341.0</v>
      </c>
    </row>
    <row r="2912">
      <c r="A2912" s="27">
        <v>45425.0</v>
      </c>
      <c r="B2912" s="26" t="s">
        <v>5100</v>
      </c>
      <c r="C2912" s="26" t="s">
        <v>2545</v>
      </c>
      <c r="D2912" s="26">
        <v>1.0E7</v>
      </c>
      <c r="F2912" s="26" t="s">
        <v>2542</v>
      </c>
      <c r="G2912" s="26">
        <v>3341.0</v>
      </c>
    </row>
    <row r="2913">
      <c r="A2913" s="27">
        <v>45422.0</v>
      </c>
      <c r="B2913" s="26" t="s">
        <v>5101</v>
      </c>
      <c r="C2913" s="26" t="s">
        <v>255</v>
      </c>
      <c r="D2913" s="26">
        <v>360000.0</v>
      </c>
      <c r="F2913" s="26" t="s">
        <v>2542</v>
      </c>
    </row>
    <row r="2914">
      <c r="A2914" s="27">
        <v>45422.0</v>
      </c>
      <c r="B2914" s="26" t="s">
        <v>4930</v>
      </c>
      <c r="C2914" s="26" t="s">
        <v>255</v>
      </c>
      <c r="D2914" s="26">
        <v>1320000.0</v>
      </c>
      <c r="F2914" s="26" t="s">
        <v>2542</v>
      </c>
    </row>
    <row r="2915">
      <c r="A2915" s="27">
        <v>45422.0</v>
      </c>
      <c r="B2915" s="26" t="s">
        <v>5102</v>
      </c>
      <c r="C2915" s="26" t="s">
        <v>255</v>
      </c>
      <c r="D2915" s="26">
        <v>1080000.0</v>
      </c>
      <c r="F2915" s="26" t="s">
        <v>2542</v>
      </c>
    </row>
    <row r="2916">
      <c r="A2916" s="27">
        <v>45422.0</v>
      </c>
      <c r="B2916" s="26" t="s">
        <v>5103</v>
      </c>
      <c r="C2916" s="26" t="s">
        <v>255</v>
      </c>
      <c r="D2916" s="26">
        <v>1080000.0</v>
      </c>
      <c r="F2916" s="26" t="s">
        <v>2542</v>
      </c>
    </row>
    <row r="2917">
      <c r="A2917" s="27">
        <v>45422.0</v>
      </c>
      <c r="B2917" s="26" t="s">
        <v>5104</v>
      </c>
      <c r="C2917" s="26" t="s">
        <v>255</v>
      </c>
      <c r="D2917" s="26">
        <v>2160000.0</v>
      </c>
      <c r="F2917" s="26" t="s">
        <v>2542</v>
      </c>
    </row>
    <row r="2918">
      <c r="A2918" s="27">
        <v>45422.0</v>
      </c>
      <c r="B2918" s="26" t="s">
        <v>5105</v>
      </c>
      <c r="C2918" s="26" t="s">
        <v>255</v>
      </c>
      <c r="D2918" s="26">
        <v>1080000.0</v>
      </c>
      <c r="F2918" s="26" t="s">
        <v>2542</v>
      </c>
    </row>
    <row r="2919">
      <c r="A2919" s="27">
        <v>45422.0</v>
      </c>
      <c r="B2919" s="26" t="s">
        <v>5106</v>
      </c>
      <c r="C2919" s="26" t="s">
        <v>255</v>
      </c>
      <c r="D2919" s="26">
        <v>4440000.0</v>
      </c>
      <c r="F2919" s="26" t="s">
        <v>2542</v>
      </c>
    </row>
    <row r="2920">
      <c r="A2920" s="27">
        <v>45422.0</v>
      </c>
      <c r="B2920" s="26" t="s">
        <v>5107</v>
      </c>
      <c r="C2920" s="26" t="s">
        <v>255</v>
      </c>
      <c r="D2920" s="26">
        <v>1536000.0</v>
      </c>
      <c r="F2920" s="26" t="s">
        <v>2542</v>
      </c>
    </row>
    <row r="2921">
      <c r="A2921" s="27">
        <v>45422.0</v>
      </c>
      <c r="B2921" s="26" t="s">
        <v>5108</v>
      </c>
      <c r="C2921" s="26" t="s">
        <v>255</v>
      </c>
      <c r="D2921" s="26">
        <v>2160000.0</v>
      </c>
      <c r="F2921" s="26" t="s">
        <v>2542</v>
      </c>
    </row>
    <row r="2922">
      <c r="A2922" s="27">
        <v>45422.0</v>
      </c>
      <c r="B2922" s="26" t="s">
        <v>5109</v>
      </c>
      <c r="C2922" s="26" t="s">
        <v>255</v>
      </c>
      <c r="D2922" s="26">
        <v>1080000.0</v>
      </c>
      <c r="F2922" s="26" t="s">
        <v>2542</v>
      </c>
    </row>
    <row r="2923">
      <c r="A2923" s="27">
        <v>45422.0</v>
      </c>
      <c r="B2923" s="26" t="s">
        <v>5110</v>
      </c>
      <c r="C2923" s="26" t="s">
        <v>2561</v>
      </c>
      <c r="D2923" s="26">
        <v>3800000.0</v>
      </c>
      <c r="F2923" s="26" t="s">
        <v>2542</v>
      </c>
      <c r="G2923" s="26">
        <v>331.0</v>
      </c>
    </row>
    <row r="2924">
      <c r="A2924" s="27">
        <v>45422.0</v>
      </c>
      <c r="B2924" s="26" t="s">
        <v>5111</v>
      </c>
      <c r="C2924" s="26" t="s">
        <v>2561</v>
      </c>
      <c r="D2924" s="26">
        <v>6067440.0</v>
      </c>
      <c r="F2924" s="26" t="s">
        <v>2542</v>
      </c>
      <c r="G2924" s="26">
        <v>331.0</v>
      </c>
    </row>
    <row r="2925">
      <c r="A2925" s="27">
        <v>45422.0</v>
      </c>
      <c r="B2925" s="26" t="s">
        <v>5112</v>
      </c>
      <c r="C2925" s="26" t="s">
        <v>2545</v>
      </c>
      <c r="D2925" s="26">
        <v>7000000.0</v>
      </c>
      <c r="F2925" s="26" t="s">
        <v>2542</v>
      </c>
      <c r="G2925" s="26">
        <v>3341.0</v>
      </c>
    </row>
    <row r="2926">
      <c r="A2926" s="27">
        <v>45422.0</v>
      </c>
      <c r="B2926" s="26" t="s">
        <v>5113</v>
      </c>
      <c r="C2926" s="26" t="s">
        <v>2593</v>
      </c>
      <c r="D2926" s="26">
        <v>478000.0</v>
      </c>
      <c r="F2926" s="26" t="s">
        <v>2542</v>
      </c>
      <c r="G2926" s="26">
        <v>6423.0</v>
      </c>
    </row>
    <row r="2927">
      <c r="A2927" s="27">
        <v>45421.0</v>
      </c>
      <c r="B2927" s="26" t="s">
        <v>5114</v>
      </c>
      <c r="C2927" s="26" t="s">
        <v>255</v>
      </c>
      <c r="D2927" s="26">
        <v>1.6984E7</v>
      </c>
      <c r="F2927" s="26" t="s">
        <v>2542</v>
      </c>
    </row>
    <row r="2928">
      <c r="A2928" s="27">
        <v>45421.0</v>
      </c>
      <c r="B2928" s="26" t="s">
        <v>2769</v>
      </c>
      <c r="C2928" s="26" t="s">
        <v>255</v>
      </c>
      <c r="D2928" s="26">
        <v>1080000.0</v>
      </c>
      <c r="F2928" s="26" t="s">
        <v>2542</v>
      </c>
    </row>
    <row r="2929">
      <c r="A2929" s="27">
        <v>45421.0</v>
      </c>
      <c r="B2929" s="26" t="s">
        <v>5115</v>
      </c>
      <c r="C2929" s="26" t="s">
        <v>255</v>
      </c>
      <c r="D2929" s="26">
        <v>1080000.0</v>
      </c>
      <c r="F2929" s="26" t="s">
        <v>2542</v>
      </c>
    </row>
    <row r="2930">
      <c r="A2930" s="27">
        <v>45421.0</v>
      </c>
      <c r="B2930" s="26" t="s">
        <v>5116</v>
      </c>
      <c r="C2930" s="26" t="s">
        <v>255</v>
      </c>
      <c r="D2930" s="26">
        <v>2376000.0</v>
      </c>
      <c r="F2930" s="26" t="s">
        <v>2542</v>
      </c>
    </row>
    <row r="2931">
      <c r="A2931" s="27">
        <v>45421.0</v>
      </c>
      <c r="B2931" s="26" t="s">
        <v>5117</v>
      </c>
      <c r="C2931" s="26" t="s">
        <v>255</v>
      </c>
      <c r="D2931" s="26">
        <v>1260000.0</v>
      </c>
      <c r="F2931" s="26" t="s">
        <v>2542</v>
      </c>
    </row>
    <row r="2932">
      <c r="A2932" s="27">
        <v>45421.0</v>
      </c>
      <c r="B2932" s="26" t="s">
        <v>5118</v>
      </c>
      <c r="C2932" s="26" t="s">
        <v>2764</v>
      </c>
      <c r="D2932" s="26">
        <v>2277000.0</v>
      </c>
      <c r="F2932" s="26" t="s">
        <v>2542</v>
      </c>
      <c r="G2932" s="26">
        <v>6273.0</v>
      </c>
    </row>
    <row r="2933">
      <c r="A2933" s="27">
        <v>45421.0</v>
      </c>
      <c r="B2933" s="26" t="s">
        <v>5119</v>
      </c>
      <c r="C2933" s="26" t="s">
        <v>2571</v>
      </c>
      <c r="D2933" s="26">
        <v>1400000.0</v>
      </c>
      <c r="F2933" s="26" t="s">
        <v>2542</v>
      </c>
      <c r="G2933" s="26">
        <v>641.22</v>
      </c>
    </row>
    <row r="2934">
      <c r="A2934" s="27">
        <v>45421.0</v>
      </c>
      <c r="B2934" s="26" t="s">
        <v>5120</v>
      </c>
      <c r="C2934" s="26" t="s">
        <v>2764</v>
      </c>
      <c r="D2934" s="26">
        <v>690000.0</v>
      </c>
      <c r="F2934" s="26" t="s">
        <v>2542</v>
      </c>
      <c r="G2934" s="26">
        <v>6273.0</v>
      </c>
    </row>
    <row r="2935">
      <c r="A2935" s="27">
        <v>45421.0</v>
      </c>
      <c r="B2935" s="26" t="s">
        <v>5121</v>
      </c>
      <c r="C2935" s="26" t="s">
        <v>2561</v>
      </c>
      <c r="D2935" s="26" t="s">
        <v>5122</v>
      </c>
      <c r="F2935" s="26" t="s">
        <v>2542</v>
      </c>
      <c r="G2935" s="26">
        <v>632.1</v>
      </c>
    </row>
    <row r="2936">
      <c r="A2936" s="27">
        <v>45420.0</v>
      </c>
      <c r="B2936" s="26" t="s">
        <v>5123</v>
      </c>
      <c r="C2936" s="26" t="s">
        <v>255</v>
      </c>
      <c r="D2936" s="26">
        <v>2.0E7</v>
      </c>
      <c r="F2936" s="26" t="s">
        <v>2542</v>
      </c>
    </row>
    <row r="2937">
      <c r="A2937" s="27">
        <v>45420.0</v>
      </c>
      <c r="B2937" s="26" t="s">
        <v>5124</v>
      </c>
      <c r="C2937" s="26" t="s">
        <v>255</v>
      </c>
      <c r="D2937" s="26">
        <v>1450000.0</v>
      </c>
      <c r="F2937" s="26" t="s">
        <v>2542</v>
      </c>
    </row>
    <row r="2938">
      <c r="A2938" s="27">
        <v>45420.0</v>
      </c>
      <c r="B2938" s="26" t="s">
        <v>5125</v>
      </c>
      <c r="C2938" s="26" t="s">
        <v>255</v>
      </c>
      <c r="D2938" s="26">
        <v>1450000.0</v>
      </c>
      <c r="F2938" s="26" t="s">
        <v>2542</v>
      </c>
    </row>
    <row r="2939">
      <c r="A2939" s="27">
        <v>45420.0</v>
      </c>
      <c r="B2939" s="26" t="s">
        <v>5123</v>
      </c>
      <c r="C2939" s="28"/>
      <c r="D2939" s="26">
        <v>2.0E7</v>
      </c>
      <c r="F2939" s="26" t="s">
        <v>2542</v>
      </c>
    </row>
    <row r="2940">
      <c r="A2940" s="27">
        <v>45420.0</v>
      </c>
      <c r="B2940" s="26" t="s">
        <v>5126</v>
      </c>
      <c r="C2940" s="26" t="s">
        <v>2545</v>
      </c>
      <c r="D2940" s="26">
        <v>5360000.0</v>
      </c>
      <c r="F2940" s="26" t="s">
        <v>2542</v>
      </c>
      <c r="G2940" s="26">
        <v>3341.0</v>
      </c>
    </row>
    <row r="2941">
      <c r="A2941" s="27">
        <v>45420.0</v>
      </c>
      <c r="B2941" s="26" t="s">
        <v>5127</v>
      </c>
      <c r="C2941" s="26" t="s">
        <v>2545</v>
      </c>
      <c r="D2941" s="26">
        <v>1.0E7</v>
      </c>
      <c r="F2941" s="26" t="s">
        <v>2542</v>
      </c>
      <c r="G2941" s="26">
        <v>3341.0</v>
      </c>
    </row>
    <row r="2942">
      <c r="A2942" s="27">
        <v>45420.0</v>
      </c>
      <c r="B2942" s="26" t="s">
        <v>5128</v>
      </c>
      <c r="C2942" s="26" t="s">
        <v>2581</v>
      </c>
      <c r="D2942" s="26">
        <v>3000000.0</v>
      </c>
      <c r="F2942" s="26" t="s">
        <v>2542</v>
      </c>
      <c r="G2942" s="26">
        <v>6422.0</v>
      </c>
    </row>
    <row r="2943">
      <c r="A2943" s="27">
        <v>45420.0</v>
      </c>
      <c r="B2943" s="26" t="s">
        <v>5129</v>
      </c>
      <c r="C2943" s="26" t="s">
        <v>2564</v>
      </c>
      <c r="D2943" s="26" t="s">
        <v>5130</v>
      </c>
      <c r="F2943" s="26" t="s">
        <v>2542</v>
      </c>
      <c r="G2943" s="26">
        <v>3332.0</v>
      </c>
    </row>
    <row r="2944">
      <c r="A2944" s="27">
        <v>45420.0</v>
      </c>
      <c r="B2944" s="26" t="s">
        <v>5131</v>
      </c>
      <c r="C2944" s="26" t="s">
        <v>2564</v>
      </c>
      <c r="D2944" s="26" t="s">
        <v>5132</v>
      </c>
      <c r="F2944" s="26" t="s">
        <v>2542</v>
      </c>
      <c r="G2944" s="26">
        <v>3332.0</v>
      </c>
    </row>
    <row r="2945">
      <c r="A2945" s="27">
        <v>45420.0</v>
      </c>
      <c r="B2945" s="26" t="s">
        <v>3568</v>
      </c>
      <c r="C2945" s="26" t="s">
        <v>2564</v>
      </c>
      <c r="D2945" s="26">
        <v>110.0</v>
      </c>
      <c r="F2945" s="26" t="s">
        <v>2542</v>
      </c>
      <c r="G2945" s="26">
        <v>3335.0</v>
      </c>
    </row>
    <row r="2946">
      <c r="A2946" s="27">
        <v>45419.0</v>
      </c>
      <c r="B2946" s="26" t="s">
        <v>5133</v>
      </c>
      <c r="C2946" s="26" t="s">
        <v>255</v>
      </c>
      <c r="D2946" s="26">
        <v>2160000.0</v>
      </c>
      <c r="F2946" s="26" t="s">
        <v>2542</v>
      </c>
    </row>
    <row r="2947">
      <c r="A2947" s="27">
        <v>45419.0</v>
      </c>
      <c r="B2947" s="26" t="s">
        <v>5134</v>
      </c>
      <c r="C2947" s="26" t="s">
        <v>255</v>
      </c>
      <c r="D2947" s="26">
        <v>4440000.0</v>
      </c>
      <c r="F2947" s="26" t="s">
        <v>2542</v>
      </c>
    </row>
    <row r="2948">
      <c r="A2948" s="27">
        <v>45419.0</v>
      </c>
      <c r="B2948" s="26" t="s">
        <v>5135</v>
      </c>
      <c r="C2948" s="26" t="s">
        <v>255</v>
      </c>
      <c r="D2948" s="26">
        <v>5270000.0</v>
      </c>
      <c r="F2948" s="26" t="s">
        <v>2542</v>
      </c>
    </row>
    <row r="2949">
      <c r="A2949" s="27">
        <v>45419.0</v>
      </c>
      <c r="B2949" s="26" t="s">
        <v>4109</v>
      </c>
      <c r="C2949" s="26" t="s">
        <v>255</v>
      </c>
      <c r="D2949" s="26">
        <v>4720000.0</v>
      </c>
      <c r="F2949" s="26" t="s">
        <v>2542</v>
      </c>
    </row>
    <row r="2950">
      <c r="A2950" s="27">
        <v>45419.0</v>
      </c>
      <c r="B2950" s="26" t="s">
        <v>4443</v>
      </c>
      <c r="C2950" s="26" t="s">
        <v>255</v>
      </c>
      <c r="D2950" s="26">
        <v>4920000.0</v>
      </c>
      <c r="F2950" s="26" t="s">
        <v>2542</v>
      </c>
    </row>
    <row r="2951">
      <c r="A2951" s="27">
        <v>45419.0</v>
      </c>
      <c r="B2951" s="26" t="s">
        <v>2769</v>
      </c>
      <c r="C2951" s="26" t="s">
        <v>255</v>
      </c>
      <c r="D2951" s="26">
        <v>1080000.0</v>
      </c>
      <c r="F2951" s="26" t="s">
        <v>2542</v>
      </c>
    </row>
    <row r="2952">
      <c r="A2952" s="27">
        <v>45419.0</v>
      </c>
      <c r="B2952" s="26" t="s">
        <v>5136</v>
      </c>
      <c r="C2952" s="26" t="s">
        <v>255</v>
      </c>
      <c r="D2952" s="26">
        <v>972000.0</v>
      </c>
      <c r="F2952" s="26" t="s">
        <v>2542</v>
      </c>
    </row>
    <row r="2953">
      <c r="A2953" s="27">
        <v>45419.0</v>
      </c>
      <c r="B2953" s="26" t="s">
        <v>5137</v>
      </c>
      <c r="C2953" s="26" t="s">
        <v>2571</v>
      </c>
      <c r="D2953" s="26">
        <v>1794000.0</v>
      </c>
      <c r="F2953" s="26" t="s">
        <v>2542</v>
      </c>
      <c r="G2953" s="26">
        <v>641.16</v>
      </c>
    </row>
    <row r="2954">
      <c r="A2954" s="27">
        <v>45418.0</v>
      </c>
      <c r="B2954" s="26" t="s">
        <v>5138</v>
      </c>
      <c r="C2954" s="26" t="s">
        <v>255</v>
      </c>
      <c r="D2954" s="26">
        <v>2.0E7</v>
      </c>
      <c r="F2954" s="26" t="s">
        <v>2542</v>
      </c>
    </row>
    <row r="2955">
      <c r="A2955" s="27">
        <v>45418.0</v>
      </c>
      <c r="B2955" s="26" t="s">
        <v>5139</v>
      </c>
      <c r="C2955" s="26" t="s">
        <v>255</v>
      </c>
      <c r="D2955" s="26">
        <v>345000.0</v>
      </c>
      <c r="F2955" s="26" t="s">
        <v>2542</v>
      </c>
    </row>
    <row r="2956">
      <c r="A2956" s="27">
        <v>45418.0</v>
      </c>
      <c r="B2956" s="26" t="s">
        <v>5140</v>
      </c>
      <c r="C2956" s="26" t="s">
        <v>255</v>
      </c>
      <c r="D2956" s="26">
        <v>103624.0</v>
      </c>
      <c r="F2956" s="26" t="s">
        <v>2542</v>
      </c>
    </row>
    <row r="2957">
      <c r="A2957" s="27">
        <v>45418.0</v>
      </c>
      <c r="B2957" s="26" t="s">
        <v>4835</v>
      </c>
      <c r="C2957" s="26" t="s">
        <v>255</v>
      </c>
      <c r="D2957" s="26">
        <v>1.1755E7</v>
      </c>
      <c r="F2957" s="26" t="s">
        <v>2542</v>
      </c>
    </row>
    <row r="2958">
      <c r="A2958" s="27">
        <v>45418.0</v>
      </c>
      <c r="B2958" s="26" t="s">
        <v>5141</v>
      </c>
      <c r="C2958" s="26" t="s">
        <v>255</v>
      </c>
      <c r="D2958" s="26">
        <v>2760000.0</v>
      </c>
      <c r="F2958" s="26" t="s">
        <v>2542</v>
      </c>
    </row>
    <row r="2959">
      <c r="A2959" s="27">
        <v>45418.0</v>
      </c>
      <c r="B2959" s="26" t="s">
        <v>5142</v>
      </c>
      <c r="C2959" s="26" t="s">
        <v>255</v>
      </c>
      <c r="D2959" s="26">
        <v>1.06E7</v>
      </c>
      <c r="F2959" s="26" t="s">
        <v>2542</v>
      </c>
    </row>
    <row r="2960">
      <c r="A2960" s="27">
        <v>45418.0</v>
      </c>
      <c r="B2960" s="26" t="s">
        <v>2968</v>
      </c>
      <c r="C2960" s="26" t="s">
        <v>255</v>
      </c>
      <c r="D2960" s="26">
        <v>2160000.0</v>
      </c>
      <c r="F2960" s="26" t="s">
        <v>2542</v>
      </c>
    </row>
    <row r="2961">
      <c r="A2961" s="27">
        <v>45418.0</v>
      </c>
      <c r="B2961" s="26" t="s">
        <v>3573</v>
      </c>
      <c r="C2961" s="26" t="s">
        <v>255</v>
      </c>
      <c r="D2961" s="26">
        <v>5318500.0</v>
      </c>
      <c r="F2961" s="26" t="s">
        <v>2542</v>
      </c>
    </row>
    <row r="2962">
      <c r="A2962" s="27">
        <v>45418.0</v>
      </c>
      <c r="B2962" s="26" t="s">
        <v>2668</v>
      </c>
      <c r="C2962" s="26" t="s">
        <v>255</v>
      </c>
      <c r="D2962" s="26">
        <v>2376000.0</v>
      </c>
      <c r="F2962" s="26" t="s">
        <v>2542</v>
      </c>
    </row>
    <row r="2963">
      <c r="A2963" s="27">
        <v>45418.0</v>
      </c>
      <c r="B2963" s="28"/>
      <c r="C2963" s="26" t="s">
        <v>255</v>
      </c>
      <c r="D2963" s="26">
        <v>3561376.0</v>
      </c>
      <c r="F2963" s="26" t="s">
        <v>2542</v>
      </c>
    </row>
    <row r="2964">
      <c r="A2964" s="27">
        <v>45418.0</v>
      </c>
      <c r="B2964" s="28"/>
      <c r="C2964" s="26" t="s">
        <v>255</v>
      </c>
      <c r="D2964" s="26">
        <v>1.3495E7</v>
      </c>
      <c r="F2964" s="26" t="s">
        <v>2542</v>
      </c>
    </row>
    <row r="2965">
      <c r="A2965" s="27">
        <v>45418.0</v>
      </c>
      <c r="B2965" s="26" t="s">
        <v>5138</v>
      </c>
      <c r="C2965" s="28"/>
      <c r="D2965" s="26">
        <v>2.0E7</v>
      </c>
      <c r="F2965" s="26" t="s">
        <v>2542</v>
      </c>
    </row>
    <row r="2966">
      <c r="A2966" s="27">
        <v>45418.0</v>
      </c>
      <c r="B2966" s="26" t="s">
        <v>5139</v>
      </c>
      <c r="C2966" s="28"/>
      <c r="D2966" s="26">
        <v>345000.0</v>
      </c>
      <c r="F2966" s="26" t="s">
        <v>2542</v>
      </c>
    </row>
    <row r="2967">
      <c r="A2967" s="27">
        <v>45418.0</v>
      </c>
      <c r="B2967" s="26" t="s">
        <v>5140</v>
      </c>
      <c r="C2967" s="28"/>
      <c r="D2967" s="26">
        <v>103624.0</v>
      </c>
      <c r="F2967" s="26" t="s">
        <v>2542</v>
      </c>
    </row>
    <row r="2968">
      <c r="A2968" s="27">
        <v>45418.0</v>
      </c>
      <c r="B2968" s="26" t="s">
        <v>5143</v>
      </c>
      <c r="C2968" s="26" t="s">
        <v>2545</v>
      </c>
      <c r="D2968" s="26">
        <v>2000000.0</v>
      </c>
      <c r="F2968" s="26" t="s">
        <v>2542</v>
      </c>
      <c r="G2968" s="26">
        <v>3341.0</v>
      </c>
    </row>
    <row r="2969">
      <c r="A2969" s="27">
        <v>45418.0</v>
      </c>
      <c r="B2969" s="26" t="s">
        <v>5144</v>
      </c>
      <c r="C2969" s="26" t="s">
        <v>2561</v>
      </c>
      <c r="D2969" s="26" t="s">
        <v>4222</v>
      </c>
      <c r="F2969" s="26" t="s">
        <v>2542</v>
      </c>
      <c r="G2969" s="26">
        <v>632.1</v>
      </c>
    </row>
    <row r="2970">
      <c r="A2970" s="27">
        <v>45418.0</v>
      </c>
      <c r="B2970" s="26" t="s">
        <v>5145</v>
      </c>
      <c r="C2970" s="26" t="s">
        <v>2593</v>
      </c>
      <c r="D2970" s="26">
        <v>3561376.0</v>
      </c>
      <c r="F2970" s="26" t="s">
        <v>2542</v>
      </c>
      <c r="G2970" s="26">
        <v>6423.0</v>
      </c>
    </row>
    <row r="2971">
      <c r="A2971" s="27">
        <v>45418.0</v>
      </c>
      <c r="B2971" s="26" t="s">
        <v>5146</v>
      </c>
      <c r="C2971" s="26" t="s">
        <v>2571</v>
      </c>
      <c r="D2971" s="26">
        <v>1.3495E7</v>
      </c>
      <c r="F2971" s="26" t="s">
        <v>2542</v>
      </c>
      <c r="G2971" s="26">
        <v>641.22</v>
      </c>
    </row>
    <row r="2972">
      <c r="A2972" s="27">
        <v>45418.0</v>
      </c>
      <c r="B2972" s="28"/>
      <c r="C2972" s="28"/>
      <c r="D2972" s="26">
        <v>3561376.0</v>
      </c>
      <c r="F2972" s="26" t="s">
        <v>2542</v>
      </c>
    </row>
    <row r="2973">
      <c r="A2973" s="27">
        <v>45418.0</v>
      </c>
      <c r="B2973" s="28"/>
      <c r="C2973" s="28"/>
      <c r="D2973" s="26">
        <v>1.3495E7</v>
      </c>
      <c r="F2973" s="26" t="s">
        <v>2542</v>
      </c>
    </row>
    <row r="2974">
      <c r="A2974" s="27">
        <v>45418.0</v>
      </c>
      <c r="B2974" s="26" t="s">
        <v>5062</v>
      </c>
      <c r="C2974" s="26" t="s">
        <v>2561</v>
      </c>
      <c r="D2974" s="26">
        <v>2.377674E7</v>
      </c>
      <c r="F2974" s="26" t="s">
        <v>2542</v>
      </c>
      <c r="G2974" s="26">
        <v>331.0</v>
      </c>
    </row>
    <row r="2975">
      <c r="A2975" s="27">
        <v>45416.0</v>
      </c>
      <c r="B2975" s="26" t="s">
        <v>3766</v>
      </c>
      <c r="C2975" s="26" t="s">
        <v>255</v>
      </c>
      <c r="D2975" s="26">
        <v>2.25808E7</v>
      </c>
      <c r="F2975" s="26" t="s">
        <v>2542</v>
      </c>
    </row>
    <row r="2976">
      <c r="A2976" s="27">
        <v>45416.0</v>
      </c>
      <c r="B2976" s="26" t="s">
        <v>4134</v>
      </c>
      <c r="C2976" s="26" t="s">
        <v>255</v>
      </c>
      <c r="D2976" s="26">
        <v>3480000.0</v>
      </c>
      <c r="F2976" s="26" t="s">
        <v>2542</v>
      </c>
    </row>
    <row r="2977">
      <c r="A2977" s="27">
        <v>45416.0</v>
      </c>
      <c r="B2977" s="26" t="s">
        <v>5147</v>
      </c>
      <c r="C2977" s="26" t="s">
        <v>255</v>
      </c>
      <c r="D2977" s="26">
        <v>2280000.0</v>
      </c>
      <c r="F2977" s="26" t="s">
        <v>2542</v>
      </c>
    </row>
    <row r="2978">
      <c r="A2978" s="27">
        <v>45416.0</v>
      </c>
      <c r="B2978" s="26" t="s">
        <v>5148</v>
      </c>
      <c r="C2978" s="26" t="s">
        <v>2545</v>
      </c>
      <c r="D2978" s="26">
        <v>1.4E7</v>
      </c>
      <c r="F2978" s="26" t="s">
        <v>2542</v>
      </c>
      <c r="G2978" s="26">
        <v>3341.0</v>
      </c>
    </row>
    <row r="2979">
      <c r="A2979" s="27">
        <v>45416.0</v>
      </c>
      <c r="B2979" s="26" t="s">
        <v>5149</v>
      </c>
      <c r="C2979" s="26" t="s">
        <v>2545</v>
      </c>
      <c r="D2979" s="26">
        <v>1.2E7</v>
      </c>
      <c r="F2979" s="26" t="s">
        <v>2542</v>
      </c>
      <c r="G2979" s="26">
        <v>3341.0</v>
      </c>
    </row>
    <row r="2980">
      <c r="A2980" s="27">
        <v>45416.0</v>
      </c>
      <c r="B2980" s="26" t="s">
        <v>5150</v>
      </c>
      <c r="C2980" s="26" t="s">
        <v>2545</v>
      </c>
      <c r="D2980" s="26">
        <v>1.2E7</v>
      </c>
      <c r="F2980" s="26" t="s">
        <v>2542</v>
      </c>
      <c r="G2980" s="26">
        <v>3341.0</v>
      </c>
    </row>
    <row r="2981">
      <c r="A2981" s="27">
        <v>45415.0</v>
      </c>
      <c r="B2981" s="26" t="s">
        <v>3219</v>
      </c>
      <c r="C2981" s="26" t="s">
        <v>255</v>
      </c>
      <c r="D2981" s="26">
        <v>2023000.0</v>
      </c>
      <c r="F2981" s="26" t="s">
        <v>2542</v>
      </c>
    </row>
    <row r="2982">
      <c r="A2982" s="27">
        <v>45415.0</v>
      </c>
      <c r="B2982" s="26" t="s">
        <v>5151</v>
      </c>
      <c r="C2982" s="26" t="s">
        <v>255</v>
      </c>
      <c r="D2982" s="26">
        <v>2.388E7</v>
      </c>
      <c r="F2982" s="26" t="s">
        <v>2542</v>
      </c>
    </row>
    <row r="2983">
      <c r="A2983" s="27">
        <v>45415.0</v>
      </c>
      <c r="B2983" s="26" t="s">
        <v>5152</v>
      </c>
      <c r="C2983" s="26" t="s">
        <v>255</v>
      </c>
      <c r="D2983" s="26">
        <v>1080000.0</v>
      </c>
      <c r="F2983" s="26" t="s">
        <v>2542</v>
      </c>
    </row>
    <row r="2984">
      <c r="A2984" s="27">
        <v>45415.0</v>
      </c>
      <c r="B2984" s="26" t="s">
        <v>5153</v>
      </c>
      <c r="C2984" s="26" t="s">
        <v>2545</v>
      </c>
      <c r="D2984" s="26">
        <v>6000000.0</v>
      </c>
      <c r="F2984" s="26" t="s">
        <v>2542</v>
      </c>
      <c r="G2984" s="26">
        <v>3341.0</v>
      </c>
    </row>
    <row r="2985">
      <c r="A2985" s="27">
        <v>45415.0</v>
      </c>
      <c r="B2985" s="26" t="s">
        <v>5154</v>
      </c>
      <c r="C2985" s="26" t="s">
        <v>2545</v>
      </c>
      <c r="D2985" s="26">
        <v>1.250375E7</v>
      </c>
      <c r="F2985" s="26" t="s">
        <v>2542</v>
      </c>
      <c r="G2985" s="26">
        <v>3341.0</v>
      </c>
    </row>
    <row r="2986">
      <c r="A2986" s="27">
        <v>45415.0</v>
      </c>
      <c r="B2986" s="26" t="s">
        <v>5127</v>
      </c>
      <c r="C2986" s="26" t="s">
        <v>2545</v>
      </c>
      <c r="D2986" s="26">
        <v>7000000.0</v>
      </c>
      <c r="F2986" s="26" t="s">
        <v>2542</v>
      </c>
      <c r="G2986" s="26">
        <v>3341.0</v>
      </c>
    </row>
    <row r="2987">
      <c r="A2987" s="27">
        <v>45415.0</v>
      </c>
      <c r="B2987" s="26" t="s">
        <v>5155</v>
      </c>
      <c r="C2987" s="26" t="s">
        <v>2545</v>
      </c>
      <c r="D2987" s="26">
        <v>7200000.0</v>
      </c>
      <c r="F2987" s="26" t="s">
        <v>2542</v>
      </c>
      <c r="G2987" s="26">
        <v>3341.0</v>
      </c>
    </row>
    <row r="2988">
      <c r="A2988" s="27">
        <v>45415.0</v>
      </c>
      <c r="B2988" s="26" t="s">
        <v>5156</v>
      </c>
      <c r="C2988" s="26" t="s">
        <v>2545</v>
      </c>
      <c r="D2988" s="26">
        <v>5360000.0</v>
      </c>
      <c r="F2988" s="26" t="s">
        <v>2542</v>
      </c>
      <c r="G2988" s="26">
        <v>3341.0</v>
      </c>
    </row>
    <row r="2989">
      <c r="A2989" s="27">
        <v>45415.0</v>
      </c>
      <c r="B2989" s="26" t="s">
        <v>5157</v>
      </c>
      <c r="C2989" s="26" t="s">
        <v>2545</v>
      </c>
      <c r="D2989" s="26">
        <v>7700000.0</v>
      </c>
      <c r="F2989" s="26" t="s">
        <v>2542</v>
      </c>
      <c r="G2989" s="26">
        <v>3341.0</v>
      </c>
    </row>
    <row r="2990">
      <c r="A2990" s="27">
        <v>45415.0</v>
      </c>
      <c r="B2990" s="26" t="s">
        <v>5158</v>
      </c>
      <c r="C2990" s="26" t="s">
        <v>2564</v>
      </c>
      <c r="D2990" s="26" t="s">
        <v>5159</v>
      </c>
      <c r="F2990" s="26" t="s">
        <v>2542</v>
      </c>
      <c r="G2990" s="26">
        <v>3332.0</v>
      </c>
    </row>
    <row r="2991">
      <c r="A2991" s="27">
        <v>45415.0</v>
      </c>
      <c r="B2991" s="26" t="s">
        <v>5160</v>
      </c>
      <c r="C2991" s="26" t="s">
        <v>2564</v>
      </c>
      <c r="D2991" s="26">
        <v>242.5</v>
      </c>
      <c r="F2991" s="26" t="s">
        <v>2542</v>
      </c>
      <c r="G2991" s="26">
        <v>3335.0</v>
      </c>
    </row>
    <row r="2992">
      <c r="A2992" s="27">
        <v>45415.0</v>
      </c>
      <c r="B2992" s="26" t="s">
        <v>3568</v>
      </c>
      <c r="C2992" s="26" t="s">
        <v>2564</v>
      </c>
      <c r="D2992" s="26">
        <v>245.0</v>
      </c>
      <c r="F2992" s="26" t="s">
        <v>2542</v>
      </c>
      <c r="G2992" s="26">
        <v>3335.0</v>
      </c>
    </row>
    <row r="2993">
      <c r="A2993" s="27">
        <v>45415.0</v>
      </c>
      <c r="B2993" s="26" t="s">
        <v>5161</v>
      </c>
      <c r="C2993" s="26" t="s">
        <v>2564</v>
      </c>
      <c r="D2993" s="26">
        <v>5.0</v>
      </c>
      <c r="F2993" s="26" t="s">
        <v>2542</v>
      </c>
      <c r="G2993" s="26">
        <v>3335.0</v>
      </c>
    </row>
    <row r="2994">
      <c r="A2994" s="27">
        <v>45414.0</v>
      </c>
      <c r="B2994" s="26" t="s">
        <v>5162</v>
      </c>
      <c r="C2994" s="26" t="s">
        <v>255</v>
      </c>
      <c r="D2994" s="26">
        <v>2510000.0</v>
      </c>
      <c r="F2994" s="26" t="s">
        <v>2542</v>
      </c>
    </row>
    <row r="2995">
      <c r="A2995" s="27">
        <v>45414.0</v>
      </c>
      <c r="B2995" s="26" t="s">
        <v>5163</v>
      </c>
      <c r="C2995" s="26" t="s">
        <v>255</v>
      </c>
      <c r="D2995" s="26">
        <v>1440000.0</v>
      </c>
      <c r="F2995" s="26" t="s">
        <v>2542</v>
      </c>
    </row>
    <row r="2996">
      <c r="A2996" s="27">
        <v>45414.0</v>
      </c>
      <c r="B2996" s="26" t="s">
        <v>4876</v>
      </c>
      <c r="C2996" s="26" t="s">
        <v>255</v>
      </c>
      <c r="D2996" s="26">
        <v>1080000.0</v>
      </c>
      <c r="F2996" s="26" t="s">
        <v>2542</v>
      </c>
    </row>
    <row r="2997">
      <c r="A2997" s="27">
        <v>45414.0</v>
      </c>
      <c r="B2997" s="26" t="s">
        <v>5164</v>
      </c>
      <c r="C2997" s="26" t="s">
        <v>255</v>
      </c>
      <c r="D2997" s="26">
        <v>1.1875E7</v>
      </c>
      <c r="F2997" s="26" t="s">
        <v>2542</v>
      </c>
    </row>
    <row r="2998">
      <c r="A2998" s="27">
        <v>45414.0</v>
      </c>
      <c r="B2998" s="26" t="s">
        <v>5165</v>
      </c>
      <c r="C2998" s="26" t="s">
        <v>255</v>
      </c>
      <c r="D2998" s="26">
        <v>1260000.0</v>
      </c>
      <c r="F2998" s="26" t="s">
        <v>2542</v>
      </c>
    </row>
    <row r="2999">
      <c r="A2999" s="27">
        <v>45414.0</v>
      </c>
      <c r="B2999" s="26" t="s">
        <v>5166</v>
      </c>
      <c r="C2999" s="26" t="s">
        <v>2561</v>
      </c>
      <c r="D2999" s="26">
        <v>1.3122E7</v>
      </c>
      <c r="F2999" s="26" t="s">
        <v>2542</v>
      </c>
      <c r="G2999" s="26">
        <v>331.0</v>
      </c>
    </row>
    <row r="3000">
      <c r="A3000" s="27">
        <v>45414.0</v>
      </c>
      <c r="B3000" s="26" t="s">
        <v>5167</v>
      </c>
      <c r="C3000" s="26" t="s">
        <v>2561</v>
      </c>
      <c r="D3000" s="26">
        <v>2.5074997E7</v>
      </c>
      <c r="F3000" s="26" t="s">
        <v>2542</v>
      </c>
      <c r="G3000" s="26">
        <v>331.0</v>
      </c>
    </row>
    <row r="3001">
      <c r="A3001" s="27">
        <v>45413.0</v>
      </c>
      <c r="B3001" s="26" t="s">
        <v>5168</v>
      </c>
      <c r="C3001" s="26" t="s">
        <v>255</v>
      </c>
      <c r="D3001" s="26">
        <v>3325000.0</v>
      </c>
      <c r="F3001" s="26" t="s">
        <v>2542</v>
      </c>
    </row>
    <row r="3002">
      <c r="A3002" s="27">
        <v>45412.0</v>
      </c>
      <c r="B3002" s="26" t="s">
        <v>5169</v>
      </c>
      <c r="C3002" s="26" t="s">
        <v>255</v>
      </c>
      <c r="D3002" s="26">
        <v>1.44788E7</v>
      </c>
      <c r="F3002" s="26" t="s">
        <v>2542</v>
      </c>
    </row>
    <row r="3003">
      <c r="A3003" s="27">
        <v>45409.0</v>
      </c>
      <c r="B3003" s="26" t="s">
        <v>5170</v>
      </c>
      <c r="C3003" s="26" t="s">
        <v>255</v>
      </c>
      <c r="D3003" s="26">
        <v>2160000.0</v>
      </c>
      <c r="F3003" s="26" t="s">
        <v>2542</v>
      </c>
    </row>
    <row r="3004">
      <c r="A3004" s="27">
        <v>45409.0</v>
      </c>
      <c r="B3004" s="26" t="s">
        <v>2543</v>
      </c>
      <c r="C3004" s="26" t="s">
        <v>255</v>
      </c>
      <c r="D3004" s="26">
        <v>1811.0</v>
      </c>
      <c r="F3004" s="26" t="s">
        <v>2542</v>
      </c>
    </row>
    <row r="3005">
      <c r="A3005" s="27">
        <v>45408.0</v>
      </c>
      <c r="B3005" s="26" t="s">
        <v>5171</v>
      </c>
      <c r="C3005" s="26" t="s">
        <v>255</v>
      </c>
      <c r="D3005" s="26">
        <v>5455000.0</v>
      </c>
      <c r="F3005" s="26" t="s">
        <v>2542</v>
      </c>
    </row>
    <row r="3006">
      <c r="A3006" s="27">
        <v>45408.0</v>
      </c>
      <c r="B3006" s="26" t="s">
        <v>3835</v>
      </c>
      <c r="C3006" s="26" t="s">
        <v>255</v>
      </c>
      <c r="D3006" s="26">
        <v>2640000.0</v>
      </c>
      <c r="F3006" s="26" t="s">
        <v>2542</v>
      </c>
    </row>
    <row r="3007">
      <c r="A3007" s="27">
        <v>45408.0</v>
      </c>
      <c r="B3007" s="26" t="s">
        <v>4746</v>
      </c>
      <c r="C3007" s="26" t="s">
        <v>255</v>
      </c>
      <c r="D3007" s="26">
        <v>1790000.0</v>
      </c>
      <c r="F3007" s="26" t="s">
        <v>2542</v>
      </c>
    </row>
    <row r="3008">
      <c r="A3008" s="27">
        <v>45408.0</v>
      </c>
      <c r="B3008" s="26" t="s">
        <v>3945</v>
      </c>
      <c r="C3008" s="26" t="s">
        <v>255</v>
      </c>
      <c r="D3008" s="26">
        <v>1902750.0</v>
      </c>
      <c r="F3008" s="26" t="s">
        <v>2542</v>
      </c>
    </row>
    <row r="3009">
      <c r="A3009" s="27">
        <v>45408.0</v>
      </c>
      <c r="B3009" s="26" t="s">
        <v>5172</v>
      </c>
      <c r="C3009" s="26" t="s">
        <v>255</v>
      </c>
      <c r="D3009" s="26">
        <v>3190000.0</v>
      </c>
      <c r="F3009" s="26" t="s">
        <v>2542</v>
      </c>
    </row>
    <row r="3010">
      <c r="A3010" s="27">
        <v>45408.0</v>
      </c>
      <c r="B3010" s="26" t="s">
        <v>5173</v>
      </c>
      <c r="C3010" s="26" t="s">
        <v>255</v>
      </c>
      <c r="D3010" s="26">
        <v>2750000.0</v>
      </c>
      <c r="F3010" s="26" t="s">
        <v>2542</v>
      </c>
    </row>
    <row r="3011">
      <c r="A3011" s="27">
        <v>45408.0</v>
      </c>
      <c r="B3011" s="26" t="s">
        <v>4282</v>
      </c>
      <c r="C3011" s="26" t="s">
        <v>2564</v>
      </c>
      <c r="D3011" s="26" t="s">
        <v>5174</v>
      </c>
      <c r="F3011" s="26" t="s">
        <v>2542</v>
      </c>
      <c r="G3011" s="26">
        <v>3335.0</v>
      </c>
    </row>
    <row r="3012">
      <c r="A3012" s="27">
        <v>45408.0</v>
      </c>
      <c r="B3012" s="26" t="s">
        <v>5175</v>
      </c>
      <c r="C3012" s="26" t="s">
        <v>2571</v>
      </c>
      <c r="D3012" s="26">
        <v>2235600.0</v>
      </c>
      <c r="F3012" s="26" t="s">
        <v>2542</v>
      </c>
      <c r="G3012" s="26">
        <v>6427.0</v>
      </c>
    </row>
    <row r="3013">
      <c r="A3013" s="27">
        <v>45408.0</v>
      </c>
      <c r="B3013" s="26" t="s">
        <v>5176</v>
      </c>
      <c r="C3013" s="26" t="s">
        <v>2571</v>
      </c>
      <c r="D3013" s="26">
        <v>7112000.0</v>
      </c>
      <c r="F3013" s="26" t="s">
        <v>2542</v>
      </c>
      <c r="G3013" s="26">
        <v>6427.0</v>
      </c>
    </row>
    <row r="3014">
      <c r="A3014" s="27">
        <v>45408.0</v>
      </c>
      <c r="B3014" s="26" t="s">
        <v>5177</v>
      </c>
      <c r="C3014" s="26" t="s">
        <v>2563</v>
      </c>
      <c r="D3014" s="26">
        <v>200000.0</v>
      </c>
      <c r="F3014" s="26" t="s">
        <v>2542</v>
      </c>
      <c r="G3014" s="26">
        <v>6428.0</v>
      </c>
    </row>
    <row r="3015">
      <c r="A3015" s="27">
        <v>45408.0</v>
      </c>
      <c r="B3015" s="26" t="s">
        <v>5178</v>
      </c>
      <c r="C3015" s="26" t="s">
        <v>2545</v>
      </c>
      <c r="D3015" s="26">
        <v>7000000.0</v>
      </c>
      <c r="F3015" s="26" t="s">
        <v>2542</v>
      </c>
      <c r="G3015" s="26">
        <v>3341.0</v>
      </c>
    </row>
    <row r="3016">
      <c r="A3016" s="27">
        <v>45408.0</v>
      </c>
      <c r="B3016" s="26" t="s">
        <v>5179</v>
      </c>
      <c r="C3016" s="26" t="s">
        <v>2545</v>
      </c>
      <c r="D3016" s="26">
        <v>3200000.0</v>
      </c>
      <c r="F3016" s="26" t="s">
        <v>2542</v>
      </c>
      <c r="G3016" s="26">
        <v>3341.0</v>
      </c>
    </row>
    <row r="3017">
      <c r="A3017" s="27">
        <v>45408.0</v>
      </c>
      <c r="B3017" s="26" t="s">
        <v>5180</v>
      </c>
      <c r="C3017" s="26" t="s">
        <v>2571</v>
      </c>
      <c r="D3017" s="26">
        <v>2000000.0</v>
      </c>
      <c r="F3017" s="26" t="s">
        <v>2542</v>
      </c>
      <c r="G3017" s="26">
        <v>6427.0</v>
      </c>
    </row>
    <row r="3018">
      <c r="A3018" s="27">
        <v>45407.0</v>
      </c>
      <c r="B3018" s="26" t="s">
        <v>5181</v>
      </c>
      <c r="C3018" s="26" t="s">
        <v>255</v>
      </c>
      <c r="D3018" s="26">
        <v>3.0E7</v>
      </c>
      <c r="F3018" s="26" t="s">
        <v>2542</v>
      </c>
    </row>
    <row r="3019">
      <c r="A3019" s="27">
        <v>45407.0</v>
      </c>
      <c r="B3019" s="26" t="s">
        <v>5182</v>
      </c>
      <c r="C3019" s="26" t="s">
        <v>255</v>
      </c>
      <c r="D3019" s="26">
        <v>6240000.0</v>
      </c>
      <c r="F3019" s="26" t="s">
        <v>2542</v>
      </c>
    </row>
    <row r="3020">
      <c r="A3020" s="27">
        <v>45407.0</v>
      </c>
      <c r="B3020" s="26" t="s">
        <v>5183</v>
      </c>
      <c r="C3020" s="26" t="s">
        <v>255</v>
      </c>
      <c r="D3020" s="26">
        <v>3270000.0</v>
      </c>
      <c r="F3020" s="26" t="s">
        <v>2542</v>
      </c>
    </row>
    <row r="3021">
      <c r="A3021" s="27">
        <v>45407.0</v>
      </c>
      <c r="B3021" s="26" t="s">
        <v>4856</v>
      </c>
      <c r="C3021" s="26" t="s">
        <v>255</v>
      </c>
      <c r="D3021" s="26">
        <v>1080000.0</v>
      </c>
      <c r="F3021" s="26" t="s">
        <v>2542</v>
      </c>
    </row>
    <row r="3022">
      <c r="A3022" s="27">
        <v>45407.0</v>
      </c>
      <c r="B3022" s="26" t="s">
        <v>5184</v>
      </c>
      <c r="C3022" s="26" t="s">
        <v>255</v>
      </c>
      <c r="D3022" s="26">
        <v>1332800.0</v>
      </c>
      <c r="F3022" s="26" t="s">
        <v>2542</v>
      </c>
    </row>
    <row r="3023">
      <c r="A3023" s="27">
        <v>45407.0</v>
      </c>
      <c r="B3023" s="26" t="s">
        <v>5185</v>
      </c>
      <c r="C3023" s="26" t="s">
        <v>255</v>
      </c>
      <c r="D3023" s="26">
        <v>4.0E7</v>
      </c>
      <c r="F3023" s="26" t="s">
        <v>2542</v>
      </c>
    </row>
    <row r="3024">
      <c r="A3024" s="27">
        <v>45407.0</v>
      </c>
      <c r="B3024" s="26" t="s">
        <v>5181</v>
      </c>
      <c r="C3024" s="28"/>
      <c r="D3024" s="26">
        <v>3.0E7</v>
      </c>
      <c r="F3024" s="26" t="s">
        <v>2542</v>
      </c>
    </row>
    <row r="3025">
      <c r="A3025" s="27">
        <v>45407.0</v>
      </c>
      <c r="B3025" s="26" t="s">
        <v>5186</v>
      </c>
      <c r="C3025" s="26" t="s">
        <v>2545</v>
      </c>
      <c r="D3025" s="26">
        <v>3000000.0</v>
      </c>
      <c r="F3025" s="26" t="s">
        <v>2542</v>
      </c>
      <c r="G3025" s="26">
        <v>3341.0</v>
      </c>
    </row>
    <row r="3026">
      <c r="A3026" s="27">
        <v>45407.0</v>
      </c>
      <c r="B3026" s="26" t="s">
        <v>5187</v>
      </c>
      <c r="C3026" s="26" t="s">
        <v>2561</v>
      </c>
      <c r="D3026" s="26">
        <v>2.52952E7</v>
      </c>
      <c r="F3026" s="26" t="s">
        <v>2542</v>
      </c>
      <c r="G3026" s="26">
        <v>331.0</v>
      </c>
    </row>
    <row r="3027">
      <c r="A3027" s="27">
        <v>45407.0</v>
      </c>
      <c r="B3027" s="26" t="s">
        <v>5188</v>
      </c>
      <c r="C3027" s="26" t="s">
        <v>2561</v>
      </c>
      <c r="D3027" s="26" t="s">
        <v>3057</v>
      </c>
      <c r="F3027" s="26" t="s">
        <v>2542</v>
      </c>
      <c r="G3027" s="26">
        <v>632.2</v>
      </c>
    </row>
    <row r="3028">
      <c r="A3028" s="27">
        <v>45406.0</v>
      </c>
      <c r="B3028" s="26" t="s">
        <v>2829</v>
      </c>
      <c r="C3028" s="26" t="s">
        <v>255</v>
      </c>
      <c r="D3028" s="26">
        <v>2400000.0</v>
      </c>
      <c r="F3028" s="26" t="s">
        <v>2542</v>
      </c>
    </row>
    <row r="3029">
      <c r="A3029" s="27">
        <v>45406.0</v>
      </c>
      <c r="B3029" s="26" t="s">
        <v>5189</v>
      </c>
      <c r="C3029" s="26" t="s">
        <v>255</v>
      </c>
      <c r="D3029" s="26">
        <v>3600000.0</v>
      </c>
      <c r="F3029" s="26" t="s">
        <v>2542</v>
      </c>
    </row>
    <row r="3030">
      <c r="A3030" s="27">
        <v>45406.0</v>
      </c>
      <c r="B3030" s="26" t="s">
        <v>5190</v>
      </c>
      <c r="C3030" s="26" t="s">
        <v>2561</v>
      </c>
      <c r="D3030" s="26">
        <v>7700000.0</v>
      </c>
      <c r="F3030" s="26" t="s">
        <v>2542</v>
      </c>
      <c r="G3030" s="26">
        <v>331.0</v>
      </c>
    </row>
    <row r="3031">
      <c r="A3031" s="27">
        <v>45405.0</v>
      </c>
      <c r="B3031" s="26" t="s">
        <v>5191</v>
      </c>
      <c r="C3031" s="26" t="s">
        <v>255</v>
      </c>
      <c r="D3031" s="26">
        <v>3480000.0</v>
      </c>
      <c r="F3031" s="26" t="s">
        <v>2542</v>
      </c>
    </row>
    <row r="3032">
      <c r="A3032" s="27">
        <v>45405.0</v>
      </c>
      <c r="B3032" s="26" t="s">
        <v>5192</v>
      </c>
      <c r="C3032" s="26" t="s">
        <v>255</v>
      </c>
      <c r="D3032" s="26">
        <v>1080000.0</v>
      </c>
      <c r="F3032" s="26" t="s">
        <v>2542</v>
      </c>
    </row>
    <row r="3033">
      <c r="A3033" s="27">
        <v>45405.0</v>
      </c>
      <c r="B3033" s="26" t="s">
        <v>5193</v>
      </c>
      <c r="C3033" s="26" t="s">
        <v>255</v>
      </c>
      <c r="D3033" s="26">
        <v>2500000.0</v>
      </c>
      <c r="F3033" s="26" t="s">
        <v>2542</v>
      </c>
    </row>
    <row r="3034">
      <c r="A3034" s="27">
        <v>45405.0</v>
      </c>
      <c r="B3034" s="26" t="s">
        <v>5194</v>
      </c>
      <c r="C3034" s="26" t="s">
        <v>255</v>
      </c>
      <c r="D3034" s="26">
        <v>3240000.0</v>
      </c>
      <c r="F3034" s="26" t="s">
        <v>2542</v>
      </c>
    </row>
    <row r="3035">
      <c r="A3035" s="27">
        <v>45405.0</v>
      </c>
      <c r="B3035" s="26" t="s">
        <v>5195</v>
      </c>
      <c r="C3035" s="26" t="s">
        <v>255</v>
      </c>
      <c r="D3035" s="26">
        <v>2160000.0</v>
      </c>
      <c r="F3035" s="26" t="s">
        <v>2542</v>
      </c>
    </row>
    <row r="3036">
      <c r="A3036" s="27">
        <v>45405.0</v>
      </c>
      <c r="B3036" s="26" t="s">
        <v>5196</v>
      </c>
      <c r="C3036" s="26" t="s">
        <v>255</v>
      </c>
      <c r="D3036" s="26">
        <v>3240000.0</v>
      </c>
      <c r="F3036" s="26" t="s">
        <v>2542</v>
      </c>
    </row>
    <row r="3037">
      <c r="A3037" s="27">
        <v>45405.0</v>
      </c>
      <c r="B3037" s="26" t="s">
        <v>5197</v>
      </c>
      <c r="C3037" s="26" t="s">
        <v>255</v>
      </c>
      <c r="D3037" s="26">
        <v>3665000.0</v>
      </c>
      <c r="F3037" s="26" t="s">
        <v>2542</v>
      </c>
    </row>
    <row r="3038">
      <c r="A3038" s="27">
        <v>45405.0</v>
      </c>
      <c r="B3038" s="26" t="s">
        <v>5198</v>
      </c>
      <c r="C3038" s="26" t="s">
        <v>255</v>
      </c>
      <c r="D3038" s="26">
        <v>2160000.0</v>
      </c>
      <c r="F3038" s="26" t="s">
        <v>2542</v>
      </c>
    </row>
    <row r="3039">
      <c r="A3039" s="27">
        <v>45405.0</v>
      </c>
      <c r="B3039" s="26" t="s">
        <v>5199</v>
      </c>
      <c r="C3039" s="26" t="s">
        <v>255</v>
      </c>
      <c r="D3039" s="26">
        <v>2380000.0</v>
      </c>
      <c r="F3039" s="26" t="s">
        <v>2542</v>
      </c>
    </row>
    <row r="3040">
      <c r="A3040" s="27">
        <v>45405.0</v>
      </c>
      <c r="B3040" s="26" t="s">
        <v>2543</v>
      </c>
      <c r="C3040" s="26" t="s">
        <v>255</v>
      </c>
      <c r="D3040" s="26">
        <v>1156.0</v>
      </c>
      <c r="F3040" s="26" t="s">
        <v>2542</v>
      </c>
    </row>
    <row r="3041">
      <c r="A3041" s="27">
        <v>45405.0</v>
      </c>
      <c r="B3041" s="26" t="s">
        <v>5200</v>
      </c>
      <c r="C3041" s="26" t="s">
        <v>255</v>
      </c>
      <c r="D3041" s="26">
        <v>4785000.0</v>
      </c>
      <c r="F3041" s="26" t="s">
        <v>2542</v>
      </c>
    </row>
    <row r="3042">
      <c r="A3042" s="27">
        <v>45405.0</v>
      </c>
      <c r="B3042" s="26" t="s">
        <v>5201</v>
      </c>
      <c r="C3042" s="26" t="s">
        <v>2571</v>
      </c>
      <c r="D3042" s="26">
        <v>2060000.0</v>
      </c>
      <c r="F3042" s="26" t="s">
        <v>2542</v>
      </c>
      <c r="G3042" s="26">
        <v>641.16</v>
      </c>
    </row>
    <row r="3043">
      <c r="A3043" s="27">
        <v>45405.0</v>
      </c>
      <c r="B3043" s="26" t="s">
        <v>5177</v>
      </c>
      <c r="C3043" s="26" t="s">
        <v>2563</v>
      </c>
      <c r="D3043" s="26">
        <v>200000.0</v>
      </c>
      <c r="F3043" s="26" t="s">
        <v>2542</v>
      </c>
      <c r="G3043" s="26">
        <v>6428.0</v>
      </c>
    </row>
    <row r="3044">
      <c r="A3044" s="27">
        <v>45404.0</v>
      </c>
      <c r="B3044" s="26" t="s">
        <v>5051</v>
      </c>
      <c r="C3044" s="26" t="s">
        <v>255</v>
      </c>
      <c r="D3044" s="26">
        <v>2310000.0</v>
      </c>
      <c r="F3044" s="26" t="s">
        <v>2542</v>
      </c>
    </row>
    <row r="3045">
      <c r="A3045" s="27">
        <v>45404.0</v>
      </c>
      <c r="B3045" s="26" t="s">
        <v>5202</v>
      </c>
      <c r="C3045" s="26" t="s">
        <v>2571</v>
      </c>
      <c r="D3045" s="26">
        <v>2028000.0</v>
      </c>
      <c r="F3045" s="26" t="s">
        <v>2542</v>
      </c>
      <c r="G3045" s="26">
        <v>641.16</v>
      </c>
    </row>
    <row r="3046">
      <c r="A3046" s="27">
        <v>45404.0</v>
      </c>
      <c r="B3046" s="26" t="s">
        <v>5203</v>
      </c>
      <c r="C3046" s="26" t="s">
        <v>2571</v>
      </c>
      <c r="D3046" s="26">
        <v>5868720.0</v>
      </c>
      <c r="F3046" s="26" t="s">
        <v>2542</v>
      </c>
      <c r="G3046" s="26">
        <v>641.12</v>
      </c>
    </row>
    <row r="3047">
      <c r="A3047" s="27">
        <v>45402.0</v>
      </c>
      <c r="B3047" s="26" t="s">
        <v>5204</v>
      </c>
      <c r="C3047" s="26" t="s">
        <v>255</v>
      </c>
      <c r="D3047" s="26">
        <v>2900000.0</v>
      </c>
      <c r="F3047" s="26" t="s">
        <v>2542</v>
      </c>
    </row>
    <row r="3048">
      <c r="A3048" s="27">
        <v>45402.0</v>
      </c>
      <c r="B3048" s="26" t="s">
        <v>5205</v>
      </c>
      <c r="C3048" s="26" t="s">
        <v>255</v>
      </c>
      <c r="D3048" s="26">
        <v>75000.0</v>
      </c>
      <c r="F3048" s="26" t="s">
        <v>2542</v>
      </c>
    </row>
    <row r="3049">
      <c r="A3049" s="27">
        <v>45402.0</v>
      </c>
      <c r="B3049" s="26" t="s">
        <v>5205</v>
      </c>
      <c r="C3049" s="26" t="s">
        <v>255</v>
      </c>
      <c r="D3049" s="26">
        <v>75000.0</v>
      </c>
      <c r="F3049" s="26" t="s">
        <v>2542</v>
      </c>
    </row>
    <row r="3050">
      <c r="A3050" s="27">
        <v>45401.0</v>
      </c>
      <c r="B3050" s="26" t="s">
        <v>5026</v>
      </c>
      <c r="C3050" s="26" t="s">
        <v>255</v>
      </c>
      <c r="D3050" s="26">
        <v>1200000.0</v>
      </c>
      <c r="F3050" s="26" t="s">
        <v>2542</v>
      </c>
    </row>
    <row r="3051">
      <c r="A3051" s="27">
        <v>45401.0</v>
      </c>
      <c r="B3051" s="26" t="s">
        <v>5206</v>
      </c>
      <c r="C3051" s="26" t="s">
        <v>255</v>
      </c>
      <c r="D3051" s="26">
        <v>1080000.0</v>
      </c>
      <c r="F3051" s="26" t="s">
        <v>2542</v>
      </c>
    </row>
    <row r="3052">
      <c r="A3052" s="27">
        <v>45401.0</v>
      </c>
      <c r="B3052" s="26" t="s">
        <v>5207</v>
      </c>
      <c r="C3052" s="26" t="s">
        <v>255</v>
      </c>
      <c r="D3052" s="26">
        <v>1080000.0</v>
      </c>
      <c r="F3052" s="26" t="s">
        <v>2542</v>
      </c>
    </row>
    <row r="3053">
      <c r="A3053" s="27">
        <v>45401.0</v>
      </c>
      <c r="B3053" s="26" t="s">
        <v>5208</v>
      </c>
      <c r="C3053" s="26" t="s">
        <v>255</v>
      </c>
      <c r="D3053" s="26">
        <v>4000000.0</v>
      </c>
      <c r="F3053" s="26" t="s">
        <v>2542</v>
      </c>
    </row>
    <row r="3054">
      <c r="A3054" s="27">
        <v>45401.0</v>
      </c>
      <c r="B3054" s="26" t="s">
        <v>5209</v>
      </c>
      <c r="C3054" s="26" t="s">
        <v>2583</v>
      </c>
      <c r="D3054" s="26">
        <v>2000000.0</v>
      </c>
      <c r="F3054" s="26" t="s">
        <v>2542</v>
      </c>
      <c r="G3054" s="26">
        <v>641.23</v>
      </c>
    </row>
    <row r="3055">
      <c r="A3055" s="27">
        <v>45399.0</v>
      </c>
      <c r="B3055" s="26" t="s">
        <v>5210</v>
      </c>
      <c r="C3055" s="26" t="s">
        <v>255</v>
      </c>
      <c r="D3055" s="26">
        <v>2545000.0</v>
      </c>
      <c r="F3055" s="26" t="s">
        <v>2542</v>
      </c>
    </row>
    <row r="3056">
      <c r="A3056" s="27">
        <v>45399.0</v>
      </c>
      <c r="B3056" s="26" t="s">
        <v>5051</v>
      </c>
      <c r="C3056" s="26" t="s">
        <v>255</v>
      </c>
      <c r="D3056" s="26">
        <v>1180000.0</v>
      </c>
      <c r="F3056" s="26" t="s">
        <v>2542</v>
      </c>
    </row>
    <row r="3057">
      <c r="A3057" s="27">
        <v>45398.0</v>
      </c>
      <c r="B3057" s="26" t="s">
        <v>5211</v>
      </c>
      <c r="C3057" s="26" t="s">
        <v>255</v>
      </c>
      <c r="D3057" s="26">
        <v>3255500.0</v>
      </c>
      <c r="F3057" s="26" t="s">
        <v>2542</v>
      </c>
    </row>
    <row r="3058">
      <c r="A3058" s="27">
        <v>45398.0</v>
      </c>
      <c r="B3058" s="26" t="s">
        <v>5212</v>
      </c>
      <c r="C3058" s="26" t="s">
        <v>2561</v>
      </c>
      <c r="D3058" s="26">
        <v>4098600.0</v>
      </c>
      <c r="F3058" s="26" t="s">
        <v>2542</v>
      </c>
      <c r="G3058" s="26">
        <v>331.0</v>
      </c>
    </row>
    <row r="3059">
      <c r="A3059" s="27">
        <v>45397.0</v>
      </c>
      <c r="B3059" s="26" t="s">
        <v>5181</v>
      </c>
      <c r="C3059" s="26" t="s">
        <v>255</v>
      </c>
      <c r="D3059" s="26">
        <v>2.0E7</v>
      </c>
      <c r="F3059" s="26" t="s">
        <v>2542</v>
      </c>
    </row>
    <row r="3060">
      <c r="A3060" s="27">
        <v>45397.0</v>
      </c>
      <c r="B3060" s="26" t="s">
        <v>5213</v>
      </c>
      <c r="C3060" s="26" t="s">
        <v>255</v>
      </c>
      <c r="D3060" s="26">
        <v>2.5005E7</v>
      </c>
      <c r="F3060" s="26" t="s">
        <v>2542</v>
      </c>
    </row>
    <row r="3061">
      <c r="A3061" s="27">
        <v>45397.0</v>
      </c>
      <c r="B3061" s="26" t="s">
        <v>5214</v>
      </c>
      <c r="C3061" s="26" t="s">
        <v>255</v>
      </c>
      <c r="D3061" s="26">
        <v>6368750.0</v>
      </c>
      <c r="F3061" s="26" t="s">
        <v>2542</v>
      </c>
    </row>
    <row r="3062">
      <c r="A3062" s="27">
        <v>45397.0</v>
      </c>
      <c r="B3062" s="26" t="s">
        <v>5215</v>
      </c>
      <c r="C3062" s="26" t="s">
        <v>255</v>
      </c>
      <c r="D3062" s="26">
        <v>3430000.0</v>
      </c>
      <c r="F3062" s="26" t="s">
        <v>2542</v>
      </c>
    </row>
    <row r="3063">
      <c r="A3063" s="27">
        <v>45397.0</v>
      </c>
      <c r="B3063" s="26" t="s">
        <v>5181</v>
      </c>
      <c r="C3063" s="28"/>
      <c r="D3063" s="26">
        <v>2.0E7</v>
      </c>
      <c r="F3063" s="26" t="s">
        <v>2542</v>
      </c>
    </row>
    <row r="3064">
      <c r="A3064" s="27">
        <v>45397.0</v>
      </c>
      <c r="B3064" s="26" t="s">
        <v>5216</v>
      </c>
      <c r="C3064" s="26" t="s">
        <v>2545</v>
      </c>
      <c r="D3064" s="26">
        <v>1.29E7</v>
      </c>
      <c r="F3064" s="26" t="s">
        <v>2542</v>
      </c>
      <c r="G3064" s="26">
        <v>3341.0</v>
      </c>
    </row>
    <row r="3065">
      <c r="A3065" s="27">
        <v>45397.0</v>
      </c>
      <c r="B3065" s="26" t="s">
        <v>5217</v>
      </c>
      <c r="C3065" s="26" t="s">
        <v>2581</v>
      </c>
      <c r="D3065" s="26">
        <v>3000000.0</v>
      </c>
      <c r="F3065" s="26" t="s">
        <v>2542</v>
      </c>
      <c r="G3065" s="26">
        <v>6422.0</v>
      </c>
    </row>
    <row r="3066">
      <c r="A3066" s="27">
        <v>45397.0</v>
      </c>
      <c r="B3066" s="26" t="s">
        <v>5218</v>
      </c>
      <c r="C3066" s="26" t="s">
        <v>2545</v>
      </c>
      <c r="D3066" s="26">
        <v>5000000.0</v>
      </c>
      <c r="F3066" s="26" t="s">
        <v>2542</v>
      </c>
      <c r="G3066" s="26">
        <v>3341.0</v>
      </c>
    </row>
    <row r="3067">
      <c r="A3067" s="27">
        <v>45397.0</v>
      </c>
      <c r="B3067" s="26" t="s">
        <v>5219</v>
      </c>
      <c r="C3067" s="26" t="s">
        <v>2561</v>
      </c>
      <c r="D3067" s="26" t="s">
        <v>5220</v>
      </c>
      <c r="F3067" s="26" t="s">
        <v>2542</v>
      </c>
      <c r="G3067" s="26">
        <v>632.1</v>
      </c>
    </row>
    <row r="3068">
      <c r="A3068" s="27">
        <v>45395.0</v>
      </c>
      <c r="B3068" s="26" t="s">
        <v>5221</v>
      </c>
      <c r="C3068" s="26" t="s">
        <v>2561</v>
      </c>
      <c r="D3068" s="26">
        <v>3337200.0</v>
      </c>
      <c r="F3068" s="26" t="s">
        <v>2542</v>
      </c>
      <c r="G3068" s="26">
        <v>331.0</v>
      </c>
    </row>
    <row r="3069">
      <c r="A3069" s="27">
        <v>45393.0</v>
      </c>
      <c r="B3069" s="26" t="s">
        <v>5222</v>
      </c>
      <c r="C3069" s="26" t="s">
        <v>255</v>
      </c>
      <c r="D3069" s="26">
        <v>1080000.0</v>
      </c>
      <c r="F3069" s="26" t="s">
        <v>2542</v>
      </c>
    </row>
    <row r="3070">
      <c r="A3070" s="27">
        <v>45393.0</v>
      </c>
      <c r="B3070" s="26" t="s">
        <v>5223</v>
      </c>
      <c r="C3070" s="26" t="s">
        <v>255</v>
      </c>
      <c r="D3070" s="26">
        <v>1024250.0</v>
      </c>
      <c r="F3070" s="26" t="s">
        <v>2542</v>
      </c>
    </row>
    <row r="3071">
      <c r="A3071" s="27">
        <v>45393.0</v>
      </c>
      <c r="B3071" s="26" t="s">
        <v>5224</v>
      </c>
      <c r="C3071" s="26" t="s">
        <v>255</v>
      </c>
      <c r="D3071" s="26">
        <v>3105000.0</v>
      </c>
      <c r="F3071" s="26" t="s">
        <v>2542</v>
      </c>
    </row>
    <row r="3072">
      <c r="A3072" s="27">
        <v>45392.0</v>
      </c>
      <c r="B3072" s="26" t="s">
        <v>5225</v>
      </c>
      <c r="C3072" s="26" t="s">
        <v>255</v>
      </c>
      <c r="D3072" s="26">
        <v>2160000.0</v>
      </c>
      <c r="F3072" s="26" t="s">
        <v>2542</v>
      </c>
    </row>
    <row r="3073">
      <c r="A3073" s="27">
        <v>45392.0</v>
      </c>
      <c r="B3073" s="26" t="s">
        <v>5226</v>
      </c>
      <c r="C3073" s="26" t="s">
        <v>255</v>
      </c>
      <c r="D3073" s="26">
        <v>2160000.0</v>
      </c>
      <c r="F3073" s="26" t="s">
        <v>2542</v>
      </c>
    </row>
    <row r="3074">
      <c r="A3074" s="27">
        <v>45392.0</v>
      </c>
      <c r="B3074" s="26" t="s">
        <v>5227</v>
      </c>
      <c r="C3074" s="26" t="s">
        <v>255</v>
      </c>
      <c r="D3074" s="26">
        <v>2912800.0</v>
      </c>
      <c r="F3074" s="26" t="s">
        <v>2542</v>
      </c>
    </row>
    <row r="3075">
      <c r="A3075" s="27">
        <v>45392.0</v>
      </c>
      <c r="B3075" s="26" t="s">
        <v>5228</v>
      </c>
      <c r="C3075" s="26" t="s">
        <v>255</v>
      </c>
      <c r="D3075" s="26">
        <v>2960000.0</v>
      </c>
      <c r="F3075" s="26" t="s">
        <v>2542</v>
      </c>
    </row>
    <row r="3076">
      <c r="A3076" s="27">
        <v>45392.0</v>
      </c>
      <c r="B3076" s="26" t="s">
        <v>5229</v>
      </c>
      <c r="C3076" s="26" t="s">
        <v>255</v>
      </c>
      <c r="D3076" s="26">
        <v>3240000.0</v>
      </c>
      <c r="F3076" s="26" t="s">
        <v>2542</v>
      </c>
    </row>
    <row r="3077">
      <c r="A3077" s="27">
        <v>45392.0</v>
      </c>
      <c r="B3077" s="26" t="s">
        <v>5230</v>
      </c>
      <c r="C3077" s="26" t="s">
        <v>255</v>
      </c>
      <c r="D3077" s="26">
        <v>3750000.0</v>
      </c>
      <c r="F3077" s="26" t="s">
        <v>2542</v>
      </c>
    </row>
    <row r="3078">
      <c r="A3078" s="27">
        <v>45392.0</v>
      </c>
      <c r="B3078" s="26" t="s">
        <v>4746</v>
      </c>
      <c r="C3078" s="26" t="s">
        <v>255</v>
      </c>
      <c r="D3078" s="26">
        <v>1875000.0</v>
      </c>
      <c r="F3078" s="26" t="s">
        <v>2542</v>
      </c>
    </row>
    <row r="3079">
      <c r="A3079" s="27">
        <v>45392.0</v>
      </c>
      <c r="B3079" s="26" t="s">
        <v>5231</v>
      </c>
      <c r="C3079" s="26" t="s">
        <v>255</v>
      </c>
      <c r="D3079" s="26">
        <v>8840000.0</v>
      </c>
      <c r="F3079" s="26" t="s">
        <v>2542</v>
      </c>
    </row>
    <row r="3080">
      <c r="A3080" s="27">
        <v>45392.0</v>
      </c>
      <c r="B3080" s="26" t="s">
        <v>5232</v>
      </c>
      <c r="C3080" s="26" t="s">
        <v>2583</v>
      </c>
      <c r="D3080" s="26">
        <v>4026500.0</v>
      </c>
      <c r="F3080" s="26" t="s">
        <v>2542</v>
      </c>
      <c r="G3080" s="26">
        <v>641.14</v>
      </c>
    </row>
    <row r="3081">
      <c r="A3081" s="27">
        <v>45392.0</v>
      </c>
      <c r="B3081" s="26" t="s">
        <v>5233</v>
      </c>
      <c r="C3081" s="26" t="s">
        <v>2545</v>
      </c>
      <c r="D3081" s="26">
        <v>7000000.0</v>
      </c>
      <c r="F3081" s="26" t="s">
        <v>2542</v>
      </c>
      <c r="G3081" s="26">
        <v>3341.0</v>
      </c>
    </row>
    <row r="3082">
      <c r="A3082" s="27">
        <v>45391.0</v>
      </c>
      <c r="B3082" s="26" t="s">
        <v>5234</v>
      </c>
      <c r="C3082" s="26" t="s">
        <v>255</v>
      </c>
      <c r="D3082" s="26">
        <v>1080000.0</v>
      </c>
      <c r="F3082" s="26" t="s">
        <v>2542</v>
      </c>
    </row>
    <row r="3083">
      <c r="A3083" s="27">
        <v>45390.0</v>
      </c>
      <c r="B3083" s="26" t="s">
        <v>5235</v>
      </c>
      <c r="C3083" s="26" t="s">
        <v>255</v>
      </c>
      <c r="D3083" s="26">
        <v>2000000.0</v>
      </c>
      <c r="F3083" s="26" t="s">
        <v>2542</v>
      </c>
    </row>
    <row r="3084">
      <c r="A3084" s="27">
        <v>45390.0</v>
      </c>
      <c r="B3084" s="26" t="s">
        <v>5236</v>
      </c>
      <c r="C3084" s="26" t="s">
        <v>255</v>
      </c>
      <c r="D3084" s="26">
        <v>5752500.0</v>
      </c>
      <c r="F3084" s="26" t="s">
        <v>2542</v>
      </c>
    </row>
    <row r="3085">
      <c r="A3085" s="27">
        <v>45390.0</v>
      </c>
      <c r="B3085" s="26" t="s">
        <v>5237</v>
      </c>
      <c r="C3085" s="26" t="s">
        <v>255</v>
      </c>
      <c r="D3085" s="26">
        <v>1450000.0</v>
      </c>
      <c r="F3085" s="26" t="s">
        <v>2542</v>
      </c>
    </row>
    <row r="3086">
      <c r="A3086" s="27">
        <v>45390.0</v>
      </c>
      <c r="B3086" s="26" t="s">
        <v>5238</v>
      </c>
      <c r="C3086" s="26" t="s">
        <v>2583</v>
      </c>
      <c r="D3086" s="26">
        <v>7435000.0</v>
      </c>
      <c r="F3086" s="26" t="s">
        <v>2542</v>
      </c>
      <c r="G3086" s="26">
        <v>641.37</v>
      </c>
    </row>
    <row r="3087">
      <c r="A3087" s="27">
        <v>45390.0</v>
      </c>
      <c r="B3087" s="26" t="s">
        <v>5239</v>
      </c>
      <c r="C3087" s="26" t="s">
        <v>2545</v>
      </c>
      <c r="D3087" s="26">
        <v>8000000.0</v>
      </c>
      <c r="F3087" s="26" t="s">
        <v>2542</v>
      </c>
      <c r="G3087" s="26">
        <v>3341.0</v>
      </c>
    </row>
    <row r="3088">
      <c r="A3088" s="27">
        <v>45390.0</v>
      </c>
      <c r="B3088" s="26" t="s">
        <v>5240</v>
      </c>
      <c r="C3088" s="26" t="s">
        <v>2545</v>
      </c>
      <c r="D3088" s="26">
        <v>7000000.0</v>
      </c>
      <c r="F3088" s="26" t="s">
        <v>2542</v>
      </c>
      <c r="G3088" s="26">
        <v>3341.0</v>
      </c>
    </row>
    <row r="3089">
      <c r="A3089" s="27">
        <v>45388.0</v>
      </c>
      <c r="B3089" s="26" t="s">
        <v>5241</v>
      </c>
      <c r="C3089" s="26" t="s">
        <v>255</v>
      </c>
      <c r="D3089" s="26">
        <v>1200000.0</v>
      </c>
      <c r="F3089" s="26" t="s">
        <v>2542</v>
      </c>
    </row>
    <row r="3090">
      <c r="A3090" s="27">
        <v>45388.0</v>
      </c>
      <c r="B3090" s="26" t="s">
        <v>5242</v>
      </c>
      <c r="C3090" s="26" t="s">
        <v>255</v>
      </c>
      <c r="D3090" s="26">
        <v>1.22848E7</v>
      </c>
      <c r="F3090" s="26" t="s">
        <v>2542</v>
      </c>
    </row>
    <row r="3091">
      <c r="A3091" s="27">
        <v>45388.0</v>
      </c>
      <c r="B3091" s="26" t="s">
        <v>5243</v>
      </c>
      <c r="C3091" s="26" t="s">
        <v>2561</v>
      </c>
      <c r="D3091" s="26">
        <v>1.490076E7</v>
      </c>
      <c r="F3091" s="26" t="s">
        <v>2542</v>
      </c>
      <c r="G3091" s="26">
        <v>331.0</v>
      </c>
    </row>
    <row r="3092">
      <c r="A3092" s="27">
        <v>45387.0</v>
      </c>
      <c r="B3092" s="26" t="s">
        <v>5181</v>
      </c>
      <c r="C3092" s="26" t="s">
        <v>255</v>
      </c>
      <c r="D3092" s="26">
        <v>1.0E7</v>
      </c>
      <c r="F3092" s="26" t="s">
        <v>2542</v>
      </c>
    </row>
    <row r="3093">
      <c r="A3093" s="27">
        <v>45387.0</v>
      </c>
      <c r="B3093" s="26" t="s">
        <v>5244</v>
      </c>
      <c r="C3093" s="26" t="s">
        <v>255</v>
      </c>
      <c r="D3093" s="26">
        <v>2900000.0</v>
      </c>
      <c r="F3093" s="26" t="s">
        <v>2542</v>
      </c>
    </row>
    <row r="3094">
      <c r="A3094" s="27">
        <v>45387.0</v>
      </c>
      <c r="B3094" s="26" t="s">
        <v>5245</v>
      </c>
      <c r="C3094" s="26" t="s">
        <v>255</v>
      </c>
      <c r="D3094" s="26">
        <v>1170000.0</v>
      </c>
      <c r="F3094" s="26" t="s">
        <v>2542</v>
      </c>
    </row>
    <row r="3095">
      <c r="A3095" s="27">
        <v>45387.0</v>
      </c>
      <c r="B3095" s="26" t="s">
        <v>2817</v>
      </c>
      <c r="C3095" s="26" t="s">
        <v>255</v>
      </c>
      <c r="D3095" s="26">
        <v>1080000.0</v>
      </c>
      <c r="F3095" s="26" t="s">
        <v>2542</v>
      </c>
    </row>
    <row r="3096">
      <c r="A3096" s="27">
        <v>45387.0</v>
      </c>
      <c r="B3096" s="26" t="s">
        <v>2769</v>
      </c>
      <c r="C3096" s="26" t="s">
        <v>255</v>
      </c>
      <c r="D3096" s="26">
        <v>1080000.0</v>
      </c>
      <c r="F3096" s="26" t="s">
        <v>2542</v>
      </c>
    </row>
    <row r="3097">
      <c r="A3097" s="27">
        <v>45387.0</v>
      </c>
      <c r="B3097" s="26" t="s">
        <v>5181</v>
      </c>
      <c r="C3097" s="28"/>
      <c r="D3097" s="26">
        <v>1.0E7</v>
      </c>
      <c r="F3097" s="26" t="s">
        <v>2542</v>
      </c>
    </row>
    <row r="3098">
      <c r="A3098" s="27">
        <v>45387.0</v>
      </c>
      <c r="B3098" s="26" t="s">
        <v>5246</v>
      </c>
      <c r="C3098" s="26" t="s">
        <v>2545</v>
      </c>
      <c r="D3098" s="26">
        <v>1.02E7</v>
      </c>
      <c r="F3098" s="26" t="s">
        <v>2542</v>
      </c>
      <c r="G3098" s="26">
        <v>3341.0</v>
      </c>
    </row>
    <row r="3099">
      <c r="A3099" s="27">
        <v>45387.0</v>
      </c>
      <c r="B3099" s="26" t="s">
        <v>5247</v>
      </c>
      <c r="C3099" s="26" t="s">
        <v>2545</v>
      </c>
      <c r="D3099" s="26">
        <v>1.0E7</v>
      </c>
      <c r="F3099" s="26" t="s">
        <v>2542</v>
      </c>
      <c r="G3099" s="26">
        <v>3341.0</v>
      </c>
    </row>
    <row r="3100">
      <c r="A3100" s="27">
        <v>45387.0</v>
      </c>
      <c r="B3100" s="26" t="s">
        <v>5248</v>
      </c>
      <c r="C3100" s="26" t="s">
        <v>2545</v>
      </c>
      <c r="D3100" s="26">
        <v>5000000.0</v>
      </c>
      <c r="F3100" s="26" t="s">
        <v>2542</v>
      </c>
      <c r="G3100" s="26">
        <v>3341.0</v>
      </c>
    </row>
    <row r="3101">
      <c r="A3101" s="27">
        <v>45387.0</v>
      </c>
      <c r="B3101" s="26" t="s">
        <v>5249</v>
      </c>
      <c r="C3101" s="26" t="s">
        <v>2545</v>
      </c>
      <c r="D3101" s="26">
        <v>6504000.0</v>
      </c>
      <c r="F3101" s="26" t="s">
        <v>2542</v>
      </c>
      <c r="G3101" s="26">
        <v>3341.0</v>
      </c>
    </row>
    <row r="3102">
      <c r="A3102" s="27">
        <v>45386.0</v>
      </c>
      <c r="B3102" s="26" t="s">
        <v>5250</v>
      </c>
      <c r="C3102" s="26" t="s">
        <v>255</v>
      </c>
      <c r="D3102" s="26">
        <v>1790000.0</v>
      </c>
      <c r="F3102" s="26" t="s">
        <v>2542</v>
      </c>
    </row>
    <row r="3103">
      <c r="A3103" s="27">
        <v>45386.0</v>
      </c>
      <c r="B3103" s="26" t="s">
        <v>5251</v>
      </c>
      <c r="C3103" s="26" t="s">
        <v>255</v>
      </c>
      <c r="D3103" s="26">
        <v>1.58364E7</v>
      </c>
      <c r="F3103" s="26" t="s">
        <v>2542</v>
      </c>
    </row>
    <row r="3104">
      <c r="A3104" s="27">
        <v>45386.0</v>
      </c>
      <c r="B3104" s="26" t="s">
        <v>5252</v>
      </c>
      <c r="C3104" s="26" t="s">
        <v>255</v>
      </c>
      <c r="D3104" s="26">
        <v>340000.0</v>
      </c>
      <c r="F3104" s="26" t="s">
        <v>2542</v>
      </c>
    </row>
    <row r="3105">
      <c r="A3105" s="27">
        <v>45386.0</v>
      </c>
      <c r="B3105" s="26" t="s">
        <v>5253</v>
      </c>
      <c r="C3105" s="26" t="s">
        <v>2561</v>
      </c>
      <c r="D3105" s="26" t="s">
        <v>5254</v>
      </c>
      <c r="F3105" s="26" t="s">
        <v>2542</v>
      </c>
      <c r="G3105" s="26">
        <v>632.2</v>
      </c>
    </row>
    <row r="3106">
      <c r="A3106" s="27">
        <v>45386.0</v>
      </c>
      <c r="B3106" s="26" t="s">
        <v>5255</v>
      </c>
      <c r="C3106" s="26" t="s">
        <v>2561</v>
      </c>
      <c r="D3106" s="26">
        <v>824.109</v>
      </c>
      <c r="F3106" s="26" t="s">
        <v>2542</v>
      </c>
      <c r="G3106" s="26">
        <v>632.2</v>
      </c>
    </row>
    <row r="3107">
      <c r="A3107" s="27">
        <v>45385.0</v>
      </c>
      <c r="B3107" s="26" t="s">
        <v>5256</v>
      </c>
      <c r="C3107" s="26" t="s">
        <v>255</v>
      </c>
      <c r="D3107" s="26">
        <v>7040000.0</v>
      </c>
      <c r="F3107" s="26" t="s">
        <v>2542</v>
      </c>
    </row>
    <row r="3108">
      <c r="A3108" s="27">
        <v>45385.0</v>
      </c>
      <c r="B3108" s="26" t="s">
        <v>5257</v>
      </c>
      <c r="C3108" s="26" t="s">
        <v>255</v>
      </c>
      <c r="D3108" s="26">
        <v>7126750.0</v>
      </c>
      <c r="F3108" s="26" t="s">
        <v>2542</v>
      </c>
    </row>
    <row r="3109">
      <c r="A3109" s="27">
        <v>45385.0</v>
      </c>
      <c r="B3109" s="26" t="s">
        <v>5258</v>
      </c>
      <c r="C3109" s="26" t="s">
        <v>255</v>
      </c>
      <c r="D3109" s="26">
        <v>1.0455E7</v>
      </c>
      <c r="F3109" s="26" t="s">
        <v>2542</v>
      </c>
    </row>
    <row r="3110">
      <c r="A3110" s="27">
        <v>45385.0</v>
      </c>
      <c r="B3110" s="26" t="s">
        <v>5259</v>
      </c>
      <c r="C3110" s="26" t="s">
        <v>255</v>
      </c>
      <c r="D3110" s="26">
        <v>2380000.0</v>
      </c>
      <c r="F3110" s="26" t="s">
        <v>2542</v>
      </c>
    </row>
    <row r="3111">
      <c r="A3111" s="27">
        <v>45385.0</v>
      </c>
      <c r="B3111" s="26" t="s">
        <v>5260</v>
      </c>
      <c r="C3111" s="26" t="s">
        <v>2571</v>
      </c>
      <c r="D3111" s="26">
        <v>250000.0</v>
      </c>
      <c r="F3111" s="26" t="s">
        <v>2542</v>
      </c>
      <c r="G3111" s="26">
        <v>641.22</v>
      </c>
    </row>
    <row r="3112">
      <c r="A3112" s="27">
        <v>45385.0</v>
      </c>
      <c r="B3112" s="26" t="s">
        <v>5261</v>
      </c>
      <c r="C3112" s="26" t="s">
        <v>2583</v>
      </c>
      <c r="D3112" s="26">
        <v>7200000.0</v>
      </c>
      <c r="F3112" s="26" t="s">
        <v>2542</v>
      </c>
      <c r="G3112" s="26">
        <v>641.23</v>
      </c>
    </row>
    <row r="3113">
      <c r="A3113" s="27">
        <v>45385.0</v>
      </c>
      <c r="B3113" s="26" t="s">
        <v>5262</v>
      </c>
      <c r="C3113" s="26" t="s">
        <v>2571</v>
      </c>
      <c r="D3113" s="26">
        <v>4324320.0</v>
      </c>
      <c r="F3113" s="26" t="s">
        <v>2542</v>
      </c>
      <c r="G3113" s="26">
        <v>641.12</v>
      </c>
    </row>
    <row r="3114">
      <c r="A3114" s="27">
        <v>45385.0</v>
      </c>
      <c r="B3114" s="26" t="s">
        <v>5263</v>
      </c>
      <c r="C3114" s="26" t="s">
        <v>2545</v>
      </c>
      <c r="D3114" s="26">
        <v>1.0E7</v>
      </c>
      <c r="F3114" s="26" t="s">
        <v>2542</v>
      </c>
      <c r="G3114" s="26">
        <v>3341.0</v>
      </c>
    </row>
    <row r="3115">
      <c r="A3115" s="27">
        <v>45385.0</v>
      </c>
      <c r="B3115" s="26" t="s">
        <v>5264</v>
      </c>
      <c r="C3115" s="26" t="s">
        <v>2561</v>
      </c>
      <c r="D3115" s="26" t="s">
        <v>5265</v>
      </c>
      <c r="F3115" s="26" t="s">
        <v>2542</v>
      </c>
      <c r="G3115" s="26">
        <v>632.1</v>
      </c>
    </row>
    <row r="3116">
      <c r="A3116" s="27">
        <v>45385.0</v>
      </c>
      <c r="B3116" s="26" t="s">
        <v>5266</v>
      </c>
      <c r="C3116" s="26" t="s">
        <v>2564</v>
      </c>
      <c r="D3116" s="26" t="s">
        <v>5267</v>
      </c>
      <c r="F3116" s="26" t="s">
        <v>2542</v>
      </c>
      <c r="G3116" s="26">
        <v>331.0</v>
      </c>
    </row>
    <row r="3117">
      <c r="A3117" s="27">
        <v>45385.0</v>
      </c>
      <c r="B3117" s="26" t="s">
        <v>5268</v>
      </c>
      <c r="C3117" s="26" t="s">
        <v>2561</v>
      </c>
      <c r="D3117" s="26">
        <v>1.7388358E7</v>
      </c>
      <c r="F3117" s="26" t="s">
        <v>2542</v>
      </c>
      <c r="G3117" s="26">
        <v>331.0</v>
      </c>
    </row>
    <row r="3118">
      <c r="A3118" s="27">
        <v>45384.0</v>
      </c>
      <c r="B3118" s="26" t="s">
        <v>5181</v>
      </c>
      <c r="C3118" s="26" t="s">
        <v>255</v>
      </c>
      <c r="D3118" s="26">
        <v>5.0E7</v>
      </c>
      <c r="F3118" s="26" t="s">
        <v>2542</v>
      </c>
    </row>
    <row r="3119">
      <c r="A3119" s="27">
        <v>45384.0</v>
      </c>
      <c r="B3119" s="26" t="s">
        <v>5269</v>
      </c>
      <c r="C3119" s="26" t="s">
        <v>255</v>
      </c>
      <c r="D3119" s="26">
        <v>1230000.0</v>
      </c>
      <c r="F3119" s="26" t="s">
        <v>2542</v>
      </c>
    </row>
    <row r="3120">
      <c r="A3120" s="27">
        <v>45384.0</v>
      </c>
      <c r="B3120" s="26" t="s">
        <v>5270</v>
      </c>
      <c r="C3120" s="26" t="s">
        <v>255</v>
      </c>
      <c r="D3120" s="26">
        <v>9862000.0</v>
      </c>
      <c r="F3120" s="26" t="s">
        <v>2542</v>
      </c>
    </row>
    <row r="3121">
      <c r="A3121" s="27">
        <v>45384.0</v>
      </c>
      <c r="B3121" s="26" t="s">
        <v>3089</v>
      </c>
      <c r="C3121" s="26" t="s">
        <v>255</v>
      </c>
      <c r="D3121" s="26">
        <v>2268000.0</v>
      </c>
      <c r="F3121" s="26" t="s">
        <v>2542</v>
      </c>
    </row>
    <row r="3122">
      <c r="A3122" s="27">
        <v>45384.0</v>
      </c>
      <c r="B3122" s="26" t="s">
        <v>5181</v>
      </c>
      <c r="C3122" s="28"/>
      <c r="D3122" s="26">
        <v>5.0E7</v>
      </c>
      <c r="F3122" s="26" t="s">
        <v>2542</v>
      </c>
    </row>
    <row r="3123">
      <c r="A3123" s="27">
        <v>45384.0</v>
      </c>
      <c r="B3123" s="26" t="s">
        <v>5271</v>
      </c>
      <c r="C3123" s="26" t="s">
        <v>2545</v>
      </c>
      <c r="D3123" s="26">
        <v>5000000.0</v>
      </c>
      <c r="F3123" s="26" t="s">
        <v>2542</v>
      </c>
      <c r="G3123" s="26">
        <v>3341.0</v>
      </c>
    </row>
    <row r="3124">
      <c r="A3124" s="27">
        <v>45383.0</v>
      </c>
      <c r="B3124" s="26" t="s">
        <v>5272</v>
      </c>
      <c r="C3124" s="26" t="s">
        <v>255</v>
      </c>
      <c r="D3124" s="26">
        <v>1836000.0</v>
      </c>
      <c r="F3124" s="26" t="s">
        <v>2542</v>
      </c>
    </row>
    <row r="3125">
      <c r="A3125" s="27">
        <v>45383.0</v>
      </c>
      <c r="B3125" s="26" t="s">
        <v>4443</v>
      </c>
      <c r="C3125" s="26" t="s">
        <v>255</v>
      </c>
      <c r="D3125" s="26">
        <v>4680000.0</v>
      </c>
      <c r="F3125" s="26" t="s">
        <v>2542</v>
      </c>
    </row>
    <row r="3126">
      <c r="A3126" s="27">
        <v>45383.0</v>
      </c>
      <c r="B3126" s="26" t="s">
        <v>5134</v>
      </c>
      <c r="C3126" s="26" t="s">
        <v>255</v>
      </c>
      <c r="D3126" s="26">
        <v>1020000.0</v>
      </c>
      <c r="F3126" s="26" t="s">
        <v>2542</v>
      </c>
    </row>
    <row r="3127">
      <c r="A3127" s="27">
        <v>45383.0</v>
      </c>
      <c r="B3127" s="26" t="s">
        <v>5151</v>
      </c>
      <c r="C3127" s="26" t="s">
        <v>255</v>
      </c>
      <c r="D3127" s="26">
        <v>2.592E7</v>
      </c>
      <c r="F3127" s="26" t="s">
        <v>2542</v>
      </c>
    </row>
    <row r="3128">
      <c r="A3128" s="27">
        <v>45383.0</v>
      </c>
      <c r="B3128" s="26" t="s">
        <v>4615</v>
      </c>
      <c r="C3128" s="26" t="s">
        <v>255</v>
      </c>
      <c r="D3128" s="26">
        <v>1122000.0</v>
      </c>
      <c r="F3128" s="26" t="s">
        <v>2542</v>
      </c>
    </row>
    <row r="3129">
      <c r="A3129" s="27">
        <v>45383.0</v>
      </c>
      <c r="B3129" s="26" t="s">
        <v>5141</v>
      </c>
      <c r="C3129" s="26" t="s">
        <v>255</v>
      </c>
      <c r="D3129" s="26">
        <v>2400000.0</v>
      </c>
      <c r="F3129" s="26" t="s">
        <v>2542</v>
      </c>
    </row>
    <row r="3130">
      <c r="A3130" s="27">
        <v>45383.0</v>
      </c>
      <c r="B3130" s="26" t="s">
        <v>5273</v>
      </c>
      <c r="C3130" s="26" t="s">
        <v>255</v>
      </c>
      <c r="D3130" s="26">
        <v>7500000.0</v>
      </c>
      <c r="F3130" s="26" t="s">
        <v>2542</v>
      </c>
    </row>
    <row r="3131">
      <c r="A3131" s="27">
        <v>45383.0</v>
      </c>
      <c r="B3131" s="26" t="s">
        <v>5274</v>
      </c>
      <c r="C3131" s="26" t="s">
        <v>255</v>
      </c>
      <c r="D3131" s="26">
        <v>1.2300107E7</v>
      </c>
      <c r="F3131" s="26" t="s">
        <v>2542</v>
      </c>
    </row>
    <row r="3132">
      <c r="A3132" s="27">
        <v>45383.0</v>
      </c>
      <c r="B3132" s="26" t="s">
        <v>5047</v>
      </c>
      <c r="C3132" s="26" t="s">
        <v>2563</v>
      </c>
      <c r="D3132" s="26">
        <v>100000.0</v>
      </c>
      <c r="F3132" s="26" t="s">
        <v>2542</v>
      </c>
      <c r="G3132" s="26">
        <v>6428.0</v>
      </c>
    </row>
    <row r="3133">
      <c r="A3133" s="27">
        <v>45382.0</v>
      </c>
      <c r="B3133" s="26" t="s">
        <v>2543</v>
      </c>
      <c r="C3133" s="26" t="s">
        <v>255</v>
      </c>
      <c r="D3133" s="26">
        <v>228.0</v>
      </c>
      <c r="F3133" s="26" t="s">
        <v>2542</v>
      </c>
    </row>
    <row r="3134">
      <c r="A3134" s="27">
        <v>45380.0</v>
      </c>
      <c r="B3134" s="26" t="s">
        <v>5275</v>
      </c>
      <c r="C3134" s="26" t="s">
        <v>2561</v>
      </c>
      <c r="D3134" s="26">
        <v>1.0E7</v>
      </c>
      <c r="F3134" s="26" t="s">
        <v>2542</v>
      </c>
      <c r="G3134" s="26">
        <v>331.0</v>
      </c>
    </row>
    <row r="3135">
      <c r="A3135" s="27">
        <v>45379.0</v>
      </c>
      <c r="B3135" s="26" t="s">
        <v>2980</v>
      </c>
      <c r="C3135" s="26" t="s">
        <v>255</v>
      </c>
      <c r="D3135" s="26">
        <v>1080000.0</v>
      </c>
      <c r="F3135" s="26" t="s">
        <v>2542</v>
      </c>
    </row>
    <row r="3136">
      <c r="A3136" s="27">
        <v>45379.0</v>
      </c>
      <c r="B3136" s="26" t="s">
        <v>5125</v>
      </c>
      <c r="C3136" s="26" t="s">
        <v>255</v>
      </c>
      <c r="D3136" s="26">
        <v>1450000.0</v>
      </c>
      <c r="F3136" s="26" t="s">
        <v>2542</v>
      </c>
    </row>
    <row r="3137">
      <c r="A3137" s="27">
        <v>45378.0</v>
      </c>
      <c r="B3137" s="26" t="s">
        <v>5276</v>
      </c>
      <c r="C3137" s="26" t="s">
        <v>255</v>
      </c>
      <c r="D3137" s="26">
        <v>1332800.0</v>
      </c>
      <c r="F3137" s="26" t="s">
        <v>2542</v>
      </c>
    </row>
    <row r="3138">
      <c r="A3138" s="27">
        <v>45378.0</v>
      </c>
      <c r="B3138" s="26" t="s">
        <v>5277</v>
      </c>
      <c r="C3138" s="26" t="s">
        <v>255</v>
      </c>
      <c r="D3138" s="26">
        <v>1875000.0</v>
      </c>
      <c r="F3138" s="26" t="s">
        <v>2542</v>
      </c>
    </row>
    <row r="3139">
      <c r="A3139" s="27">
        <v>45378.0</v>
      </c>
      <c r="B3139" s="26" t="s">
        <v>3109</v>
      </c>
      <c r="C3139" s="28"/>
      <c r="D3139" s="26">
        <v>3.0E7</v>
      </c>
      <c r="F3139" s="26" t="s">
        <v>2542</v>
      </c>
    </row>
    <row r="3140">
      <c r="A3140" s="27">
        <v>45378.0</v>
      </c>
      <c r="B3140" s="26" t="s">
        <v>5278</v>
      </c>
      <c r="C3140" s="26" t="s">
        <v>2581</v>
      </c>
      <c r="D3140" s="26">
        <v>800000.0</v>
      </c>
      <c r="F3140" s="26" t="s">
        <v>2542</v>
      </c>
      <c r="G3140" s="26">
        <v>6422.0</v>
      </c>
    </row>
    <row r="3141">
      <c r="A3141" s="27">
        <v>45378.0</v>
      </c>
      <c r="B3141" s="26" t="s">
        <v>5279</v>
      </c>
      <c r="C3141" s="26" t="s">
        <v>2561</v>
      </c>
      <c r="D3141" s="26">
        <v>5208000.0</v>
      </c>
      <c r="F3141" s="26" t="s">
        <v>2542</v>
      </c>
      <c r="G3141" s="26">
        <v>331.0</v>
      </c>
    </row>
    <row r="3142">
      <c r="A3142" s="27">
        <v>45378.0</v>
      </c>
      <c r="B3142" s="26" t="s">
        <v>5280</v>
      </c>
      <c r="C3142" s="26" t="s">
        <v>2571</v>
      </c>
      <c r="D3142" s="26">
        <v>5844960.0</v>
      </c>
      <c r="F3142" s="26" t="s">
        <v>2542</v>
      </c>
      <c r="G3142" s="26">
        <v>641.12</v>
      </c>
    </row>
    <row r="3143">
      <c r="A3143" s="27">
        <v>45378.0</v>
      </c>
      <c r="B3143" s="26" t="s">
        <v>5281</v>
      </c>
      <c r="C3143" s="26" t="s">
        <v>2561</v>
      </c>
      <c r="D3143" s="26">
        <v>2.0E7</v>
      </c>
      <c r="F3143" s="26" t="s">
        <v>2542</v>
      </c>
      <c r="G3143" s="26">
        <v>331.0</v>
      </c>
    </row>
    <row r="3144">
      <c r="A3144" s="27">
        <v>45376.0</v>
      </c>
      <c r="B3144" s="26" t="s">
        <v>5282</v>
      </c>
      <c r="C3144" s="26" t="s">
        <v>255</v>
      </c>
      <c r="D3144" s="26">
        <v>2.71445E7</v>
      </c>
      <c r="F3144" s="26" t="s">
        <v>2542</v>
      </c>
    </row>
    <row r="3145">
      <c r="A3145" s="27">
        <v>45376.0</v>
      </c>
      <c r="B3145" s="26" t="s">
        <v>5283</v>
      </c>
      <c r="C3145" s="26" t="s">
        <v>255</v>
      </c>
      <c r="D3145" s="26">
        <v>1.71E7</v>
      </c>
      <c r="F3145" s="26" t="s">
        <v>2542</v>
      </c>
    </row>
    <row r="3146">
      <c r="A3146" s="27">
        <v>45376.0</v>
      </c>
      <c r="B3146" s="26" t="s">
        <v>5222</v>
      </c>
      <c r="C3146" s="26" t="s">
        <v>255</v>
      </c>
      <c r="D3146" s="26">
        <v>1200000.0</v>
      </c>
      <c r="F3146" s="26" t="s">
        <v>2542</v>
      </c>
    </row>
    <row r="3147">
      <c r="A3147" s="27">
        <v>45376.0</v>
      </c>
      <c r="B3147" s="26" t="s">
        <v>5284</v>
      </c>
      <c r="C3147" s="26" t="s">
        <v>255</v>
      </c>
      <c r="D3147" s="26">
        <v>230000.0</v>
      </c>
      <c r="F3147" s="26" t="s">
        <v>2542</v>
      </c>
    </row>
    <row r="3148">
      <c r="A3148" s="27">
        <v>45376.0</v>
      </c>
      <c r="B3148" s="26" t="s">
        <v>3109</v>
      </c>
      <c r="C3148" s="28"/>
      <c r="D3148" s="26">
        <v>2.0E7</v>
      </c>
      <c r="F3148" s="26" t="s">
        <v>2542</v>
      </c>
    </row>
    <row r="3149">
      <c r="A3149" s="27">
        <v>45376.0</v>
      </c>
      <c r="B3149" s="26" t="s">
        <v>5285</v>
      </c>
      <c r="C3149" s="26" t="s">
        <v>2545</v>
      </c>
      <c r="D3149" s="26">
        <v>1.2E7</v>
      </c>
      <c r="F3149" s="26" t="s">
        <v>2542</v>
      </c>
      <c r="G3149" s="26">
        <v>3341.0</v>
      </c>
    </row>
    <row r="3150">
      <c r="A3150" s="27">
        <v>45376.0</v>
      </c>
      <c r="B3150" s="26" t="s">
        <v>3444</v>
      </c>
      <c r="C3150" s="26" t="s">
        <v>2564</v>
      </c>
      <c r="D3150" s="26" t="s">
        <v>5286</v>
      </c>
      <c r="F3150" s="26" t="s">
        <v>2542</v>
      </c>
      <c r="G3150" s="26">
        <v>3332.0</v>
      </c>
    </row>
    <row r="3151">
      <c r="A3151" s="27">
        <v>45375.0</v>
      </c>
      <c r="B3151" s="26" t="s">
        <v>2586</v>
      </c>
      <c r="C3151" s="26" t="s">
        <v>255</v>
      </c>
      <c r="D3151" s="26">
        <v>2160.0</v>
      </c>
      <c r="F3151" s="26" t="s">
        <v>2542</v>
      </c>
    </row>
    <row r="3152">
      <c r="A3152" s="27">
        <v>45375.0</v>
      </c>
      <c r="B3152" s="26" t="s">
        <v>5287</v>
      </c>
      <c r="C3152" s="26" t="s">
        <v>255</v>
      </c>
      <c r="D3152" s="26">
        <v>1080000.0</v>
      </c>
      <c r="F3152" s="26" t="s">
        <v>2542</v>
      </c>
    </row>
    <row r="3153">
      <c r="A3153" s="27">
        <v>45374.0</v>
      </c>
      <c r="B3153" s="26" t="s">
        <v>5210</v>
      </c>
      <c r="C3153" s="26" t="s">
        <v>255</v>
      </c>
      <c r="D3153" s="26">
        <v>4000000.0</v>
      </c>
      <c r="F3153" s="26" t="s">
        <v>2542</v>
      </c>
    </row>
    <row r="3154">
      <c r="A3154" s="27">
        <v>45374.0</v>
      </c>
      <c r="B3154" s="26" t="s">
        <v>5215</v>
      </c>
      <c r="C3154" s="26" t="s">
        <v>255</v>
      </c>
      <c r="D3154" s="26">
        <v>5000000.0</v>
      </c>
      <c r="F3154" s="26" t="s">
        <v>2542</v>
      </c>
    </row>
    <row r="3155">
      <c r="A3155" s="27">
        <v>45374.0</v>
      </c>
      <c r="B3155" s="26" t="s">
        <v>3632</v>
      </c>
      <c r="C3155" s="26" t="s">
        <v>2545</v>
      </c>
      <c r="D3155" s="26">
        <v>2000000.0</v>
      </c>
      <c r="F3155" s="26" t="s">
        <v>2542</v>
      </c>
      <c r="G3155" s="26">
        <v>3341.0</v>
      </c>
    </row>
    <row r="3156">
      <c r="A3156" s="27">
        <v>45373.0</v>
      </c>
      <c r="B3156" s="26" t="s">
        <v>5288</v>
      </c>
      <c r="C3156" s="26" t="s">
        <v>255</v>
      </c>
      <c r="D3156" s="26">
        <v>1790000.0</v>
      </c>
      <c r="F3156" s="26" t="s">
        <v>2542</v>
      </c>
    </row>
    <row r="3157">
      <c r="A3157" s="27">
        <v>45373.0</v>
      </c>
      <c r="B3157" s="26" t="s">
        <v>5289</v>
      </c>
      <c r="C3157" s="26" t="s">
        <v>255</v>
      </c>
      <c r="D3157" s="26">
        <v>1200000.0</v>
      </c>
      <c r="F3157" s="26" t="s">
        <v>2542</v>
      </c>
    </row>
    <row r="3158">
      <c r="A3158" s="27">
        <v>45373.0</v>
      </c>
      <c r="B3158" s="26" t="s">
        <v>5290</v>
      </c>
      <c r="C3158" s="26" t="s">
        <v>255</v>
      </c>
      <c r="D3158" s="26">
        <v>360000.0</v>
      </c>
      <c r="F3158" s="26" t="s">
        <v>2542</v>
      </c>
    </row>
    <row r="3159">
      <c r="A3159" s="27">
        <v>45373.0</v>
      </c>
      <c r="B3159" s="26" t="s">
        <v>5291</v>
      </c>
      <c r="C3159" s="26" t="s">
        <v>255</v>
      </c>
      <c r="D3159" s="26">
        <v>900000.0</v>
      </c>
      <c r="F3159" s="26" t="s">
        <v>2542</v>
      </c>
    </row>
    <row r="3160">
      <c r="A3160" s="27">
        <v>45373.0</v>
      </c>
      <c r="B3160" s="26" t="s">
        <v>5292</v>
      </c>
      <c r="C3160" s="26" t="s">
        <v>255</v>
      </c>
      <c r="D3160" s="26">
        <v>1080000.0</v>
      </c>
      <c r="F3160" s="26" t="s">
        <v>2542</v>
      </c>
    </row>
    <row r="3161">
      <c r="A3161" s="27">
        <v>45373.0</v>
      </c>
      <c r="B3161" s="26" t="s">
        <v>4107</v>
      </c>
      <c r="C3161" s="26" t="s">
        <v>255</v>
      </c>
      <c r="D3161" s="26">
        <v>3864000.0</v>
      </c>
      <c r="F3161" s="26" t="s">
        <v>2542</v>
      </c>
    </row>
    <row r="3162">
      <c r="A3162" s="27">
        <v>45373.0</v>
      </c>
      <c r="B3162" s="26" t="s">
        <v>4691</v>
      </c>
      <c r="C3162" s="26" t="s">
        <v>255</v>
      </c>
      <c r="D3162" s="26">
        <v>1232500.0</v>
      </c>
      <c r="F3162" s="26" t="s">
        <v>2542</v>
      </c>
    </row>
    <row r="3163">
      <c r="A3163" s="27">
        <v>45373.0</v>
      </c>
      <c r="B3163" s="26" t="s">
        <v>5293</v>
      </c>
      <c r="C3163" s="26" t="s">
        <v>2571</v>
      </c>
      <c r="D3163" s="26">
        <v>1432000.0</v>
      </c>
      <c r="F3163" s="26" t="s">
        <v>2542</v>
      </c>
      <c r="G3163" s="26">
        <v>641.22</v>
      </c>
    </row>
    <row r="3164">
      <c r="A3164" s="27">
        <v>45372.0</v>
      </c>
      <c r="B3164" s="26" t="s">
        <v>5294</v>
      </c>
      <c r="C3164" s="26" t="s">
        <v>255</v>
      </c>
      <c r="D3164" s="26">
        <v>1080000.0</v>
      </c>
      <c r="F3164" s="26" t="s">
        <v>2542</v>
      </c>
    </row>
    <row r="3165">
      <c r="A3165" s="27">
        <v>45372.0</v>
      </c>
      <c r="B3165" s="26" t="s">
        <v>5295</v>
      </c>
      <c r="C3165" s="26" t="s">
        <v>255</v>
      </c>
      <c r="D3165" s="26">
        <v>5455000.0</v>
      </c>
      <c r="F3165" s="26" t="s">
        <v>2542</v>
      </c>
    </row>
    <row r="3166">
      <c r="A3166" s="27">
        <v>45372.0</v>
      </c>
      <c r="B3166" s="26" t="s">
        <v>5296</v>
      </c>
      <c r="C3166" s="26" t="s">
        <v>255</v>
      </c>
      <c r="D3166" s="26">
        <v>2160000.0</v>
      </c>
      <c r="F3166" s="26" t="s">
        <v>2542</v>
      </c>
    </row>
    <row r="3167">
      <c r="A3167" s="27">
        <v>45372.0</v>
      </c>
      <c r="B3167" s="26" t="s">
        <v>5297</v>
      </c>
      <c r="C3167" s="26" t="s">
        <v>255</v>
      </c>
      <c r="D3167" s="26">
        <v>2160000.0</v>
      </c>
      <c r="F3167" s="26" t="s">
        <v>2542</v>
      </c>
    </row>
    <row r="3168">
      <c r="A3168" s="27">
        <v>45372.0</v>
      </c>
      <c r="B3168" s="26" t="s">
        <v>5298</v>
      </c>
      <c r="C3168" s="26" t="s">
        <v>255</v>
      </c>
      <c r="D3168" s="26">
        <v>1540000.0</v>
      </c>
      <c r="F3168" s="26" t="s">
        <v>2542</v>
      </c>
    </row>
    <row r="3169">
      <c r="A3169" s="27">
        <v>45372.0</v>
      </c>
      <c r="B3169" s="26" t="s">
        <v>5299</v>
      </c>
      <c r="C3169" s="26" t="s">
        <v>255</v>
      </c>
      <c r="D3169" s="26">
        <v>4046000.0</v>
      </c>
      <c r="F3169" s="26" t="s">
        <v>2542</v>
      </c>
    </row>
    <row r="3170">
      <c r="A3170" s="27">
        <v>45372.0</v>
      </c>
      <c r="B3170" s="26" t="s">
        <v>5300</v>
      </c>
      <c r="C3170" s="26" t="s">
        <v>255</v>
      </c>
      <c r="D3170" s="26">
        <v>5752500.0</v>
      </c>
      <c r="F3170" s="26" t="s">
        <v>2542</v>
      </c>
    </row>
    <row r="3171">
      <c r="A3171" s="27">
        <v>45372.0</v>
      </c>
      <c r="B3171" s="26" t="s">
        <v>5301</v>
      </c>
      <c r="C3171" s="26" t="s">
        <v>255</v>
      </c>
      <c r="D3171" s="26">
        <v>2040000.0</v>
      </c>
      <c r="F3171" s="26" t="s">
        <v>2542</v>
      </c>
    </row>
    <row r="3172">
      <c r="A3172" s="27">
        <v>45372.0</v>
      </c>
      <c r="B3172" s="26" t="s">
        <v>5302</v>
      </c>
      <c r="C3172" s="26" t="s">
        <v>2583</v>
      </c>
      <c r="D3172" s="26">
        <v>600000.0</v>
      </c>
      <c r="F3172" s="26" t="s">
        <v>2542</v>
      </c>
      <c r="G3172" s="26">
        <v>641.14</v>
      </c>
    </row>
    <row r="3173">
      <c r="A3173" s="27">
        <v>45372.0</v>
      </c>
      <c r="B3173" s="26" t="s">
        <v>5303</v>
      </c>
      <c r="C3173" s="26" t="s">
        <v>2583</v>
      </c>
      <c r="D3173" s="26">
        <v>5100000.0</v>
      </c>
      <c r="F3173" s="26" t="s">
        <v>2542</v>
      </c>
      <c r="G3173" s="26">
        <v>641.27</v>
      </c>
    </row>
    <row r="3174">
      <c r="A3174" s="27">
        <v>45372.0</v>
      </c>
      <c r="B3174" s="26" t="s">
        <v>5304</v>
      </c>
      <c r="C3174" s="26" t="s">
        <v>2545</v>
      </c>
      <c r="D3174" s="26">
        <v>1.2E7</v>
      </c>
      <c r="F3174" s="26" t="s">
        <v>2542</v>
      </c>
      <c r="G3174" s="26">
        <v>3341.0</v>
      </c>
    </row>
    <row r="3175">
      <c r="A3175" s="27">
        <v>45372.0</v>
      </c>
      <c r="B3175" s="26" t="s">
        <v>5305</v>
      </c>
      <c r="C3175" s="26" t="s">
        <v>2583</v>
      </c>
      <c r="D3175" s="26">
        <v>1150000.0</v>
      </c>
      <c r="F3175" s="26" t="s">
        <v>2542</v>
      </c>
      <c r="G3175" s="26">
        <v>641.24</v>
      </c>
    </row>
    <row r="3176">
      <c r="A3176" s="27">
        <v>45371.0</v>
      </c>
      <c r="B3176" s="26" t="s">
        <v>5306</v>
      </c>
      <c r="C3176" s="26" t="s">
        <v>255</v>
      </c>
      <c r="D3176" s="26">
        <v>1450000.0</v>
      </c>
      <c r="F3176" s="26" t="s">
        <v>2542</v>
      </c>
    </row>
    <row r="3177">
      <c r="A3177" s="27">
        <v>45371.0</v>
      </c>
      <c r="B3177" s="26" t="s">
        <v>5307</v>
      </c>
      <c r="C3177" s="26" t="s">
        <v>2561</v>
      </c>
      <c r="D3177" s="26">
        <v>6600000.0</v>
      </c>
      <c r="F3177" s="26" t="s">
        <v>2542</v>
      </c>
      <c r="G3177" s="26">
        <v>331.0</v>
      </c>
    </row>
    <row r="3178">
      <c r="A3178" s="27">
        <v>45370.0</v>
      </c>
      <c r="B3178" s="26" t="s">
        <v>5181</v>
      </c>
      <c r="C3178" s="26" t="s">
        <v>255</v>
      </c>
      <c r="D3178" s="26">
        <v>4000000.0</v>
      </c>
      <c r="F3178" s="26" t="s">
        <v>2542</v>
      </c>
    </row>
    <row r="3179">
      <c r="A3179" s="27">
        <v>45370.0</v>
      </c>
      <c r="B3179" s="26" t="s">
        <v>5308</v>
      </c>
      <c r="C3179" s="26" t="s">
        <v>255</v>
      </c>
      <c r="D3179" s="26">
        <v>3956750.0</v>
      </c>
      <c r="F3179" s="26" t="s">
        <v>2542</v>
      </c>
    </row>
    <row r="3180">
      <c r="A3180" s="27">
        <v>45370.0</v>
      </c>
      <c r="B3180" s="26" t="s">
        <v>5309</v>
      </c>
      <c r="C3180" s="26" t="s">
        <v>255</v>
      </c>
      <c r="D3180" s="26">
        <v>3750000.0</v>
      </c>
      <c r="F3180" s="26" t="s">
        <v>2542</v>
      </c>
    </row>
    <row r="3181">
      <c r="A3181" s="27">
        <v>45370.0</v>
      </c>
      <c r="B3181" s="26" t="s">
        <v>5310</v>
      </c>
      <c r="C3181" s="26" t="s">
        <v>255</v>
      </c>
      <c r="D3181" s="26">
        <v>2.393248E7</v>
      </c>
      <c r="F3181" s="26" t="s">
        <v>2542</v>
      </c>
    </row>
    <row r="3182">
      <c r="A3182" s="27">
        <v>45370.0</v>
      </c>
      <c r="B3182" s="26" t="s">
        <v>5311</v>
      </c>
      <c r="C3182" s="26" t="s">
        <v>255</v>
      </c>
      <c r="D3182" s="26">
        <v>9130000.0</v>
      </c>
      <c r="F3182" s="26" t="s">
        <v>2542</v>
      </c>
    </row>
    <row r="3183">
      <c r="A3183" s="27">
        <v>45370.0</v>
      </c>
      <c r="B3183" s="26" t="s">
        <v>3109</v>
      </c>
      <c r="C3183" s="28"/>
      <c r="D3183" s="26">
        <v>3.0E7</v>
      </c>
      <c r="F3183" s="26" t="s">
        <v>2542</v>
      </c>
    </row>
    <row r="3184">
      <c r="A3184" s="27">
        <v>45370.0</v>
      </c>
      <c r="B3184" s="26" t="s">
        <v>5181</v>
      </c>
      <c r="C3184" s="28"/>
      <c r="D3184" s="26">
        <v>4000000.0</v>
      </c>
      <c r="F3184" s="26" t="s">
        <v>2542</v>
      </c>
    </row>
    <row r="3185">
      <c r="A3185" s="27">
        <v>45370.0</v>
      </c>
      <c r="B3185" s="26" t="s">
        <v>5312</v>
      </c>
      <c r="C3185" s="26" t="s">
        <v>2561</v>
      </c>
      <c r="D3185" s="26">
        <v>2.67624E7</v>
      </c>
      <c r="F3185" s="26" t="s">
        <v>2542</v>
      </c>
      <c r="G3185" s="26">
        <v>331.0</v>
      </c>
    </row>
    <row r="3186">
      <c r="A3186" s="27">
        <v>45370.0</v>
      </c>
      <c r="B3186" s="26" t="s">
        <v>5313</v>
      </c>
      <c r="C3186" s="26" t="s">
        <v>2561</v>
      </c>
      <c r="D3186" s="26">
        <v>1.65E7</v>
      </c>
      <c r="F3186" s="26" t="s">
        <v>2542</v>
      </c>
      <c r="G3186" s="26">
        <v>331.0</v>
      </c>
    </row>
    <row r="3187">
      <c r="A3187" s="27">
        <v>45369.0</v>
      </c>
      <c r="B3187" s="26" t="s">
        <v>5314</v>
      </c>
      <c r="C3187" s="26" t="s">
        <v>255</v>
      </c>
      <c r="D3187" s="26">
        <v>1480000.0</v>
      </c>
      <c r="F3187" s="26" t="s">
        <v>2542</v>
      </c>
    </row>
    <row r="3188">
      <c r="A3188" s="27">
        <v>45369.0</v>
      </c>
      <c r="B3188" s="26" t="s">
        <v>5315</v>
      </c>
      <c r="C3188" s="26" t="s">
        <v>255</v>
      </c>
      <c r="D3188" s="26">
        <v>1790000.0</v>
      </c>
      <c r="F3188" s="26" t="s">
        <v>2542</v>
      </c>
    </row>
    <row r="3189">
      <c r="A3189" s="27">
        <v>45369.0</v>
      </c>
      <c r="B3189" s="26" t="s">
        <v>5316</v>
      </c>
      <c r="C3189" s="26" t="s">
        <v>255</v>
      </c>
      <c r="D3189" s="26">
        <v>1.0E7</v>
      </c>
      <c r="F3189" s="26" t="s">
        <v>2542</v>
      </c>
    </row>
    <row r="3190">
      <c r="A3190" s="27">
        <v>45369.0</v>
      </c>
      <c r="B3190" s="26" t="s">
        <v>5317</v>
      </c>
      <c r="C3190" s="26" t="s">
        <v>2545</v>
      </c>
      <c r="D3190" s="26">
        <v>1.42E7</v>
      </c>
      <c r="F3190" s="26" t="s">
        <v>2542</v>
      </c>
      <c r="G3190" s="26">
        <v>3341.0</v>
      </c>
    </row>
    <row r="3191">
      <c r="A3191" s="27">
        <v>45369.0</v>
      </c>
      <c r="B3191" s="26" t="s">
        <v>5318</v>
      </c>
      <c r="C3191" s="26" t="s">
        <v>2571</v>
      </c>
      <c r="D3191" s="26">
        <v>6011280.0</v>
      </c>
      <c r="F3191" s="26" t="s">
        <v>2542</v>
      </c>
      <c r="G3191" s="26">
        <v>641.12</v>
      </c>
    </row>
    <row r="3192">
      <c r="A3192" s="27">
        <v>45368.0</v>
      </c>
      <c r="B3192" s="26" t="s">
        <v>5319</v>
      </c>
      <c r="C3192" s="26" t="s">
        <v>255</v>
      </c>
      <c r="D3192" s="26">
        <v>1.519936E7</v>
      </c>
      <c r="F3192" s="26" t="s">
        <v>2542</v>
      </c>
    </row>
    <row r="3193">
      <c r="A3193" s="27">
        <v>45366.0</v>
      </c>
      <c r="B3193" s="26" t="s">
        <v>5223</v>
      </c>
      <c r="C3193" s="26" t="s">
        <v>255</v>
      </c>
      <c r="D3193" s="26">
        <v>1003000.0</v>
      </c>
      <c r="F3193" s="26" t="s">
        <v>2542</v>
      </c>
    </row>
    <row r="3194">
      <c r="A3194" s="27">
        <v>45365.0</v>
      </c>
      <c r="B3194" s="26" t="s">
        <v>3632</v>
      </c>
      <c r="C3194" s="26" t="s">
        <v>2545</v>
      </c>
      <c r="D3194" s="26">
        <v>7900000.0</v>
      </c>
      <c r="F3194" s="26" t="s">
        <v>2542</v>
      </c>
      <c r="G3194" s="26">
        <v>3341.0</v>
      </c>
    </row>
    <row r="3195">
      <c r="A3195" s="27">
        <v>45364.0</v>
      </c>
      <c r="B3195" s="26" t="s">
        <v>5320</v>
      </c>
      <c r="C3195" s="26" t="s">
        <v>255</v>
      </c>
      <c r="D3195" s="26">
        <v>1790000.0</v>
      </c>
      <c r="F3195" s="26" t="s">
        <v>2542</v>
      </c>
    </row>
    <row r="3196">
      <c r="A3196" s="27">
        <v>45364.0</v>
      </c>
      <c r="B3196" s="26" t="s">
        <v>5321</v>
      </c>
      <c r="C3196" s="26" t="s">
        <v>255</v>
      </c>
      <c r="D3196" s="26">
        <v>1080000.0</v>
      </c>
      <c r="F3196" s="26" t="s">
        <v>2542</v>
      </c>
    </row>
    <row r="3197">
      <c r="A3197" s="27">
        <v>45364.0</v>
      </c>
      <c r="B3197" s="26" t="s">
        <v>5322</v>
      </c>
      <c r="C3197" s="26" t="s">
        <v>255</v>
      </c>
      <c r="D3197" s="26">
        <v>1080000.0</v>
      </c>
      <c r="F3197" s="26" t="s">
        <v>2542</v>
      </c>
    </row>
    <row r="3198">
      <c r="A3198" s="27">
        <v>45364.0</v>
      </c>
      <c r="B3198" s="26" t="s">
        <v>5323</v>
      </c>
      <c r="C3198" s="26" t="s">
        <v>255</v>
      </c>
      <c r="D3198" s="26">
        <v>1080000.0</v>
      </c>
      <c r="F3198" s="26" t="s">
        <v>2542</v>
      </c>
    </row>
    <row r="3199">
      <c r="A3199" s="27">
        <v>45364.0</v>
      </c>
      <c r="B3199" s="26" t="s">
        <v>5324</v>
      </c>
      <c r="C3199" s="26" t="s">
        <v>255</v>
      </c>
      <c r="D3199" s="26">
        <v>1875000.0</v>
      </c>
      <c r="F3199" s="26" t="s">
        <v>2542</v>
      </c>
    </row>
    <row r="3200">
      <c r="A3200" s="27">
        <v>45364.0</v>
      </c>
      <c r="B3200" s="26" t="s">
        <v>5325</v>
      </c>
      <c r="C3200" s="26" t="s">
        <v>255</v>
      </c>
      <c r="D3200" s="26">
        <v>1790000.0</v>
      </c>
      <c r="F3200" s="26" t="s">
        <v>2542</v>
      </c>
    </row>
    <row r="3201">
      <c r="A3201" s="27">
        <v>45364.0</v>
      </c>
      <c r="B3201" s="26" t="s">
        <v>5326</v>
      </c>
      <c r="C3201" s="26" t="s">
        <v>255</v>
      </c>
      <c r="D3201" s="26">
        <v>1875000.0</v>
      </c>
      <c r="F3201" s="26" t="s">
        <v>2542</v>
      </c>
    </row>
    <row r="3202">
      <c r="A3202" s="27">
        <v>45363.0</v>
      </c>
      <c r="B3202" s="26" t="s">
        <v>5327</v>
      </c>
      <c r="C3202" s="26" t="s">
        <v>255</v>
      </c>
      <c r="D3202" s="26">
        <v>479000.0</v>
      </c>
      <c r="F3202" s="26" t="s">
        <v>2542</v>
      </c>
    </row>
    <row r="3203">
      <c r="A3203" s="27">
        <v>45363.0</v>
      </c>
      <c r="B3203" s="26" t="s">
        <v>5328</v>
      </c>
      <c r="C3203" s="26" t="s">
        <v>255</v>
      </c>
      <c r="D3203" s="26">
        <v>1080000.0</v>
      </c>
      <c r="F3203" s="26" t="s">
        <v>2542</v>
      </c>
    </row>
    <row r="3204">
      <c r="A3204" s="27">
        <v>45363.0</v>
      </c>
      <c r="B3204" s="26" t="s">
        <v>5329</v>
      </c>
      <c r="C3204" s="26" t="s">
        <v>255</v>
      </c>
      <c r="D3204" s="26">
        <v>429000.0</v>
      </c>
      <c r="F3204" s="26" t="s">
        <v>2542</v>
      </c>
    </row>
    <row r="3205">
      <c r="A3205" s="27">
        <v>45363.0</v>
      </c>
      <c r="B3205" s="26" t="s">
        <v>5330</v>
      </c>
      <c r="C3205" s="26" t="s">
        <v>255</v>
      </c>
      <c r="D3205" s="26">
        <v>1080000.0</v>
      </c>
      <c r="F3205" s="26" t="s">
        <v>2542</v>
      </c>
    </row>
    <row r="3206">
      <c r="A3206" s="27">
        <v>45363.0</v>
      </c>
      <c r="B3206" s="26" t="s">
        <v>5331</v>
      </c>
      <c r="C3206" s="26" t="s">
        <v>255</v>
      </c>
      <c r="D3206" s="26">
        <v>1724800.0</v>
      </c>
      <c r="F3206" s="26" t="s">
        <v>2542</v>
      </c>
    </row>
    <row r="3207">
      <c r="A3207" s="27">
        <v>45363.0</v>
      </c>
      <c r="B3207" s="26" t="s">
        <v>5332</v>
      </c>
      <c r="C3207" s="26" t="s">
        <v>255</v>
      </c>
      <c r="D3207" s="26">
        <v>2160000.0</v>
      </c>
      <c r="F3207" s="26" t="s">
        <v>2542</v>
      </c>
    </row>
    <row r="3208">
      <c r="A3208" s="27">
        <v>45363.0</v>
      </c>
      <c r="B3208" s="26" t="s">
        <v>5333</v>
      </c>
      <c r="C3208" s="26" t="s">
        <v>255</v>
      </c>
      <c r="D3208" s="26">
        <v>1080000.0</v>
      </c>
      <c r="F3208" s="26" t="s">
        <v>2542</v>
      </c>
    </row>
    <row r="3209">
      <c r="A3209" s="27">
        <v>45363.0</v>
      </c>
      <c r="B3209" s="26" t="s">
        <v>5214</v>
      </c>
      <c r="C3209" s="26" t="s">
        <v>255</v>
      </c>
      <c r="D3209" s="26">
        <v>3043750.0</v>
      </c>
      <c r="F3209" s="26" t="s">
        <v>2542</v>
      </c>
    </row>
    <row r="3210">
      <c r="A3210" s="27">
        <v>45363.0</v>
      </c>
      <c r="B3210" s="26" t="s">
        <v>5224</v>
      </c>
      <c r="C3210" s="26" t="s">
        <v>255</v>
      </c>
      <c r="D3210" s="26">
        <v>6137500.0</v>
      </c>
      <c r="F3210" s="26" t="s">
        <v>2542</v>
      </c>
    </row>
    <row r="3211">
      <c r="A3211" s="27">
        <v>45363.0</v>
      </c>
      <c r="B3211" s="26" t="s">
        <v>5334</v>
      </c>
      <c r="C3211" s="26" t="s">
        <v>255</v>
      </c>
      <c r="D3211" s="26">
        <v>3915000.0</v>
      </c>
      <c r="F3211" s="26" t="s">
        <v>2542</v>
      </c>
    </row>
    <row r="3212">
      <c r="A3212" s="27">
        <v>45363.0</v>
      </c>
      <c r="B3212" s="26" t="s">
        <v>5335</v>
      </c>
      <c r="C3212" s="26" t="s">
        <v>255</v>
      </c>
      <c r="D3212" s="26">
        <v>1080000.0</v>
      </c>
      <c r="F3212" s="26" t="s">
        <v>2542</v>
      </c>
    </row>
    <row r="3213">
      <c r="A3213" s="27">
        <v>45363.0</v>
      </c>
      <c r="B3213" s="26" t="s">
        <v>5336</v>
      </c>
      <c r="C3213" s="26" t="s">
        <v>255</v>
      </c>
      <c r="D3213" s="26">
        <v>918000.0</v>
      </c>
      <c r="F3213" s="26" t="s">
        <v>2542</v>
      </c>
    </row>
    <row r="3214">
      <c r="A3214" s="27">
        <v>45363.0</v>
      </c>
      <c r="B3214" s="26" t="s">
        <v>5231</v>
      </c>
      <c r="C3214" s="26" t="s">
        <v>255</v>
      </c>
      <c r="D3214" s="26">
        <v>1.46173E7</v>
      </c>
      <c r="F3214" s="26" t="s">
        <v>2542</v>
      </c>
    </row>
    <row r="3215">
      <c r="A3215" s="27">
        <v>45363.0</v>
      </c>
      <c r="B3215" s="26" t="s">
        <v>5327</v>
      </c>
      <c r="C3215" s="28"/>
      <c r="D3215" s="26">
        <v>479000.0</v>
      </c>
      <c r="F3215" s="26" t="s">
        <v>2542</v>
      </c>
    </row>
    <row r="3216">
      <c r="A3216" s="27">
        <v>45363.0</v>
      </c>
      <c r="B3216" s="26" t="s">
        <v>5337</v>
      </c>
      <c r="C3216" s="26" t="s">
        <v>2561</v>
      </c>
      <c r="D3216" s="26">
        <v>800000.0</v>
      </c>
      <c r="F3216" s="26" t="s">
        <v>2542</v>
      </c>
      <c r="G3216" s="26">
        <v>331.0</v>
      </c>
    </row>
    <row r="3217">
      <c r="A3217" s="27">
        <v>45363.0</v>
      </c>
      <c r="B3217" s="26" t="s">
        <v>5338</v>
      </c>
      <c r="C3217" s="26" t="s">
        <v>2545</v>
      </c>
      <c r="D3217" s="26">
        <v>9000000.0</v>
      </c>
      <c r="F3217" s="26" t="s">
        <v>2542</v>
      </c>
      <c r="G3217" s="26">
        <v>3341.0</v>
      </c>
    </row>
    <row r="3218">
      <c r="A3218" s="27">
        <v>45363.0</v>
      </c>
      <c r="B3218" s="26" t="s">
        <v>5339</v>
      </c>
      <c r="C3218" s="26" t="s">
        <v>2545</v>
      </c>
      <c r="D3218" s="26">
        <v>1.27E7</v>
      </c>
      <c r="F3218" s="26" t="s">
        <v>2542</v>
      </c>
      <c r="G3218" s="26">
        <v>3341.0</v>
      </c>
    </row>
    <row r="3219">
      <c r="A3219" s="27">
        <v>45363.0</v>
      </c>
      <c r="B3219" s="26" t="s">
        <v>5340</v>
      </c>
      <c r="C3219" s="26" t="s">
        <v>2571</v>
      </c>
      <c r="D3219" s="26">
        <v>1776000.0</v>
      </c>
      <c r="F3219" s="26" t="s">
        <v>2542</v>
      </c>
      <c r="G3219" s="26">
        <v>641.16</v>
      </c>
    </row>
    <row r="3220">
      <c r="A3220" s="27">
        <v>45363.0</v>
      </c>
      <c r="B3220" s="26" t="s">
        <v>5341</v>
      </c>
      <c r="C3220" s="26" t="s">
        <v>2571</v>
      </c>
      <c r="D3220" s="26">
        <v>941000.0</v>
      </c>
      <c r="F3220" s="26" t="s">
        <v>2542</v>
      </c>
      <c r="G3220" s="26">
        <v>641.22</v>
      </c>
    </row>
    <row r="3221">
      <c r="A3221" s="27">
        <v>45363.0</v>
      </c>
      <c r="B3221" s="26" t="s">
        <v>5342</v>
      </c>
      <c r="C3221" s="26" t="s">
        <v>2764</v>
      </c>
      <c r="D3221" s="26">
        <v>2530000.0</v>
      </c>
      <c r="F3221" s="26" t="s">
        <v>2542</v>
      </c>
      <c r="G3221" s="26">
        <v>6273.0</v>
      </c>
    </row>
    <row r="3222">
      <c r="A3222" s="27">
        <v>45363.0</v>
      </c>
      <c r="B3222" s="26" t="s">
        <v>5343</v>
      </c>
      <c r="C3222" s="26" t="s">
        <v>2561</v>
      </c>
      <c r="D3222" s="26">
        <v>5208000.0</v>
      </c>
      <c r="F3222" s="26" t="s">
        <v>2542</v>
      </c>
      <c r="G3222" s="26">
        <v>331.0</v>
      </c>
    </row>
    <row r="3223">
      <c r="A3223" s="27">
        <v>45363.0</v>
      </c>
      <c r="B3223" s="26" t="s">
        <v>5344</v>
      </c>
      <c r="C3223" s="26" t="s">
        <v>2545</v>
      </c>
      <c r="D3223" s="26">
        <v>1.5E7</v>
      </c>
      <c r="F3223" s="26" t="s">
        <v>2542</v>
      </c>
      <c r="G3223" s="26">
        <v>3341.0</v>
      </c>
    </row>
    <row r="3224">
      <c r="A3224" s="27">
        <v>45362.0</v>
      </c>
      <c r="B3224" s="26" t="s">
        <v>5345</v>
      </c>
      <c r="C3224" s="26" t="s">
        <v>255</v>
      </c>
      <c r="D3224" s="26">
        <v>2900000.0</v>
      </c>
      <c r="F3224" s="26" t="s">
        <v>2542</v>
      </c>
    </row>
    <row r="3225">
      <c r="A3225" s="27">
        <v>45362.0</v>
      </c>
      <c r="B3225" s="26" t="s">
        <v>5346</v>
      </c>
      <c r="C3225" s="26" t="s">
        <v>255</v>
      </c>
      <c r="D3225" s="26">
        <v>972000.0</v>
      </c>
      <c r="F3225" s="26" t="s">
        <v>2542</v>
      </c>
    </row>
    <row r="3226">
      <c r="A3226" s="27">
        <v>45362.0</v>
      </c>
      <c r="B3226" s="26" t="s">
        <v>5347</v>
      </c>
      <c r="C3226" s="26" t="s">
        <v>255</v>
      </c>
      <c r="D3226" s="26">
        <v>1080000.0</v>
      </c>
      <c r="F3226" s="26" t="s">
        <v>2542</v>
      </c>
    </row>
    <row r="3227">
      <c r="A3227" s="27">
        <v>45362.0</v>
      </c>
      <c r="B3227" s="26" t="s">
        <v>5348</v>
      </c>
      <c r="C3227" s="26" t="s">
        <v>2545</v>
      </c>
      <c r="D3227" s="26">
        <v>1.2292E7</v>
      </c>
      <c r="F3227" s="26" t="s">
        <v>2542</v>
      </c>
      <c r="G3227" s="26">
        <v>3341.0</v>
      </c>
    </row>
    <row r="3228">
      <c r="A3228" s="27">
        <v>45362.0</v>
      </c>
      <c r="B3228" s="26" t="s">
        <v>5349</v>
      </c>
      <c r="C3228" s="26" t="s">
        <v>2545</v>
      </c>
      <c r="D3228" s="26">
        <v>1.2292E7</v>
      </c>
      <c r="F3228" s="26" t="s">
        <v>2542</v>
      </c>
      <c r="G3228" s="26">
        <v>3341.0</v>
      </c>
    </row>
    <row r="3229">
      <c r="A3229" s="27">
        <v>45360.0</v>
      </c>
      <c r="B3229" s="26" t="s">
        <v>5350</v>
      </c>
      <c r="C3229" s="26" t="s">
        <v>2545</v>
      </c>
      <c r="D3229" s="26">
        <v>1.02E7</v>
      </c>
      <c r="F3229" s="26" t="s">
        <v>2542</v>
      </c>
      <c r="G3229" s="26">
        <v>3341.0</v>
      </c>
    </row>
    <row r="3230">
      <c r="A3230" s="27">
        <v>45358.0</v>
      </c>
      <c r="B3230" s="26" t="s">
        <v>5351</v>
      </c>
      <c r="C3230" s="26" t="s">
        <v>255</v>
      </c>
      <c r="D3230" s="26">
        <v>2340000.0</v>
      </c>
      <c r="F3230" s="26" t="s">
        <v>2542</v>
      </c>
    </row>
    <row r="3231">
      <c r="A3231" s="27">
        <v>45358.0</v>
      </c>
      <c r="B3231" s="26" t="s">
        <v>5352</v>
      </c>
      <c r="C3231" s="26" t="s">
        <v>255</v>
      </c>
      <c r="D3231" s="26">
        <v>4838750.0</v>
      </c>
      <c r="F3231" s="26" t="s">
        <v>2542</v>
      </c>
    </row>
    <row r="3232">
      <c r="A3232" s="27">
        <v>45358.0</v>
      </c>
      <c r="B3232" s="26" t="s">
        <v>5353</v>
      </c>
      <c r="C3232" s="26" t="s">
        <v>255</v>
      </c>
      <c r="D3232" s="26">
        <v>6960000.0</v>
      </c>
      <c r="F3232" s="26" t="s">
        <v>2542</v>
      </c>
    </row>
    <row r="3233">
      <c r="A3233" s="27">
        <v>45358.0</v>
      </c>
      <c r="B3233" s="26" t="s">
        <v>3109</v>
      </c>
      <c r="C3233" s="28"/>
      <c r="D3233" s="26">
        <v>4.0E7</v>
      </c>
      <c r="F3233" s="26" t="s">
        <v>2542</v>
      </c>
    </row>
    <row r="3234">
      <c r="A3234" s="27">
        <v>45358.0</v>
      </c>
      <c r="B3234" s="26" t="s">
        <v>5354</v>
      </c>
      <c r="C3234" s="26" t="s">
        <v>2581</v>
      </c>
      <c r="D3234" s="26">
        <v>9000000.0</v>
      </c>
      <c r="F3234" s="26" t="s">
        <v>2542</v>
      </c>
      <c r="G3234" s="26">
        <v>6426.0</v>
      </c>
    </row>
    <row r="3235">
      <c r="A3235" s="27">
        <v>45358.0</v>
      </c>
      <c r="B3235" s="26" t="s">
        <v>5355</v>
      </c>
      <c r="C3235" s="26" t="s">
        <v>2583</v>
      </c>
      <c r="D3235" s="26">
        <v>4060000.0</v>
      </c>
      <c r="F3235" s="26" t="s">
        <v>2542</v>
      </c>
      <c r="G3235" s="26">
        <v>641.27</v>
      </c>
    </row>
    <row r="3236">
      <c r="A3236" s="27">
        <v>45358.0</v>
      </c>
      <c r="B3236" s="26" t="s">
        <v>5356</v>
      </c>
      <c r="C3236" s="26" t="s">
        <v>2581</v>
      </c>
      <c r="D3236" s="26">
        <v>3000000.0</v>
      </c>
      <c r="F3236" s="26" t="s">
        <v>2542</v>
      </c>
      <c r="G3236" s="26">
        <v>6422.0</v>
      </c>
    </row>
    <row r="3237">
      <c r="A3237" s="27">
        <v>45358.0</v>
      </c>
      <c r="B3237" s="26" t="s">
        <v>5357</v>
      </c>
      <c r="C3237" s="26" t="s">
        <v>2545</v>
      </c>
      <c r="D3237" s="26">
        <v>1.2E7</v>
      </c>
      <c r="F3237" s="26" t="s">
        <v>2542</v>
      </c>
      <c r="G3237" s="26">
        <v>3341.0</v>
      </c>
    </row>
    <row r="3238">
      <c r="A3238" s="27">
        <v>45358.0</v>
      </c>
      <c r="B3238" s="26" t="s">
        <v>5358</v>
      </c>
      <c r="C3238" s="26" t="s">
        <v>2561</v>
      </c>
      <c r="D3238" s="26">
        <v>1.79577E7</v>
      </c>
      <c r="F3238" s="26" t="s">
        <v>2542</v>
      </c>
      <c r="G3238" s="26">
        <v>331.0</v>
      </c>
    </row>
    <row r="3239">
      <c r="A3239" s="27">
        <v>45358.0</v>
      </c>
      <c r="B3239" s="26" t="s">
        <v>5359</v>
      </c>
      <c r="C3239" s="26" t="s">
        <v>2561</v>
      </c>
      <c r="D3239" s="26">
        <v>1.710406E7</v>
      </c>
      <c r="F3239" s="26" t="s">
        <v>2542</v>
      </c>
      <c r="G3239" s="26">
        <v>331.0</v>
      </c>
    </row>
    <row r="3240">
      <c r="A3240" s="27">
        <v>45357.0</v>
      </c>
      <c r="B3240" s="26" t="s">
        <v>5360</v>
      </c>
      <c r="C3240" s="26" t="s">
        <v>2561</v>
      </c>
      <c r="D3240" s="26" t="s">
        <v>5361</v>
      </c>
      <c r="F3240" s="26" t="s">
        <v>2542</v>
      </c>
      <c r="G3240" s="26">
        <v>632.1</v>
      </c>
    </row>
    <row r="3241">
      <c r="A3241" s="27">
        <v>45356.0</v>
      </c>
      <c r="B3241" s="26" t="s">
        <v>4038</v>
      </c>
      <c r="C3241" s="26" t="s">
        <v>255</v>
      </c>
      <c r="D3241" s="26">
        <v>7500000.0</v>
      </c>
      <c r="F3241" s="26" t="s">
        <v>2542</v>
      </c>
    </row>
    <row r="3242">
      <c r="A3242" s="27">
        <v>45356.0</v>
      </c>
      <c r="B3242" s="26" t="s">
        <v>5362</v>
      </c>
      <c r="C3242" s="26" t="s">
        <v>255</v>
      </c>
      <c r="D3242" s="26">
        <v>4600000.0</v>
      </c>
      <c r="F3242" s="26" t="s">
        <v>2542</v>
      </c>
    </row>
    <row r="3243">
      <c r="A3243" s="27">
        <v>45356.0</v>
      </c>
      <c r="B3243" s="26" t="s">
        <v>5363</v>
      </c>
      <c r="C3243" s="26" t="s">
        <v>255</v>
      </c>
      <c r="D3243" s="26">
        <v>1350000.0</v>
      </c>
      <c r="F3243" s="26" t="s">
        <v>2542</v>
      </c>
    </row>
    <row r="3244">
      <c r="A3244" s="27">
        <v>45355.0</v>
      </c>
      <c r="B3244" s="26" t="s">
        <v>5364</v>
      </c>
      <c r="C3244" s="26" t="s">
        <v>255</v>
      </c>
      <c r="D3244" s="26">
        <v>3325000.0</v>
      </c>
      <c r="F3244" s="26" t="s">
        <v>2542</v>
      </c>
    </row>
    <row r="3245">
      <c r="A3245" s="27">
        <v>45355.0</v>
      </c>
      <c r="B3245" s="26" t="s">
        <v>5365</v>
      </c>
      <c r="C3245" s="26" t="s">
        <v>255</v>
      </c>
      <c r="D3245" s="26">
        <v>1080000.0</v>
      </c>
      <c r="F3245" s="26" t="s">
        <v>2542</v>
      </c>
    </row>
    <row r="3246">
      <c r="A3246" s="27">
        <v>45355.0</v>
      </c>
      <c r="B3246" s="26" t="s">
        <v>2775</v>
      </c>
      <c r="C3246" s="26" t="s">
        <v>255</v>
      </c>
      <c r="D3246" s="26">
        <v>6793600.0</v>
      </c>
      <c r="F3246" s="26" t="s">
        <v>2542</v>
      </c>
    </row>
    <row r="3247">
      <c r="A3247" s="27">
        <v>45355.0</v>
      </c>
      <c r="B3247" s="26" t="s">
        <v>5366</v>
      </c>
      <c r="C3247" s="26" t="s">
        <v>2564</v>
      </c>
      <c r="D3247" s="26" t="s">
        <v>5367</v>
      </c>
      <c r="F3247" s="26" t="s">
        <v>2542</v>
      </c>
      <c r="G3247" s="26">
        <v>331.0</v>
      </c>
    </row>
    <row r="3248">
      <c r="A3248" s="27">
        <v>45354.0</v>
      </c>
      <c r="B3248" s="26" t="s">
        <v>5368</v>
      </c>
      <c r="C3248" s="26" t="s">
        <v>255</v>
      </c>
      <c r="D3248" s="26">
        <v>1680000.0</v>
      </c>
      <c r="F3248" s="26" t="s">
        <v>2542</v>
      </c>
    </row>
    <row r="3249">
      <c r="A3249" s="27">
        <v>45353.0</v>
      </c>
      <c r="B3249" s="26" t="s">
        <v>5369</v>
      </c>
      <c r="C3249" s="26" t="s">
        <v>255</v>
      </c>
      <c r="D3249" s="26">
        <v>1.4128E7</v>
      </c>
      <c r="F3249" s="26" t="s">
        <v>2542</v>
      </c>
    </row>
    <row r="3250">
      <c r="A3250" s="27">
        <v>45353.0</v>
      </c>
      <c r="B3250" s="26" t="s">
        <v>4930</v>
      </c>
      <c r="C3250" s="26" t="s">
        <v>255</v>
      </c>
      <c r="D3250" s="26">
        <v>2640000.0</v>
      </c>
      <c r="F3250" s="26" t="s">
        <v>2542</v>
      </c>
    </row>
    <row r="3251">
      <c r="A3251" s="27">
        <v>45353.0</v>
      </c>
      <c r="B3251" s="26" t="s">
        <v>5370</v>
      </c>
      <c r="C3251" s="26" t="s">
        <v>2655</v>
      </c>
      <c r="D3251" s="26">
        <v>3870000.0</v>
      </c>
      <c r="F3251" s="26" t="s">
        <v>2542</v>
      </c>
      <c r="G3251" s="26">
        <v>3383.0</v>
      </c>
    </row>
    <row r="3252">
      <c r="A3252" s="27">
        <v>45353.0</v>
      </c>
      <c r="B3252" s="26" t="s">
        <v>5371</v>
      </c>
      <c r="C3252" s="26" t="s">
        <v>2545</v>
      </c>
      <c r="D3252" s="26">
        <v>1.0E7</v>
      </c>
      <c r="F3252" s="26" t="s">
        <v>2542</v>
      </c>
      <c r="G3252" s="26">
        <v>3341.0</v>
      </c>
    </row>
    <row r="3253">
      <c r="A3253" s="27">
        <v>45352.0</v>
      </c>
      <c r="B3253" s="26" t="s">
        <v>3219</v>
      </c>
      <c r="C3253" s="26" t="s">
        <v>255</v>
      </c>
      <c r="D3253" s="26">
        <v>2023000.0</v>
      </c>
      <c r="F3253" s="26" t="s">
        <v>2542</v>
      </c>
    </row>
    <row r="3254">
      <c r="A3254" s="27">
        <v>45352.0</v>
      </c>
      <c r="B3254" s="26" t="s">
        <v>5151</v>
      </c>
      <c r="C3254" s="26" t="s">
        <v>255</v>
      </c>
      <c r="D3254" s="26">
        <v>1.9955E7</v>
      </c>
      <c r="F3254" s="26" t="s">
        <v>2542</v>
      </c>
    </row>
    <row r="3255">
      <c r="A3255" s="27">
        <v>45352.0</v>
      </c>
      <c r="B3255" s="26" t="s">
        <v>5141</v>
      </c>
      <c r="C3255" s="26" t="s">
        <v>255</v>
      </c>
      <c r="D3255" s="26">
        <v>3840000.0</v>
      </c>
      <c r="F3255" s="26" t="s">
        <v>2542</v>
      </c>
    </row>
    <row r="3256">
      <c r="A3256" s="27">
        <v>45352.0</v>
      </c>
      <c r="B3256" s="26" t="s">
        <v>4835</v>
      </c>
      <c r="C3256" s="26" t="s">
        <v>255</v>
      </c>
      <c r="D3256" s="26">
        <v>1.05E7</v>
      </c>
      <c r="F3256" s="26" t="s">
        <v>2542</v>
      </c>
    </row>
    <row r="3257">
      <c r="A3257" s="27">
        <v>45352.0</v>
      </c>
      <c r="B3257" s="26" t="s">
        <v>5372</v>
      </c>
      <c r="C3257" s="26" t="s">
        <v>255</v>
      </c>
      <c r="D3257" s="26">
        <v>240000.0</v>
      </c>
      <c r="F3257" s="26" t="s">
        <v>2542</v>
      </c>
    </row>
    <row r="3258">
      <c r="A3258" s="27">
        <v>45352.0</v>
      </c>
      <c r="B3258" s="26" t="s">
        <v>4134</v>
      </c>
      <c r="C3258" s="26" t="s">
        <v>255</v>
      </c>
      <c r="D3258" s="26">
        <v>5620000.0</v>
      </c>
      <c r="F3258" s="26" t="s">
        <v>2542</v>
      </c>
    </row>
    <row r="3259">
      <c r="A3259" s="27">
        <v>45351.0</v>
      </c>
      <c r="B3259" s="26" t="s">
        <v>5034</v>
      </c>
      <c r="C3259" s="26" t="s">
        <v>255</v>
      </c>
      <c r="D3259" s="26">
        <v>1320000.0</v>
      </c>
      <c r="F3259" s="26" t="s">
        <v>2542</v>
      </c>
    </row>
    <row r="3260">
      <c r="A3260" s="27">
        <v>45351.0</v>
      </c>
      <c r="B3260" s="26" t="s">
        <v>5373</v>
      </c>
      <c r="C3260" s="26" t="s">
        <v>255</v>
      </c>
      <c r="D3260" s="26">
        <v>1320000.0</v>
      </c>
      <c r="F3260" s="26" t="s">
        <v>2542</v>
      </c>
    </row>
    <row r="3261">
      <c r="A3261" s="27">
        <v>45351.0</v>
      </c>
      <c r="B3261" s="26" t="s">
        <v>2543</v>
      </c>
      <c r="C3261" s="26" t="s">
        <v>255</v>
      </c>
      <c r="D3261" s="26">
        <v>777.0</v>
      </c>
      <c r="F3261" s="26" t="s">
        <v>2542</v>
      </c>
    </row>
    <row r="3262">
      <c r="A3262" s="27">
        <v>45351.0</v>
      </c>
      <c r="B3262" s="26" t="s">
        <v>5374</v>
      </c>
      <c r="C3262" s="26" t="s">
        <v>2571</v>
      </c>
      <c r="D3262" s="26">
        <v>1858896.0</v>
      </c>
      <c r="F3262" s="26" t="s">
        <v>2542</v>
      </c>
      <c r="G3262" s="26">
        <v>641.12</v>
      </c>
    </row>
    <row r="3263">
      <c r="A3263" s="27">
        <v>45350.0</v>
      </c>
      <c r="B3263" s="26" t="s">
        <v>5375</v>
      </c>
      <c r="C3263" s="26" t="s">
        <v>255</v>
      </c>
      <c r="D3263" s="26">
        <v>1080000.0</v>
      </c>
      <c r="F3263" s="26" t="s">
        <v>2542</v>
      </c>
    </row>
    <row r="3264">
      <c r="A3264" s="27">
        <v>45350.0</v>
      </c>
      <c r="B3264" s="26" t="s">
        <v>5376</v>
      </c>
      <c r="C3264" s="26" t="s">
        <v>255</v>
      </c>
      <c r="D3264" s="26">
        <v>1080000.0</v>
      </c>
      <c r="F3264" s="26" t="s">
        <v>2542</v>
      </c>
    </row>
    <row r="3265">
      <c r="A3265" s="27">
        <v>45350.0</v>
      </c>
      <c r="B3265" s="26" t="s">
        <v>5377</v>
      </c>
      <c r="C3265" s="26" t="s">
        <v>255</v>
      </c>
      <c r="D3265" s="26">
        <v>2160000.0</v>
      </c>
      <c r="F3265" s="26" t="s">
        <v>2542</v>
      </c>
    </row>
    <row r="3266">
      <c r="A3266" s="27">
        <v>45350.0</v>
      </c>
      <c r="B3266" s="26" t="s">
        <v>5378</v>
      </c>
      <c r="C3266" s="26" t="s">
        <v>255</v>
      </c>
      <c r="D3266" s="26">
        <v>2160000.0</v>
      </c>
      <c r="F3266" s="26" t="s">
        <v>2542</v>
      </c>
    </row>
    <row r="3267">
      <c r="A3267" s="27">
        <v>45350.0</v>
      </c>
      <c r="B3267" s="26" t="s">
        <v>5379</v>
      </c>
      <c r="C3267" s="26" t="s">
        <v>255</v>
      </c>
      <c r="D3267" s="26">
        <v>400000.0</v>
      </c>
      <c r="F3267" s="26" t="s">
        <v>2542</v>
      </c>
    </row>
    <row r="3268">
      <c r="A3268" s="27">
        <v>45349.0</v>
      </c>
      <c r="B3268" s="26" t="s">
        <v>5210</v>
      </c>
      <c r="C3268" s="26" t="s">
        <v>255</v>
      </c>
      <c r="D3268" s="26">
        <v>6466750.0</v>
      </c>
      <c r="F3268" s="26" t="s">
        <v>2542</v>
      </c>
    </row>
    <row r="3269">
      <c r="A3269" s="27">
        <v>45349.0</v>
      </c>
      <c r="B3269" s="26" t="s">
        <v>5380</v>
      </c>
      <c r="C3269" s="26" t="s">
        <v>255</v>
      </c>
      <c r="D3269" s="26">
        <v>2900000.0</v>
      </c>
      <c r="F3269" s="26" t="s">
        <v>2542</v>
      </c>
    </row>
    <row r="3270">
      <c r="A3270" s="27">
        <v>45349.0</v>
      </c>
      <c r="B3270" s="26" t="s">
        <v>4791</v>
      </c>
      <c r="C3270" s="26" t="s">
        <v>255</v>
      </c>
      <c r="D3270" s="26">
        <v>5100000.0</v>
      </c>
      <c r="F3270" s="26" t="s">
        <v>2542</v>
      </c>
    </row>
    <row r="3271">
      <c r="A3271" s="27">
        <v>45349.0</v>
      </c>
      <c r="B3271" s="26" t="s">
        <v>5381</v>
      </c>
      <c r="C3271" s="26" t="s">
        <v>255</v>
      </c>
      <c r="D3271" s="26">
        <v>2550000.0</v>
      </c>
      <c r="F3271" s="26" t="s">
        <v>2542</v>
      </c>
    </row>
    <row r="3272">
      <c r="A3272" s="27">
        <v>45349.0</v>
      </c>
      <c r="B3272" s="26" t="s">
        <v>5382</v>
      </c>
      <c r="C3272" s="26" t="s">
        <v>255</v>
      </c>
      <c r="D3272" s="26">
        <v>9180000.0</v>
      </c>
      <c r="F3272" s="26" t="s">
        <v>2542</v>
      </c>
    </row>
    <row r="3273">
      <c r="A3273" s="27">
        <v>45349.0</v>
      </c>
      <c r="B3273" s="26" t="s">
        <v>5287</v>
      </c>
      <c r="C3273" s="26" t="s">
        <v>255</v>
      </c>
      <c r="D3273" s="26">
        <v>1080000.0</v>
      </c>
      <c r="F3273" s="26" t="s">
        <v>2542</v>
      </c>
    </row>
    <row r="3274">
      <c r="A3274" s="27">
        <v>45349.0</v>
      </c>
      <c r="B3274" s="26" t="s">
        <v>5383</v>
      </c>
      <c r="C3274" s="26" t="s">
        <v>255</v>
      </c>
      <c r="D3274" s="26">
        <v>5705000.0</v>
      </c>
      <c r="F3274" s="26" t="s">
        <v>2542</v>
      </c>
    </row>
    <row r="3275">
      <c r="A3275" s="27">
        <v>45349.0</v>
      </c>
      <c r="B3275" s="26" t="s">
        <v>3109</v>
      </c>
      <c r="C3275" s="28"/>
      <c r="D3275" s="26">
        <v>1.5E7</v>
      </c>
      <c r="F3275" s="26" t="s">
        <v>2542</v>
      </c>
    </row>
    <row r="3276">
      <c r="A3276" s="27">
        <v>45349.0</v>
      </c>
      <c r="B3276" s="26" t="s">
        <v>5384</v>
      </c>
      <c r="C3276" s="26" t="s">
        <v>2561</v>
      </c>
      <c r="D3276" s="26">
        <v>7.1343531E7</v>
      </c>
      <c r="F3276" s="26" t="s">
        <v>2542</v>
      </c>
      <c r="G3276" s="26">
        <v>331.0</v>
      </c>
    </row>
    <row r="3277">
      <c r="A3277" s="27">
        <v>45349.0</v>
      </c>
      <c r="B3277" s="26" t="s">
        <v>5385</v>
      </c>
      <c r="C3277" s="26" t="s">
        <v>2561</v>
      </c>
      <c r="D3277" s="26">
        <v>1.49364E7</v>
      </c>
      <c r="F3277" s="26" t="s">
        <v>2542</v>
      </c>
      <c r="G3277" s="26">
        <v>331.0</v>
      </c>
    </row>
    <row r="3278">
      <c r="A3278" s="27">
        <v>45349.0</v>
      </c>
      <c r="B3278" s="26" t="s">
        <v>5062</v>
      </c>
      <c r="C3278" s="26" t="s">
        <v>2561</v>
      </c>
      <c r="D3278" s="26">
        <v>7724160.0</v>
      </c>
      <c r="F3278" s="26" t="s">
        <v>2542</v>
      </c>
      <c r="G3278" s="26">
        <v>331.0</v>
      </c>
    </row>
    <row r="3279">
      <c r="A3279" s="27">
        <v>45348.0</v>
      </c>
      <c r="B3279" s="26" t="s">
        <v>5386</v>
      </c>
      <c r="C3279" s="26" t="s">
        <v>255</v>
      </c>
      <c r="D3279" s="26">
        <v>6691500.0</v>
      </c>
      <c r="F3279" s="26" t="s">
        <v>2542</v>
      </c>
    </row>
    <row r="3280">
      <c r="A3280" s="27">
        <v>45348.0</v>
      </c>
      <c r="B3280" s="26" t="s">
        <v>4067</v>
      </c>
      <c r="C3280" s="26" t="s">
        <v>255</v>
      </c>
      <c r="D3280" s="26">
        <v>1080000.0</v>
      </c>
      <c r="F3280" s="26" t="s">
        <v>2542</v>
      </c>
    </row>
    <row r="3281">
      <c r="A3281" s="27">
        <v>45346.0</v>
      </c>
      <c r="B3281" s="26" t="s">
        <v>3089</v>
      </c>
      <c r="C3281" s="26" t="s">
        <v>255</v>
      </c>
      <c r="D3281" s="26">
        <v>972000.0</v>
      </c>
      <c r="F3281" s="26" t="s">
        <v>2542</v>
      </c>
    </row>
    <row r="3282">
      <c r="A3282" s="27">
        <v>45346.0</v>
      </c>
      <c r="B3282" s="26" t="s">
        <v>2586</v>
      </c>
      <c r="C3282" s="26" t="s">
        <v>255</v>
      </c>
      <c r="D3282" s="26">
        <v>3185.0</v>
      </c>
      <c r="F3282" s="26" t="s">
        <v>2542</v>
      </c>
    </row>
    <row r="3283">
      <c r="A3283" s="27">
        <v>45345.0</v>
      </c>
      <c r="B3283" s="26" t="s">
        <v>3109</v>
      </c>
      <c r="C3283" s="28"/>
      <c r="D3283" s="26">
        <v>6.8E7</v>
      </c>
      <c r="F3283" s="26" t="s">
        <v>2542</v>
      </c>
    </row>
    <row r="3284">
      <c r="A3284" s="27">
        <v>45344.0</v>
      </c>
      <c r="B3284" s="26" t="s">
        <v>5387</v>
      </c>
      <c r="C3284" s="26" t="s">
        <v>255</v>
      </c>
      <c r="D3284" s="26">
        <v>1875000.0</v>
      </c>
      <c r="F3284" s="26" t="s">
        <v>2542</v>
      </c>
    </row>
    <row r="3285">
      <c r="A3285" s="27">
        <v>45344.0</v>
      </c>
      <c r="B3285" s="26" t="s">
        <v>5388</v>
      </c>
      <c r="C3285" s="26" t="s">
        <v>255</v>
      </c>
      <c r="D3285" s="26">
        <v>1080000.0</v>
      </c>
      <c r="F3285" s="26" t="s">
        <v>2542</v>
      </c>
    </row>
    <row r="3286">
      <c r="A3286" s="27">
        <v>45344.0</v>
      </c>
      <c r="B3286" s="26" t="s">
        <v>5389</v>
      </c>
      <c r="C3286" s="26" t="s">
        <v>255</v>
      </c>
      <c r="D3286" s="26">
        <v>1080000.0</v>
      </c>
      <c r="F3286" s="26" t="s">
        <v>2542</v>
      </c>
    </row>
    <row r="3287">
      <c r="A3287" s="27">
        <v>45344.0</v>
      </c>
      <c r="B3287" s="26" t="s">
        <v>5390</v>
      </c>
      <c r="C3287" s="26" t="s">
        <v>255</v>
      </c>
      <c r="D3287" s="26">
        <v>2.819123E7</v>
      </c>
      <c r="F3287" s="26" t="s">
        <v>2542</v>
      </c>
    </row>
    <row r="3288">
      <c r="A3288" s="27">
        <v>45344.0</v>
      </c>
      <c r="B3288" s="26" t="s">
        <v>5391</v>
      </c>
      <c r="C3288" s="26" t="s">
        <v>255</v>
      </c>
      <c r="D3288" s="26">
        <v>1260000.0</v>
      </c>
      <c r="F3288" s="26" t="s">
        <v>2542</v>
      </c>
    </row>
    <row r="3289">
      <c r="A3289" s="27">
        <v>45344.0</v>
      </c>
      <c r="B3289" s="26" t="s">
        <v>5392</v>
      </c>
      <c r="C3289" s="26" t="s">
        <v>2583</v>
      </c>
      <c r="D3289" s="26">
        <v>1000000.0</v>
      </c>
      <c r="F3289" s="26" t="s">
        <v>2542</v>
      </c>
      <c r="G3289" s="26">
        <v>641.23</v>
      </c>
    </row>
    <row r="3290">
      <c r="A3290" s="27">
        <v>45344.0</v>
      </c>
      <c r="B3290" s="26" t="s">
        <v>5393</v>
      </c>
      <c r="C3290" s="26" t="s">
        <v>2571</v>
      </c>
      <c r="D3290" s="26">
        <v>1600000.0</v>
      </c>
      <c r="F3290" s="26" t="s">
        <v>2542</v>
      </c>
      <c r="G3290" s="26">
        <v>641.12</v>
      </c>
    </row>
    <row r="3291">
      <c r="A3291" s="27">
        <v>45343.0</v>
      </c>
      <c r="B3291" s="26" t="s">
        <v>5394</v>
      </c>
      <c r="C3291" s="26" t="s">
        <v>255</v>
      </c>
      <c r="D3291" s="26">
        <v>2380000.0</v>
      </c>
      <c r="F3291" s="26" t="s">
        <v>2542</v>
      </c>
    </row>
    <row r="3292">
      <c r="A3292" s="27">
        <v>45343.0</v>
      </c>
      <c r="B3292" s="26" t="s">
        <v>5395</v>
      </c>
      <c r="C3292" s="26" t="s">
        <v>255</v>
      </c>
      <c r="D3292" s="26">
        <v>1480000.0</v>
      </c>
      <c r="F3292" s="26" t="s">
        <v>2542</v>
      </c>
    </row>
    <row r="3293">
      <c r="A3293" s="27">
        <v>45343.0</v>
      </c>
      <c r="B3293" s="26" t="s">
        <v>5395</v>
      </c>
      <c r="C3293" s="26" t="s">
        <v>255</v>
      </c>
      <c r="D3293" s="26">
        <v>1480000.0</v>
      </c>
      <c r="F3293" s="26" t="s">
        <v>2542</v>
      </c>
    </row>
    <row r="3294">
      <c r="A3294" s="27">
        <v>45343.0</v>
      </c>
      <c r="B3294" s="26" t="s">
        <v>5396</v>
      </c>
      <c r="C3294" s="26" t="s">
        <v>255</v>
      </c>
      <c r="D3294" s="26">
        <v>3240000.0</v>
      </c>
      <c r="F3294" s="26" t="s">
        <v>2542</v>
      </c>
    </row>
    <row r="3295">
      <c r="A3295" s="27">
        <v>45343.0</v>
      </c>
      <c r="B3295" s="26" t="s">
        <v>5397</v>
      </c>
      <c r="C3295" s="26" t="s">
        <v>2571</v>
      </c>
      <c r="D3295" s="26">
        <v>4364820.0</v>
      </c>
      <c r="F3295" s="26" t="s">
        <v>2542</v>
      </c>
      <c r="G3295" s="26">
        <v>641.12</v>
      </c>
    </row>
    <row r="3296">
      <c r="A3296" s="27">
        <v>45342.0</v>
      </c>
      <c r="B3296" s="26" t="s">
        <v>3010</v>
      </c>
      <c r="C3296" s="26" t="s">
        <v>255</v>
      </c>
      <c r="D3296" s="26">
        <v>1080000.0</v>
      </c>
      <c r="F3296" s="26" t="s">
        <v>2542</v>
      </c>
    </row>
    <row r="3297">
      <c r="A3297" s="27">
        <v>45342.0</v>
      </c>
      <c r="B3297" s="26" t="s">
        <v>4930</v>
      </c>
      <c r="C3297" s="26" t="s">
        <v>255</v>
      </c>
      <c r="D3297" s="26">
        <v>1380000.0</v>
      </c>
      <c r="F3297" s="26" t="s">
        <v>2542</v>
      </c>
    </row>
    <row r="3298">
      <c r="A3298" s="27">
        <v>45341.0</v>
      </c>
      <c r="B3298" s="26" t="s">
        <v>5398</v>
      </c>
      <c r="C3298" s="26" t="s">
        <v>255</v>
      </c>
      <c r="D3298" s="26">
        <v>3325000.0</v>
      </c>
      <c r="F3298" s="26" t="s">
        <v>2542</v>
      </c>
    </row>
    <row r="3299">
      <c r="A3299" s="27">
        <v>45339.0</v>
      </c>
      <c r="B3299" s="26" t="s">
        <v>5399</v>
      </c>
      <c r="C3299" s="26" t="s">
        <v>255</v>
      </c>
      <c r="D3299" s="26">
        <v>1080000.0</v>
      </c>
      <c r="F3299" s="26" t="s">
        <v>2542</v>
      </c>
    </row>
    <row r="3300">
      <c r="A3300" s="27">
        <v>45337.0</v>
      </c>
      <c r="B3300" s="26" t="s">
        <v>5181</v>
      </c>
      <c r="C3300" s="26" t="s">
        <v>255</v>
      </c>
      <c r="D3300" s="26">
        <v>8.0E7</v>
      </c>
      <c r="F3300" s="26" t="s">
        <v>2542</v>
      </c>
    </row>
    <row r="3301">
      <c r="A3301" s="27">
        <v>45337.0</v>
      </c>
      <c r="B3301" s="26" t="s">
        <v>5400</v>
      </c>
      <c r="C3301" s="26" t="s">
        <v>255</v>
      </c>
      <c r="D3301" s="26">
        <v>8012500.0</v>
      </c>
      <c r="F3301" s="26" t="s">
        <v>2542</v>
      </c>
    </row>
    <row r="3302">
      <c r="A3302" s="27">
        <v>45337.0</v>
      </c>
      <c r="B3302" s="26" t="s">
        <v>5181</v>
      </c>
      <c r="C3302" s="28"/>
      <c r="D3302" s="26">
        <v>8.0E7</v>
      </c>
      <c r="F3302" s="26" t="s">
        <v>2542</v>
      </c>
    </row>
    <row r="3303">
      <c r="A3303" s="27">
        <v>45337.0</v>
      </c>
      <c r="B3303" s="26" t="s">
        <v>5401</v>
      </c>
      <c r="C3303" s="26" t="s">
        <v>2561</v>
      </c>
      <c r="D3303" s="26">
        <v>3.0E7</v>
      </c>
      <c r="F3303" s="26" t="s">
        <v>2542</v>
      </c>
      <c r="G3303" s="26">
        <v>331.0</v>
      </c>
    </row>
    <row r="3304">
      <c r="A3304" s="27">
        <v>45337.0</v>
      </c>
      <c r="B3304" s="26" t="s">
        <v>5402</v>
      </c>
      <c r="C3304" s="26" t="s">
        <v>2561</v>
      </c>
      <c r="D3304" s="26">
        <v>1.0E8</v>
      </c>
      <c r="F3304" s="26" t="s">
        <v>2542</v>
      </c>
      <c r="G3304" s="26">
        <v>331.0</v>
      </c>
    </row>
    <row r="3305">
      <c r="A3305" s="27">
        <v>45335.0</v>
      </c>
      <c r="B3305" s="26" t="s">
        <v>5403</v>
      </c>
      <c r="C3305" s="26" t="s">
        <v>255</v>
      </c>
      <c r="D3305" s="26">
        <v>3264000.0</v>
      </c>
      <c r="F3305" s="26" t="s">
        <v>2542</v>
      </c>
    </row>
    <row r="3306">
      <c r="A3306" s="27">
        <v>45330.0</v>
      </c>
      <c r="B3306" s="26" t="s">
        <v>5404</v>
      </c>
      <c r="C3306" s="26" t="s">
        <v>255</v>
      </c>
      <c r="D3306" s="26">
        <v>1650000.0</v>
      </c>
      <c r="F3306" s="26" t="s">
        <v>2542</v>
      </c>
    </row>
    <row r="3307">
      <c r="A3307" s="27">
        <v>45330.0</v>
      </c>
      <c r="B3307" s="26" t="s">
        <v>5405</v>
      </c>
      <c r="C3307" s="26" t="s">
        <v>255</v>
      </c>
      <c r="D3307" s="26">
        <v>1080000.0</v>
      </c>
      <c r="F3307" s="26" t="s">
        <v>2542</v>
      </c>
    </row>
    <row r="3308">
      <c r="A3308" s="27">
        <v>45330.0</v>
      </c>
      <c r="B3308" s="26" t="s">
        <v>5406</v>
      </c>
      <c r="C3308" s="26" t="s">
        <v>255</v>
      </c>
      <c r="D3308" s="26">
        <v>1000000.0</v>
      </c>
      <c r="F3308" s="26" t="s">
        <v>2542</v>
      </c>
    </row>
    <row r="3309">
      <c r="A3309" s="27">
        <v>45330.0</v>
      </c>
      <c r="B3309" s="26" t="s">
        <v>5407</v>
      </c>
      <c r="C3309" s="26" t="s">
        <v>255</v>
      </c>
      <c r="D3309" s="26">
        <v>1080000.0</v>
      </c>
      <c r="F3309" s="26" t="s">
        <v>2542</v>
      </c>
    </row>
    <row r="3310">
      <c r="A3310" s="27">
        <v>45330.0</v>
      </c>
      <c r="B3310" s="26" t="s">
        <v>5408</v>
      </c>
      <c r="C3310" s="26" t="s">
        <v>255</v>
      </c>
      <c r="D3310" s="26">
        <v>7415000.0</v>
      </c>
      <c r="F3310" s="26" t="s">
        <v>2542</v>
      </c>
    </row>
    <row r="3311">
      <c r="A3311" s="27">
        <v>45330.0</v>
      </c>
      <c r="B3311" s="26" t="s">
        <v>5409</v>
      </c>
      <c r="C3311" s="26" t="s">
        <v>255</v>
      </c>
      <c r="D3311" s="26">
        <v>2.9E7</v>
      </c>
      <c r="F3311" s="26" t="s">
        <v>2542</v>
      </c>
    </row>
    <row r="3312">
      <c r="A3312" s="27">
        <v>45330.0</v>
      </c>
      <c r="B3312" s="26" t="s">
        <v>5410</v>
      </c>
      <c r="C3312" s="26" t="s">
        <v>2545</v>
      </c>
      <c r="D3312" s="26">
        <v>9.8E7</v>
      </c>
      <c r="F3312" s="26" t="s">
        <v>2542</v>
      </c>
      <c r="G3312" s="26">
        <v>3341.0</v>
      </c>
    </row>
    <row r="3313">
      <c r="A3313" s="27">
        <v>45330.0</v>
      </c>
      <c r="B3313" s="26" t="s">
        <v>5411</v>
      </c>
      <c r="C3313" s="26" t="s">
        <v>2583</v>
      </c>
      <c r="D3313" s="26">
        <v>2103600.0</v>
      </c>
      <c r="F3313" s="26" t="s">
        <v>2542</v>
      </c>
      <c r="G3313" s="26">
        <v>641.23</v>
      </c>
    </row>
    <row r="3314">
      <c r="A3314" s="27">
        <v>45329.0</v>
      </c>
      <c r="B3314" s="26" t="s">
        <v>5214</v>
      </c>
      <c r="C3314" s="26" t="s">
        <v>255</v>
      </c>
      <c r="D3314" s="26">
        <v>4918750.0</v>
      </c>
      <c r="F3314" s="26" t="s">
        <v>2542</v>
      </c>
    </row>
    <row r="3315">
      <c r="A3315" s="27">
        <v>45329.0</v>
      </c>
      <c r="B3315" s="26" t="s">
        <v>4038</v>
      </c>
      <c r="C3315" s="26" t="s">
        <v>255</v>
      </c>
      <c r="D3315" s="26">
        <v>1.0E7</v>
      </c>
      <c r="F3315" s="26" t="s">
        <v>2542</v>
      </c>
    </row>
    <row r="3316">
      <c r="A3316" s="27">
        <v>45329.0</v>
      </c>
      <c r="B3316" s="26" t="s">
        <v>5412</v>
      </c>
      <c r="C3316" s="26" t="s">
        <v>255</v>
      </c>
      <c r="D3316" s="26">
        <v>7680000.0</v>
      </c>
      <c r="F3316" s="26" t="s">
        <v>2542</v>
      </c>
    </row>
    <row r="3317">
      <c r="A3317" s="27">
        <v>45329.0</v>
      </c>
      <c r="B3317" s="26" t="s">
        <v>5413</v>
      </c>
      <c r="C3317" s="26" t="s">
        <v>255</v>
      </c>
      <c r="D3317" s="26">
        <v>4023000.0</v>
      </c>
      <c r="F3317" s="26" t="s">
        <v>2542</v>
      </c>
    </row>
    <row r="3318">
      <c r="A3318" s="27">
        <v>45329.0</v>
      </c>
      <c r="B3318" s="26" t="s">
        <v>5414</v>
      </c>
      <c r="C3318" s="26" t="s">
        <v>255</v>
      </c>
      <c r="D3318" s="26">
        <v>2960000.0</v>
      </c>
      <c r="F3318" s="26" t="s">
        <v>2542</v>
      </c>
    </row>
    <row r="3319">
      <c r="A3319" s="27">
        <v>45329.0</v>
      </c>
      <c r="B3319" s="26" t="s">
        <v>5415</v>
      </c>
      <c r="C3319" s="26" t="s">
        <v>255</v>
      </c>
      <c r="D3319" s="26">
        <v>1000000.0</v>
      </c>
      <c r="F3319" s="26" t="s">
        <v>2542</v>
      </c>
    </row>
    <row r="3320">
      <c r="A3320" s="27">
        <v>45329.0</v>
      </c>
      <c r="B3320" s="26" t="s">
        <v>5416</v>
      </c>
      <c r="C3320" s="26" t="s">
        <v>255</v>
      </c>
      <c r="D3320" s="26">
        <v>1000000.0</v>
      </c>
      <c r="F3320" s="26" t="s">
        <v>2542</v>
      </c>
    </row>
    <row r="3321">
      <c r="A3321" s="27">
        <v>45329.0</v>
      </c>
      <c r="B3321" s="26" t="s">
        <v>5417</v>
      </c>
      <c r="C3321" s="26" t="s">
        <v>255</v>
      </c>
      <c r="D3321" s="26">
        <v>1000000.0</v>
      </c>
      <c r="F3321" s="26" t="s">
        <v>2542</v>
      </c>
    </row>
    <row r="3322">
      <c r="A3322" s="27">
        <v>45329.0</v>
      </c>
      <c r="B3322" s="26" t="s">
        <v>5418</v>
      </c>
      <c r="C3322" s="26" t="s">
        <v>255</v>
      </c>
      <c r="D3322" s="26">
        <v>2.0E8</v>
      </c>
      <c r="F3322" s="26" t="s">
        <v>2542</v>
      </c>
    </row>
    <row r="3323">
      <c r="A3323" s="27">
        <v>45329.0</v>
      </c>
      <c r="B3323" s="26" t="s">
        <v>5419</v>
      </c>
      <c r="C3323" s="26" t="s">
        <v>2545</v>
      </c>
      <c r="D3323" s="26">
        <v>1.2044E7</v>
      </c>
      <c r="F3323" s="26" t="s">
        <v>2542</v>
      </c>
      <c r="G3323" s="26">
        <v>3341.0</v>
      </c>
    </row>
    <row r="3324">
      <c r="A3324" s="27">
        <v>45329.0</v>
      </c>
      <c r="B3324" s="26" t="s">
        <v>5420</v>
      </c>
      <c r="C3324" s="26" t="s">
        <v>2581</v>
      </c>
      <c r="D3324" s="26">
        <v>3000000.0</v>
      </c>
      <c r="F3324" s="26" t="s">
        <v>2542</v>
      </c>
      <c r="G3324" s="26">
        <v>6422.0</v>
      </c>
    </row>
    <row r="3325">
      <c r="A3325" s="27">
        <v>45329.0</v>
      </c>
      <c r="B3325" s="26" t="s">
        <v>5421</v>
      </c>
      <c r="C3325" s="26" t="s">
        <v>2545</v>
      </c>
      <c r="D3325" s="26">
        <v>1.2E7</v>
      </c>
      <c r="F3325" s="26" t="s">
        <v>2542</v>
      </c>
      <c r="G3325" s="26">
        <v>3341.0</v>
      </c>
    </row>
    <row r="3326">
      <c r="A3326" s="27">
        <v>45329.0</v>
      </c>
      <c r="B3326" s="26" t="s">
        <v>5422</v>
      </c>
      <c r="C3326" s="26" t="s">
        <v>2545</v>
      </c>
      <c r="D3326" s="26">
        <v>2000000.0</v>
      </c>
      <c r="F3326" s="26" t="s">
        <v>2542</v>
      </c>
      <c r="G3326" s="26">
        <v>3341.0</v>
      </c>
    </row>
    <row r="3327">
      <c r="A3327" s="27">
        <v>45329.0</v>
      </c>
      <c r="B3327" s="26" t="s">
        <v>5423</v>
      </c>
      <c r="C3327" s="26" t="s">
        <v>2545</v>
      </c>
      <c r="D3327" s="26">
        <v>2900000.0</v>
      </c>
      <c r="F3327" s="26" t="s">
        <v>2542</v>
      </c>
      <c r="G3327" s="26">
        <v>3341.0</v>
      </c>
    </row>
    <row r="3328">
      <c r="A3328" s="27">
        <v>45329.0</v>
      </c>
      <c r="B3328" s="26" t="s">
        <v>5424</v>
      </c>
      <c r="C3328" s="26" t="s">
        <v>2545</v>
      </c>
      <c r="D3328" s="26">
        <v>3.12E7</v>
      </c>
      <c r="F3328" s="26" t="s">
        <v>2542</v>
      </c>
      <c r="G3328" s="26">
        <v>3341.0</v>
      </c>
    </row>
    <row r="3329">
      <c r="A3329" s="27">
        <v>45329.0</v>
      </c>
      <c r="B3329" s="26" t="s">
        <v>5425</v>
      </c>
      <c r="C3329" s="26" t="s">
        <v>2545</v>
      </c>
      <c r="D3329" s="26">
        <v>1.2E7</v>
      </c>
      <c r="F3329" s="26" t="s">
        <v>2542</v>
      </c>
      <c r="G3329" s="26">
        <v>3341.0</v>
      </c>
    </row>
    <row r="3330">
      <c r="A3330" s="27">
        <v>45329.0</v>
      </c>
      <c r="B3330" s="26" t="s">
        <v>5426</v>
      </c>
      <c r="C3330" s="26" t="s">
        <v>2545</v>
      </c>
      <c r="D3330" s="26">
        <v>2.4E7</v>
      </c>
      <c r="F3330" s="26" t="s">
        <v>2542</v>
      </c>
      <c r="G3330" s="26">
        <v>3341.0</v>
      </c>
    </row>
    <row r="3331">
      <c r="A3331" s="27">
        <v>45329.0</v>
      </c>
      <c r="B3331" s="26" t="s">
        <v>5427</v>
      </c>
      <c r="C3331" s="26" t="s">
        <v>3620</v>
      </c>
      <c r="D3331" s="26">
        <v>3171000.0</v>
      </c>
      <c r="F3331" s="26" t="s">
        <v>2542</v>
      </c>
      <c r="G3331" s="26">
        <v>6428.0</v>
      </c>
    </row>
    <row r="3332">
      <c r="A3332" s="27">
        <v>45329.0</v>
      </c>
      <c r="B3332" s="26" t="s">
        <v>5428</v>
      </c>
      <c r="C3332" s="26" t="s">
        <v>2561</v>
      </c>
      <c r="D3332" s="26">
        <v>5500000.0</v>
      </c>
      <c r="F3332" s="26" t="s">
        <v>2542</v>
      </c>
      <c r="G3332" s="26">
        <v>331.0</v>
      </c>
    </row>
    <row r="3333">
      <c r="A3333" s="27">
        <v>45329.0</v>
      </c>
      <c r="B3333" s="26" t="s">
        <v>5429</v>
      </c>
      <c r="C3333" s="26" t="s">
        <v>2764</v>
      </c>
      <c r="D3333" s="26">
        <v>894000.0</v>
      </c>
      <c r="F3333" s="26" t="s">
        <v>2542</v>
      </c>
      <c r="G3333" s="26">
        <v>6273.0</v>
      </c>
    </row>
    <row r="3334">
      <c r="A3334" s="27">
        <v>45328.0</v>
      </c>
      <c r="B3334" s="26" t="s">
        <v>5430</v>
      </c>
      <c r="C3334" s="26" t="s">
        <v>255</v>
      </c>
      <c r="D3334" s="26">
        <v>9960000.0</v>
      </c>
      <c r="F3334" s="26" t="s">
        <v>2542</v>
      </c>
    </row>
    <row r="3335">
      <c r="A3335" s="27">
        <v>45328.0</v>
      </c>
      <c r="B3335" s="26" t="s">
        <v>5431</v>
      </c>
      <c r="C3335" s="26" t="s">
        <v>255</v>
      </c>
      <c r="D3335" s="26">
        <v>2380000.0</v>
      </c>
      <c r="F3335" s="26" t="s">
        <v>2542</v>
      </c>
    </row>
    <row r="3336">
      <c r="A3336" s="27">
        <v>45328.0</v>
      </c>
      <c r="B3336" s="26" t="s">
        <v>5432</v>
      </c>
      <c r="C3336" s="26" t="s">
        <v>255</v>
      </c>
      <c r="D3336" s="26">
        <v>1310000.0</v>
      </c>
      <c r="F3336" s="26" t="s">
        <v>2542</v>
      </c>
    </row>
    <row r="3337">
      <c r="A3337" s="27">
        <v>45328.0</v>
      </c>
      <c r="B3337" s="26" t="s">
        <v>5231</v>
      </c>
      <c r="C3337" s="26" t="s">
        <v>255</v>
      </c>
      <c r="D3337" s="26">
        <v>2.3373E7</v>
      </c>
      <c r="F3337" s="26" t="s">
        <v>2542</v>
      </c>
    </row>
    <row r="3338">
      <c r="A3338" s="27">
        <v>45328.0</v>
      </c>
      <c r="B3338" s="26" t="s">
        <v>5433</v>
      </c>
      <c r="C3338" s="26" t="s">
        <v>2593</v>
      </c>
      <c r="D3338" s="26">
        <v>2156000.0</v>
      </c>
      <c r="F3338" s="26" t="s">
        <v>2542</v>
      </c>
      <c r="G3338" s="26">
        <v>6423.0</v>
      </c>
    </row>
    <row r="3339">
      <c r="A3339" s="27">
        <v>45327.0</v>
      </c>
      <c r="B3339" s="26" t="s">
        <v>5434</v>
      </c>
      <c r="C3339" s="26" t="s">
        <v>255</v>
      </c>
      <c r="D3339" s="26">
        <v>1.18E7</v>
      </c>
      <c r="F3339" s="26" t="s">
        <v>2542</v>
      </c>
    </row>
    <row r="3340">
      <c r="A3340" s="27">
        <v>45327.0</v>
      </c>
      <c r="B3340" s="26" t="s">
        <v>5373</v>
      </c>
      <c r="C3340" s="26" t="s">
        <v>255</v>
      </c>
      <c r="D3340" s="26">
        <v>3255000.0</v>
      </c>
      <c r="F3340" s="26" t="s">
        <v>2542</v>
      </c>
    </row>
    <row r="3341">
      <c r="A3341" s="27">
        <v>45327.0</v>
      </c>
      <c r="B3341" s="26" t="s">
        <v>5434</v>
      </c>
      <c r="C3341" s="26" t="s">
        <v>2571</v>
      </c>
      <c r="D3341" s="26">
        <v>287000.0</v>
      </c>
      <c r="F3341" s="26" t="s">
        <v>2542</v>
      </c>
      <c r="G3341" s="26">
        <v>641.22</v>
      </c>
    </row>
    <row r="3342">
      <c r="A3342" s="27">
        <v>45326.0</v>
      </c>
      <c r="B3342" s="26" t="s">
        <v>5300</v>
      </c>
      <c r="C3342" s="26" t="s">
        <v>255</v>
      </c>
      <c r="D3342" s="26">
        <v>4838750.0</v>
      </c>
      <c r="F3342" s="26" t="s">
        <v>2542</v>
      </c>
    </row>
    <row r="3343">
      <c r="A3343" s="27">
        <v>45326.0</v>
      </c>
      <c r="B3343" s="26" t="s">
        <v>4691</v>
      </c>
      <c r="C3343" s="26" t="s">
        <v>255</v>
      </c>
      <c r="D3343" s="26">
        <v>2465000.0</v>
      </c>
      <c r="F3343" s="26" t="s">
        <v>2542</v>
      </c>
    </row>
    <row r="3344">
      <c r="A3344" s="27">
        <v>45325.0</v>
      </c>
      <c r="B3344" s="26" t="s">
        <v>4109</v>
      </c>
      <c r="C3344" s="26" t="s">
        <v>255</v>
      </c>
      <c r="D3344" s="26">
        <v>2754250.0</v>
      </c>
      <c r="F3344" s="26" t="s">
        <v>2542</v>
      </c>
    </row>
    <row r="3345">
      <c r="A3345" s="27">
        <v>45325.0</v>
      </c>
      <c r="B3345" s="26" t="s">
        <v>5435</v>
      </c>
      <c r="C3345" s="26" t="s">
        <v>255</v>
      </c>
      <c r="D3345" s="26">
        <v>2760000.0</v>
      </c>
      <c r="F3345" s="26" t="s">
        <v>2542</v>
      </c>
    </row>
    <row r="3346">
      <c r="A3346" s="27">
        <v>45325.0</v>
      </c>
      <c r="B3346" s="26" t="s">
        <v>2968</v>
      </c>
      <c r="C3346" s="26" t="s">
        <v>255</v>
      </c>
      <c r="D3346" s="26">
        <v>1080000.0</v>
      </c>
      <c r="F3346" s="26" t="s">
        <v>2542</v>
      </c>
    </row>
    <row r="3347">
      <c r="A3347" s="27">
        <v>45325.0</v>
      </c>
      <c r="B3347" s="26" t="s">
        <v>5436</v>
      </c>
      <c r="C3347" s="26" t="s">
        <v>255</v>
      </c>
      <c r="D3347" s="26">
        <v>1003000.0</v>
      </c>
      <c r="F3347" s="26" t="s">
        <v>2542</v>
      </c>
    </row>
    <row r="3348">
      <c r="A3348" s="27">
        <v>45325.0</v>
      </c>
      <c r="B3348" s="26" t="s">
        <v>5437</v>
      </c>
      <c r="C3348" s="26" t="s">
        <v>255</v>
      </c>
      <c r="D3348" s="26">
        <v>1200000.0</v>
      </c>
      <c r="F3348" s="26" t="s">
        <v>2542</v>
      </c>
    </row>
    <row r="3349">
      <c r="A3349" s="27">
        <v>45325.0</v>
      </c>
      <c r="B3349" s="26" t="s">
        <v>4134</v>
      </c>
      <c r="C3349" s="26" t="s">
        <v>255</v>
      </c>
      <c r="D3349" s="26">
        <v>1.514E7</v>
      </c>
      <c r="F3349" s="26" t="s">
        <v>2542</v>
      </c>
    </row>
    <row r="3350">
      <c r="A3350" s="27">
        <v>45325.0</v>
      </c>
      <c r="B3350" s="26" t="s">
        <v>5438</v>
      </c>
      <c r="C3350" s="26" t="s">
        <v>255</v>
      </c>
      <c r="D3350" s="26">
        <v>1170000.0</v>
      </c>
      <c r="F3350" s="26" t="s">
        <v>2542</v>
      </c>
    </row>
    <row r="3351">
      <c r="A3351" s="27">
        <v>45325.0</v>
      </c>
      <c r="B3351" s="26" t="s">
        <v>5439</v>
      </c>
      <c r="C3351" s="26" t="s">
        <v>2561</v>
      </c>
      <c r="D3351" s="26" t="s">
        <v>5440</v>
      </c>
      <c r="F3351" s="26" t="s">
        <v>2542</v>
      </c>
      <c r="G3351" s="26">
        <v>632.2</v>
      </c>
    </row>
    <row r="3352">
      <c r="A3352" s="27">
        <v>45325.0</v>
      </c>
      <c r="B3352" s="26" t="s">
        <v>5441</v>
      </c>
      <c r="C3352" s="26" t="s">
        <v>2545</v>
      </c>
      <c r="D3352" s="26">
        <v>1.0E7</v>
      </c>
      <c r="F3352" s="26" t="s">
        <v>2542</v>
      </c>
      <c r="G3352" s="26">
        <v>3341.0</v>
      </c>
    </row>
    <row r="3353">
      <c r="A3353" s="27">
        <v>45325.0</v>
      </c>
      <c r="B3353" s="26" t="s">
        <v>5442</v>
      </c>
      <c r="C3353" s="26" t="s">
        <v>2545</v>
      </c>
      <c r="D3353" s="26">
        <v>1.27E7</v>
      </c>
      <c r="F3353" s="26" t="s">
        <v>2542</v>
      </c>
      <c r="G3353" s="26">
        <v>3341.0</v>
      </c>
    </row>
    <row r="3354">
      <c r="A3354" s="27">
        <v>45325.0</v>
      </c>
      <c r="B3354" s="26" t="s">
        <v>5443</v>
      </c>
      <c r="C3354" s="26" t="s">
        <v>2545</v>
      </c>
      <c r="D3354" s="26">
        <v>1.42E7</v>
      </c>
      <c r="F3354" s="26" t="s">
        <v>2542</v>
      </c>
      <c r="G3354" s="26">
        <v>3341.0</v>
      </c>
    </row>
    <row r="3355">
      <c r="A3355" s="27">
        <v>45325.0</v>
      </c>
      <c r="B3355" s="26" t="s">
        <v>5444</v>
      </c>
      <c r="C3355" s="26" t="s">
        <v>2545</v>
      </c>
      <c r="D3355" s="26">
        <v>1.2292E7</v>
      </c>
      <c r="F3355" s="26" t="s">
        <v>2542</v>
      </c>
      <c r="G3355" s="26">
        <v>3341.0</v>
      </c>
    </row>
    <row r="3356">
      <c r="A3356" s="27">
        <v>45325.0</v>
      </c>
      <c r="B3356" s="26" t="s">
        <v>5445</v>
      </c>
      <c r="C3356" s="26" t="s">
        <v>2545</v>
      </c>
      <c r="D3356" s="26">
        <v>9000000.0</v>
      </c>
      <c r="F3356" s="26" t="s">
        <v>2542</v>
      </c>
      <c r="G3356" s="26">
        <v>3341.0</v>
      </c>
    </row>
    <row r="3357">
      <c r="A3357" s="27">
        <v>45325.0</v>
      </c>
      <c r="B3357" s="26" t="s">
        <v>5425</v>
      </c>
      <c r="C3357" s="26" t="s">
        <v>2545</v>
      </c>
      <c r="D3357" s="26">
        <v>1.02E7</v>
      </c>
      <c r="F3357" s="26" t="s">
        <v>2542</v>
      </c>
      <c r="G3357" s="26">
        <v>3341.0</v>
      </c>
    </row>
    <row r="3358">
      <c r="A3358" s="27">
        <v>45325.0</v>
      </c>
      <c r="B3358" s="26" t="s">
        <v>5446</v>
      </c>
      <c r="C3358" s="26" t="s">
        <v>2545</v>
      </c>
      <c r="D3358" s="26">
        <v>1.2292E7</v>
      </c>
      <c r="F3358" s="26" t="s">
        <v>2542</v>
      </c>
      <c r="G3358" s="26">
        <v>3341.0</v>
      </c>
    </row>
    <row r="3359">
      <c r="A3359" s="27">
        <v>45325.0</v>
      </c>
      <c r="B3359" s="26" t="s">
        <v>5447</v>
      </c>
      <c r="C3359" s="26" t="s">
        <v>2655</v>
      </c>
      <c r="D3359" s="26">
        <v>1800000.0</v>
      </c>
      <c r="F3359" s="26" t="s">
        <v>2542</v>
      </c>
      <c r="G3359" s="26">
        <v>3383.0</v>
      </c>
    </row>
    <row r="3360">
      <c r="A3360" s="27">
        <v>45325.0</v>
      </c>
      <c r="B3360" s="26" t="s">
        <v>5448</v>
      </c>
      <c r="C3360" s="26" t="s">
        <v>2571</v>
      </c>
      <c r="D3360" s="26">
        <v>7029720.0</v>
      </c>
      <c r="F3360" s="26" t="s">
        <v>2542</v>
      </c>
      <c r="G3360" s="26">
        <v>641.12</v>
      </c>
    </row>
    <row r="3361">
      <c r="A3361" s="27">
        <v>45324.0</v>
      </c>
      <c r="B3361" s="26" t="s">
        <v>5449</v>
      </c>
      <c r="C3361" s="26" t="s">
        <v>255</v>
      </c>
      <c r="D3361" s="26">
        <v>3325000.0</v>
      </c>
      <c r="F3361" s="26" t="s">
        <v>2542</v>
      </c>
    </row>
    <row r="3362">
      <c r="A3362" s="27">
        <v>45324.0</v>
      </c>
      <c r="B3362" s="26" t="s">
        <v>5450</v>
      </c>
      <c r="C3362" s="26" t="s">
        <v>255</v>
      </c>
      <c r="D3362" s="26">
        <v>1.6035E7</v>
      </c>
      <c r="F3362" s="26" t="s">
        <v>2542</v>
      </c>
    </row>
    <row r="3363">
      <c r="A3363" s="27">
        <v>45324.0</v>
      </c>
      <c r="B3363" s="26" t="s">
        <v>5451</v>
      </c>
      <c r="C3363" s="26" t="s">
        <v>255</v>
      </c>
      <c r="D3363" s="26">
        <v>7955500.0</v>
      </c>
      <c r="F3363" s="26" t="s">
        <v>2542</v>
      </c>
    </row>
    <row r="3364">
      <c r="A3364" s="27">
        <v>45324.0</v>
      </c>
      <c r="B3364" s="26" t="s">
        <v>5452</v>
      </c>
      <c r="C3364" s="26" t="s">
        <v>255</v>
      </c>
      <c r="D3364" s="26">
        <v>3043000.0</v>
      </c>
      <c r="F3364" s="26" t="s">
        <v>2542</v>
      </c>
    </row>
    <row r="3365">
      <c r="A3365" s="27">
        <v>45324.0</v>
      </c>
      <c r="B3365" s="26" t="s">
        <v>5453</v>
      </c>
      <c r="C3365" s="26" t="s">
        <v>255</v>
      </c>
      <c r="D3365" s="26">
        <v>1980000.0</v>
      </c>
      <c r="F3365" s="26" t="s">
        <v>2542</v>
      </c>
    </row>
    <row r="3366">
      <c r="A3366" s="27">
        <v>45324.0</v>
      </c>
      <c r="B3366" s="26" t="s">
        <v>5454</v>
      </c>
      <c r="C3366" s="26" t="s">
        <v>255</v>
      </c>
      <c r="D3366" s="26">
        <v>5400000.0</v>
      </c>
      <c r="F3366" s="26" t="s">
        <v>2542</v>
      </c>
    </row>
    <row r="3367">
      <c r="A3367" s="27">
        <v>45324.0</v>
      </c>
      <c r="B3367" s="26" t="s">
        <v>5455</v>
      </c>
      <c r="C3367" s="26" t="s">
        <v>255</v>
      </c>
      <c r="D3367" s="26">
        <v>31000.0</v>
      </c>
      <c r="F3367" s="26" t="s">
        <v>2542</v>
      </c>
    </row>
    <row r="3368">
      <c r="A3368" s="27">
        <v>45324.0</v>
      </c>
      <c r="B3368" s="26" t="s">
        <v>5177</v>
      </c>
      <c r="C3368" s="26" t="s">
        <v>2571</v>
      </c>
      <c r="D3368" s="26">
        <v>400000.0</v>
      </c>
      <c r="F3368" s="26" t="s">
        <v>2542</v>
      </c>
      <c r="G3368" s="26">
        <v>641.22</v>
      </c>
    </row>
    <row r="3369">
      <c r="A3369" s="27">
        <v>45323.0</v>
      </c>
      <c r="B3369" s="26" t="s">
        <v>5432</v>
      </c>
      <c r="C3369" s="26" t="s">
        <v>255</v>
      </c>
      <c r="D3369" s="26">
        <v>1200000.0</v>
      </c>
      <c r="F3369" s="26" t="s">
        <v>2542</v>
      </c>
    </row>
    <row r="3370">
      <c r="A3370" s="27">
        <v>45323.0</v>
      </c>
      <c r="B3370" s="26" t="s">
        <v>5151</v>
      </c>
      <c r="C3370" s="26" t="s">
        <v>255</v>
      </c>
      <c r="D3370" s="26">
        <v>2.4475E7</v>
      </c>
      <c r="F3370" s="26" t="s">
        <v>2542</v>
      </c>
    </row>
    <row r="3371">
      <c r="A3371" s="27">
        <v>45323.0</v>
      </c>
      <c r="B3371" s="26" t="s">
        <v>4876</v>
      </c>
      <c r="C3371" s="26" t="s">
        <v>255</v>
      </c>
      <c r="D3371" s="26">
        <v>1080000.0</v>
      </c>
      <c r="F3371" s="26" t="s">
        <v>2542</v>
      </c>
    </row>
    <row r="3372">
      <c r="A3372" s="27">
        <v>45323.0</v>
      </c>
      <c r="B3372" s="26" t="s">
        <v>5237</v>
      </c>
      <c r="C3372" s="26" t="s">
        <v>255</v>
      </c>
      <c r="D3372" s="26">
        <v>1790000.0</v>
      </c>
      <c r="F3372" s="26" t="s">
        <v>2542</v>
      </c>
    </row>
    <row r="3373">
      <c r="A3373" s="27">
        <v>45323.0</v>
      </c>
      <c r="B3373" s="26" t="s">
        <v>5134</v>
      </c>
      <c r="C3373" s="26" t="s">
        <v>255</v>
      </c>
      <c r="D3373" s="26">
        <v>4080000.0</v>
      </c>
      <c r="F3373" s="26" t="s">
        <v>2542</v>
      </c>
    </row>
    <row r="3374">
      <c r="A3374" s="27">
        <v>45323.0</v>
      </c>
      <c r="B3374" s="26" t="s">
        <v>5456</v>
      </c>
      <c r="C3374" s="26" t="s">
        <v>255</v>
      </c>
      <c r="D3374" s="26">
        <v>1790000.0</v>
      </c>
      <c r="F3374" s="26" t="s">
        <v>2542</v>
      </c>
    </row>
    <row r="3375">
      <c r="A3375" s="27">
        <v>45323.0</v>
      </c>
      <c r="B3375" s="26" t="s">
        <v>5457</v>
      </c>
      <c r="C3375" s="26" t="s">
        <v>255</v>
      </c>
      <c r="D3375" s="26">
        <v>1080000.0</v>
      </c>
      <c r="F3375" s="26" t="s">
        <v>2542</v>
      </c>
    </row>
    <row r="3376">
      <c r="A3376" s="27">
        <v>45323.0</v>
      </c>
      <c r="B3376" s="26" t="s">
        <v>5458</v>
      </c>
      <c r="C3376" s="26" t="s">
        <v>255</v>
      </c>
      <c r="D3376" s="26">
        <v>2.9927E7</v>
      </c>
      <c r="F3376" s="26" t="s">
        <v>2542</v>
      </c>
    </row>
    <row r="3377">
      <c r="A3377" s="27">
        <v>45323.0</v>
      </c>
      <c r="B3377" s="26" t="s">
        <v>5459</v>
      </c>
      <c r="C3377" s="26" t="s">
        <v>2545</v>
      </c>
      <c r="D3377" s="26">
        <v>1.0E7</v>
      </c>
      <c r="F3377" s="26" t="s">
        <v>2542</v>
      </c>
      <c r="G3377" s="26">
        <v>3341.0</v>
      </c>
    </row>
    <row r="3378">
      <c r="A3378" s="27">
        <v>45322.0</v>
      </c>
      <c r="B3378" s="26" t="s">
        <v>5460</v>
      </c>
      <c r="C3378" s="26" t="s">
        <v>255</v>
      </c>
      <c r="D3378" s="26">
        <v>2300000.0</v>
      </c>
      <c r="F3378" s="26" t="s">
        <v>2542</v>
      </c>
    </row>
    <row r="3379">
      <c r="A3379" s="27">
        <v>45322.0</v>
      </c>
      <c r="B3379" s="26" t="s">
        <v>5461</v>
      </c>
      <c r="C3379" s="26" t="s">
        <v>255</v>
      </c>
      <c r="D3379" s="26">
        <v>2900000.0</v>
      </c>
      <c r="F3379" s="26" t="s">
        <v>2542</v>
      </c>
    </row>
    <row r="3380">
      <c r="A3380" s="27">
        <v>45322.0</v>
      </c>
      <c r="B3380" s="26" t="s">
        <v>5462</v>
      </c>
      <c r="C3380" s="26" t="s">
        <v>255</v>
      </c>
      <c r="D3380" s="26">
        <v>2808000.0</v>
      </c>
      <c r="F3380" s="26" t="s">
        <v>2542</v>
      </c>
    </row>
    <row r="3381">
      <c r="A3381" s="27">
        <v>45322.0</v>
      </c>
      <c r="B3381" s="26" t="s">
        <v>3089</v>
      </c>
      <c r="C3381" s="26" t="s">
        <v>255</v>
      </c>
      <c r="D3381" s="26">
        <v>972000.0</v>
      </c>
      <c r="F3381" s="26" t="s">
        <v>2542</v>
      </c>
    </row>
    <row r="3382">
      <c r="A3382" s="27">
        <v>45322.0</v>
      </c>
      <c r="B3382" s="26" t="s">
        <v>5463</v>
      </c>
      <c r="C3382" s="26" t="s">
        <v>255</v>
      </c>
      <c r="D3382" s="26">
        <v>9180000.0</v>
      </c>
      <c r="F3382" s="26" t="s">
        <v>2542</v>
      </c>
    </row>
    <row r="3383">
      <c r="A3383" s="27">
        <v>45322.0</v>
      </c>
      <c r="B3383" s="26" t="s">
        <v>2543</v>
      </c>
      <c r="C3383" s="26" t="s">
        <v>255</v>
      </c>
      <c r="D3383" s="26">
        <v>3545.0</v>
      </c>
      <c r="F3383" s="26" t="s">
        <v>2542</v>
      </c>
    </row>
    <row r="3384">
      <c r="A3384" s="27">
        <v>45322.0</v>
      </c>
      <c r="B3384" s="26" t="s">
        <v>5464</v>
      </c>
      <c r="C3384" s="26" t="s">
        <v>4919</v>
      </c>
      <c r="D3384" s="26">
        <v>2.1564385E7</v>
      </c>
      <c r="F3384" s="26" t="s">
        <v>2542</v>
      </c>
      <c r="G3384" s="26">
        <v>6272.0</v>
      </c>
    </row>
    <row r="3385">
      <c r="A3385" s="27">
        <v>45322.0</v>
      </c>
      <c r="B3385" s="26" t="s">
        <v>5465</v>
      </c>
      <c r="C3385" s="26" t="s">
        <v>2581</v>
      </c>
      <c r="D3385" s="26">
        <v>1.975E7</v>
      </c>
      <c r="F3385" s="26" t="s">
        <v>2542</v>
      </c>
      <c r="G3385" s="26">
        <v>6422.0</v>
      </c>
    </row>
    <row r="3386">
      <c r="A3386" s="27">
        <v>45321.0</v>
      </c>
      <c r="B3386" s="26" t="s">
        <v>5466</v>
      </c>
      <c r="C3386" s="26" t="s">
        <v>255</v>
      </c>
      <c r="D3386" s="26">
        <v>3860000.0</v>
      </c>
      <c r="F3386" s="26" t="s">
        <v>2542</v>
      </c>
    </row>
    <row r="3387">
      <c r="A3387" s="27">
        <v>45321.0</v>
      </c>
      <c r="B3387" s="26" t="s">
        <v>5467</v>
      </c>
      <c r="C3387" s="26" t="s">
        <v>255</v>
      </c>
      <c r="D3387" s="26">
        <v>6948480.0</v>
      </c>
      <c r="F3387" s="26" t="s">
        <v>2542</v>
      </c>
    </row>
    <row r="3388">
      <c r="A3388" s="27">
        <v>45321.0</v>
      </c>
      <c r="B3388" s="26" t="s">
        <v>5468</v>
      </c>
      <c r="C3388" s="26" t="s">
        <v>255</v>
      </c>
      <c r="D3388" s="26">
        <v>7663040.0</v>
      </c>
      <c r="F3388" s="26" t="s">
        <v>2542</v>
      </c>
    </row>
    <row r="3389">
      <c r="A3389" s="27">
        <v>45321.0</v>
      </c>
      <c r="B3389" s="26" t="s">
        <v>3109</v>
      </c>
      <c r="C3389" s="28"/>
      <c r="D3389" s="26">
        <v>4.0E7</v>
      </c>
      <c r="F3389" s="26" t="s">
        <v>2542</v>
      </c>
    </row>
    <row r="3390">
      <c r="A3390" s="27">
        <v>45321.0</v>
      </c>
      <c r="B3390" s="26" t="s">
        <v>5469</v>
      </c>
      <c r="C3390" s="26" t="s">
        <v>2583</v>
      </c>
      <c r="D3390" s="26">
        <v>5600000.0</v>
      </c>
      <c r="F3390" s="26" t="s">
        <v>2542</v>
      </c>
      <c r="G3390" s="26">
        <v>641.23</v>
      </c>
    </row>
    <row r="3391">
      <c r="A3391" s="27">
        <v>45321.0</v>
      </c>
      <c r="B3391" s="26" t="s">
        <v>5470</v>
      </c>
      <c r="C3391" s="26" t="s">
        <v>2764</v>
      </c>
      <c r="D3391" s="26">
        <v>3545000.0</v>
      </c>
      <c r="F3391" s="26" t="s">
        <v>2542</v>
      </c>
      <c r="G3391" s="26">
        <v>6273.0</v>
      </c>
    </row>
    <row r="3392">
      <c r="A3392" s="27">
        <v>45321.0</v>
      </c>
      <c r="B3392" s="26" t="s">
        <v>3632</v>
      </c>
      <c r="C3392" s="26" t="s">
        <v>2545</v>
      </c>
      <c r="D3392" s="26">
        <v>5000000.0</v>
      </c>
      <c r="F3392" s="26" t="s">
        <v>2542</v>
      </c>
      <c r="G3392" s="26">
        <v>3341.0</v>
      </c>
    </row>
    <row r="3393">
      <c r="A3393" s="27">
        <v>45320.0</v>
      </c>
      <c r="B3393" s="26" t="s">
        <v>4067</v>
      </c>
      <c r="C3393" s="26" t="s">
        <v>255</v>
      </c>
      <c r="D3393" s="26">
        <v>1998000.0</v>
      </c>
      <c r="F3393" s="26" t="s">
        <v>2542</v>
      </c>
    </row>
    <row r="3394">
      <c r="A3394" s="27">
        <v>45320.0</v>
      </c>
      <c r="B3394" s="26" t="s">
        <v>5471</v>
      </c>
      <c r="C3394" s="26" t="s">
        <v>255</v>
      </c>
      <c r="D3394" s="26">
        <v>1080000.0</v>
      </c>
      <c r="F3394" s="26" t="s">
        <v>2542</v>
      </c>
    </row>
    <row r="3395">
      <c r="A3395" s="27">
        <v>45320.0</v>
      </c>
      <c r="B3395" s="26" t="s">
        <v>5472</v>
      </c>
      <c r="C3395" s="26" t="s">
        <v>2583</v>
      </c>
      <c r="D3395" s="26">
        <v>3240000.0</v>
      </c>
      <c r="F3395" s="26" t="s">
        <v>2542</v>
      </c>
      <c r="G3395" s="26">
        <v>641.23</v>
      </c>
    </row>
    <row r="3396">
      <c r="A3396" s="27">
        <v>45320.0</v>
      </c>
      <c r="B3396" s="26" t="s">
        <v>5473</v>
      </c>
      <c r="C3396" s="26" t="s">
        <v>2561</v>
      </c>
      <c r="D3396" s="26">
        <v>1.35E7</v>
      </c>
      <c r="F3396" s="26" t="s">
        <v>2542</v>
      </c>
      <c r="G3396" s="26">
        <v>331.0</v>
      </c>
    </row>
    <row r="3397">
      <c r="A3397" s="27">
        <v>45319.0</v>
      </c>
      <c r="B3397" s="26" t="s">
        <v>5436</v>
      </c>
      <c r="C3397" s="26" t="s">
        <v>255</v>
      </c>
      <c r="D3397" s="26">
        <v>1836000.0</v>
      </c>
      <c r="F3397" s="26" t="s">
        <v>2542</v>
      </c>
    </row>
    <row r="3398">
      <c r="A3398" s="27">
        <v>45318.0</v>
      </c>
      <c r="B3398" s="26" t="s">
        <v>5474</v>
      </c>
      <c r="C3398" s="26" t="s">
        <v>255</v>
      </c>
      <c r="D3398" s="26">
        <v>1875000.0</v>
      </c>
      <c r="F3398" s="26" t="s">
        <v>2542</v>
      </c>
    </row>
    <row r="3399">
      <c r="A3399" s="27">
        <v>45317.0</v>
      </c>
      <c r="B3399" s="26" t="s">
        <v>5475</v>
      </c>
      <c r="C3399" s="26" t="s">
        <v>255</v>
      </c>
      <c r="D3399" s="26">
        <v>2160000.0</v>
      </c>
      <c r="F3399" s="26" t="s">
        <v>2542</v>
      </c>
    </row>
    <row r="3400">
      <c r="A3400" s="27">
        <v>45317.0</v>
      </c>
      <c r="B3400" s="26" t="s">
        <v>5476</v>
      </c>
      <c r="C3400" s="26" t="s">
        <v>2593</v>
      </c>
      <c r="D3400" s="26">
        <v>1240000.0</v>
      </c>
      <c r="F3400" s="26" t="s">
        <v>2542</v>
      </c>
      <c r="G3400" s="26">
        <v>6423.0</v>
      </c>
    </row>
    <row r="3401">
      <c r="A3401" s="27">
        <v>45316.0</v>
      </c>
      <c r="B3401" s="26" t="s">
        <v>5477</v>
      </c>
      <c r="C3401" s="26" t="s">
        <v>255</v>
      </c>
      <c r="D3401" s="26">
        <v>5186000.0</v>
      </c>
      <c r="F3401" s="26" t="s">
        <v>2542</v>
      </c>
    </row>
    <row r="3402">
      <c r="A3402" s="27">
        <v>45316.0</v>
      </c>
      <c r="B3402" s="26" t="s">
        <v>5478</v>
      </c>
      <c r="C3402" s="26" t="s">
        <v>255</v>
      </c>
      <c r="D3402" s="26">
        <v>2160000.0</v>
      </c>
      <c r="F3402" s="26" t="s">
        <v>2542</v>
      </c>
    </row>
    <row r="3403">
      <c r="A3403" s="27">
        <v>45316.0</v>
      </c>
      <c r="B3403" s="26" t="s">
        <v>5479</v>
      </c>
      <c r="C3403" s="26" t="s">
        <v>255</v>
      </c>
      <c r="D3403" s="26">
        <v>1080000.0</v>
      </c>
      <c r="F3403" s="26" t="s">
        <v>2542</v>
      </c>
    </row>
    <row r="3404">
      <c r="A3404" s="27">
        <v>45316.0</v>
      </c>
      <c r="B3404" s="26" t="s">
        <v>5480</v>
      </c>
      <c r="C3404" s="26" t="s">
        <v>255</v>
      </c>
      <c r="D3404" s="26">
        <v>3396500.0</v>
      </c>
      <c r="F3404" s="26" t="s">
        <v>2542</v>
      </c>
    </row>
    <row r="3405">
      <c r="A3405" s="27">
        <v>45316.0</v>
      </c>
      <c r="B3405" s="26" t="s">
        <v>5481</v>
      </c>
      <c r="C3405" s="26" t="s">
        <v>255</v>
      </c>
      <c r="D3405" s="26">
        <v>1875000.0</v>
      </c>
      <c r="F3405" s="26" t="s">
        <v>2542</v>
      </c>
    </row>
    <row r="3406">
      <c r="A3406" s="27">
        <v>45316.0</v>
      </c>
      <c r="B3406" s="26" t="s">
        <v>5482</v>
      </c>
      <c r="C3406" s="26" t="s">
        <v>255</v>
      </c>
      <c r="D3406" s="26">
        <v>6511000.0</v>
      </c>
      <c r="F3406" s="26" t="s">
        <v>2542</v>
      </c>
    </row>
    <row r="3407">
      <c r="A3407" s="27">
        <v>45316.0</v>
      </c>
      <c r="B3407" s="26" t="s">
        <v>5483</v>
      </c>
      <c r="C3407" s="26" t="s">
        <v>255</v>
      </c>
      <c r="D3407" s="26">
        <v>1.0148E7</v>
      </c>
      <c r="F3407" s="26" t="s">
        <v>2542</v>
      </c>
    </row>
    <row r="3408">
      <c r="A3408" s="27">
        <v>45315.0</v>
      </c>
      <c r="B3408" s="26" t="s">
        <v>5484</v>
      </c>
      <c r="C3408" s="26" t="s">
        <v>255</v>
      </c>
      <c r="D3408" s="26">
        <v>918000.0</v>
      </c>
      <c r="F3408" s="26" t="s">
        <v>2542</v>
      </c>
    </row>
    <row r="3409">
      <c r="A3409" s="27">
        <v>45315.0</v>
      </c>
      <c r="B3409" s="26" t="s">
        <v>2586</v>
      </c>
      <c r="C3409" s="26" t="s">
        <v>255</v>
      </c>
      <c r="D3409" s="26">
        <v>5163.0</v>
      </c>
      <c r="F3409" s="26" t="s">
        <v>2542</v>
      </c>
    </row>
    <row r="3410">
      <c r="A3410" s="27">
        <v>45315.0</v>
      </c>
      <c r="B3410" s="26" t="s">
        <v>5485</v>
      </c>
      <c r="C3410" s="26" t="s">
        <v>255</v>
      </c>
      <c r="D3410" s="26">
        <v>1670000.0</v>
      </c>
      <c r="F3410" s="26" t="s">
        <v>2542</v>
      </c>
    </row>
    <row r="3411">
      <c r="A3411" s="27">
        <v>45314.0</v>
      </c>
      <c r="B3411" s="26" t="s">
        <v>5486</v>
      </c>
      <c r="C3411" s="26" t="s">
        <v>255</v>
      </c>
      <c r="D3411" s="26">
        <v>1595000.0</v>
      </c>
      <c r="F3411" s="26" t="s">
        <v>2542</v>
      </c>
    </row>
    <row r="3412">
      <c r="A3412" s="27">
        <v>45314.0</v>
      </c>
      <c r="B3412" s="26" t="s">
        <v>5487</v>
      </c>
      <c r="C3412" s="26" t="s">
        <v>255</v>
      </c>
      <c r="D3412" s="26">
        <v>1595000.0</v>
      </c>
      <c r="F3412" s="26" t="s">
        <v>2542</v>
      </c>
    </row>
    <row r="3413">
      <c r="A3413" s="27">
        <v>45314.0</v>
      </c>
      <c r="B3413" s="26" t="s">
        <v>5488</v>
      </c>
      <c r="C3413" s="26" t="s">
        <v>2564</v>
      </c>
      <c r="D3413" s="26" t="s">
        <v>4581</v>
      </c>
      <c r="F3413" s="26" t="s">
        <v>2542</v>
      </c>
      <c r="G3413" s="26">
        <v>3339.0</v>
      </c>
    </row>
    <row r="3414">
      <c r="A3414" s="27">
        <v>45314.0</v>
      </c>
      <c r="B3414" s="26" t="s">
        <v>5489</v>
      </c>
      <c r="C3414" s="26" t="s">
        <v>254</v>
      </c>
      <c r="D3414" s="26">
        <v>1082400.0</v>
      </c>
      <c r="F3414" s="26" t="s">
        <v>2542</v>
      </c>
      <c r="G3414" s="26">
        <v>711.0</v>
      </c>
    </row>
    <row r="3415">
      <c r="A3415" s="27">
        <v>45313.0</v>
      </c>
      <c r="B3415" s="26" t="s">
        <v>5490</v>
      </c>
      <c r="C3415" s="26" t="s">
        <v>255</v>
      </c>
      <c r="D3415" s="26">
        <v>4658000.0</v>
      </c>
      <c r="F3415" s="26" t="s">
        <v>2542</v>
      </c>
    </row>
    <row r="3416">
      <c r="A3416" s="27">
        <v>45313.0</v>
      </c>
      <c r="B3416" s="26" t="s">
        <v>5491</v>
      </c>
      <c r="C3416" s="26" t="s">
        <v>2583</v>
      </c>
      <c r="D3416" s="26">
        <v>9665400.0</v>
      </c>
      <c r="F3416" s="26" t="s">
        <v>2542</v>
      </c>
      <c r="G3416" s="26">
        <v>641.37</v>
      </c>
    </row>
    <row r="3417">
      <c r="A3417" s="27">
        <v>45313.0</v>
      </c>
      <c r="B3417" s="26" t="s">
        <v>5492</v>
      </c>
      <c r="C3417" s="26" t="s">
        <v>2545</v>
      </c>
      <c r="D3417" s="26">
        <v>5000000.0</v>
      </c>
      <c r="F3417" s="26" t="s">
        <v>2542</v>
      </c>
      <c r="G3417" s="26">
        <v>3341.0</v>
      </c>
    </row>
    <row r="3418">
      <c r="A3418" s="27">
        <v>45311.0</v>
      </c>
      <c r="B3418" s="26" t="s">
        <v>5493</v>
      </c>
      <c r="C3418" s="26" t="s">
        <v>255</v>
      </c>
      <c r="D3418" s="26">
        <v>644900.0</v>
      </c>
      <c r="F3418" s="26" t="s">
        <v>2542</v>
      </c>
    </row>
    <row r="3419">
      <c r="A3419" s="27">
        <v>45310.0</v>
      </c>
      <c r="B3419" s="26" t="s">
        <v>5399</v>
      </c>
      <c r="C3419" s="26" t="s">
        <v>255</v>
      </c>
      <c r="D3419" s="26">
        <v>1080000.0</v>
      </c>
      <c r="F3419" s="26" t="s">
        <v>2542</v>
      </c>
    </row>
    <row r="3420">
      <c r="A3420" s="27">
        <v>45309.0</v>
      </c>
      <c r="B3420" s="26" t="s">
        <v>5494</v>
      </c>
      <c r="C3420" s="26" t="s">
        <v>255</v>
      </c>
      <c r="D3420" s="26">
        <v>1.795E7</v>
      </c>
      <c r="F3420" s="26" t="s">
        <v>2542</v>
      </c>
    </row>
    <row r="3421">
      <c r="A3421" s="27">
        <v>45308.0</v>
      </c>
      <c r="B3421" s="26" t="s">
        <v>5495</v>
      </c>
      <c r="C3421" s="26" t="s">
        <v>255</v>
      </c>
      <c r="D3421" s="26">
        <v>1.35E7</v>
      </c>
      <c r="F3421" s="26" t="s">
        <v>2542</v>
      </c>
    </row>
    <row r="3422">
      <c r="A3422" s="27">
        <v>45308.0</v>
      </c>
      <c r="B3422" s="26" t="s">
        <v>5282</v>
      </c>
      <c r="C3422" s="26" t="s">
        <v>255</v>
      </c>
      <c r="D3422" s="26">
        <v>2.0079499E7</v>
      </c>
      <c r="F3422" s="26" t="s">
        <v>2542</v>
      </c>
    </row>
    <row r="3423">
      <c r="A3423" s="27">
        <v>45308.0</v>
      </c>
      <c r="B3423" s="26" t="s">
        <v>3109</v>
      </c>
      <c r="C3423" s="28"/>
      <c r="D3423" s="26">
        <v>8.0E7</v>
      </c>
      <c r="F3423" s="26" t="s">
        <v>2542</v>
      </c>
    </row>
    <row r="3424">
      <c r="A3424" s="27">
        <v>45308.0</v>
      </c>
      <c r="B3424" s="26" t="s">
        <v>5402</v>
      </c>
      <c r="C3424" s="26" t="s">
        <v>2561</v>
      </c>
      <c r="D3424" s="26">
        <v>1.0E8</v>
      </c>
      <c r="F3424" s="26" t="s">
        <v>2542</v>
      </c>
      <c r="G3424" s="26">
        <v>331.0</v>
      </c>
    </row>
    <row r="3425">
      <c r="A3425" s="27">
        <v>45308.0</v>
      </c>
      <c r="B3425" s="26" t="s">
        <v>5496</v>
      </c>
      <c r="C3425" s="26" t="s">
        <v>2561</v>
      </c>
      <c r="D3425" s="26">
        <v>6679800.0</v>
      </c>
      <c r="F3425" s="26" t="s">
        <v>2542</v>
      </c>
      <c r="G3425" s="26">
        <v>331.0</v>
      </c>
    </row>
    <row r="3426">
      <c r="A3426" s="27">
        <v>45307.0</v>
      </c>
      <c r="B3426" s="26" t="s">
        <v>5497</v>
      </c>
      <c r="C3426" s="26" t="s">
        <v>255</v>
      </c>
      <c r="D3426" s="26">
        <v>7155000.0</v>
      </c>
      <c r="F3426" s="26" t="s">
        <v>2542</v>
      </c>
    </row>
    <row r="3427">
      <c r="A3427" s="27">
        <v>45307.0</v>
      </c>
      <c r="B3427" s="26" t="s">
        <v>5498</v>
      </c>
      <c r="C3427" s="26" t="s">
        <v>255</v>
      </c>
      <c r="D3427" s="26">
        <v>2379880.0</v>
      </c>
      <c r="F3427" s="26" t="s">
        <v>2542</v>
      </c>
    </row>
    <row r="3428">
      <c r="A3428" s="27">
        <v>45307.0</v>
      </c>
      <c r="B3428" s="26" t="s">
        <v>5499</v>
      </c>
      <c r="C3428" s="26" t="s">
        <v>2561</v>
      </c>
      <c r="D3428" s="26">
        <v>9867000.0</v>
      </c>
      <c r="F3428" s="26" t="s">
        <v>2542</v>
      </c>
      <c r="G3428" s="26">
        <v>331.0</v>
      </c>
    </row>
    <row r="3429">
      <c r="A3429" s="27">
        <v>45306.0</v>
      </c>
      <c r="B3429" s="26" t="s">
        <v>5500</v>
      </c>
      <c r="C3429" s="26" t="s">
        <v>255</v>
      </c>
      <c r="D3429" s="26">
        <v>1450000.0</v>
      </c>
      <c r="F3429" s="26" t="s">
        <v>2542</v>
      </c>
    </row>
    <row r="3430">
      <c r="A3430" s="27">
        <v>45306.0</v>
      </c>
      <c r="B3430" s="26" t="s">
        <v>5214</v>
      </c>
      <c r="C3430" s="26" t="s">
        <v>255</v>
      </c>
      <c r="D3430" s="26">
        <v>5943750.0</v>
      </c>
      <c r="F3430" s="26" t="s">
        <v>2542</v>
      </c>
    </row>
    <row r="3431">
      <c r="A3431" s="27">
        <v>45306.0</v>
      </c>
      <c r="B3431" s="26" t="s">
        <v>5501</v>
      </c>
      <c r="C3431" s="26" t="s">
        <v>255</v>
      </c>
      <c r="D3431" s="26">
        <v>1875000.0</v>
      </c>
      <c r="F3431" s="26" t="s">
        <v>2542</v>
      </c>
    </row>
    <row r="3432">
      <c r="A3432" s="27">
        <v>45306.0</v>
      </c>
      <c r="B3432" s="26" t="s">
        <v>5502</v>
      </c>
      <c r="C3432" s="26" t="s">
        <v>255</v>
      </c>
      <c r="D3432" s="26">
        <v>1080000.0</v>
      </c>
      <c r="F3432" s="26" t="s">
        <v>2542</v>
      </c>
    </row>
    <row r="3433">
      <c r="A3433" s="27">
        <v>45306.0</v>
      </c>
      <c r="B3433" s="26" t="s">
        <v>5503</v>
      </c>
      <c r="C3433" s="26" t="s">
        <v>255</v>
      </c>
      <c r="D3433" s="26">
        <v>1080000.0</v>
      </c>
      <c r="F3433" s="26" t="s">
        <v>2542</v>
      </c>
    </row>
    <row r="3434">
      <c r="A3434" s="27">
        <v>45306.0</v>
      </c>
      <c r="B3434" s="26" t="s">
        <v>5504</v>
      </c>
      <c r="C3434" s="26" t="s">
        <v>255</v>
      </c>
      <c r="D3434" s="26">
        <v>2738000.0</v>
      </c>
      <c r="F3434" s="26" t="s">
        <v>2542</v>
      </c>
    </row>
    <row r="3435">
      <c r="A3435" s="27">
        <v>45306.0</v>
      </c>
      <c r="B3435" s="26" t="s">
        <v>5505</v>
      </c>
      <c r="C3435" s="26" t="s">
        <v>255</v>
      </c>
      <c r="D3435" s="26">
        <v>1080000.0</v>
      </c>
      <c r="F3435" s="26" t="s">
        <v>2542</v>
      </c>
    </row>
    <row r="3436">
      <c r="A3436" s="27">
        <v>45306.0</v>
      </c>
      <c r="B3436" s="26" t="s">
        <v>5506</v>
      </c>
      <c r="C3436" s="26" t="s">
        <v>255</v>
      </c>
      <c r="D3436" s="26">
        <v>1080000.0</v>
      </c>
      <c r="F3436" s="26" t="s">
        <v>2542</v>
      </c>
    </row>
    <row r="3437">
      <c r="A3437" s="27">
        <v>45306.0</v>
      </c>
      <c r="B3437" s="26" t="s">
        <v>5507</v>
      </c>
      <c r="C3437" s="26" t="s">
        <v>255</v>
      </c>
      <c r="D3437" s="26">
        <v>2958000.0</v>
      </c>
      <c r="F3437" s="26" t="s">
        <v>2542</v>
      </c>
    </row>
    <row r="3438">
      <c r="A3438" s="27">
        <v>45306.0</v>
      </c>
      <c r="B3438" s="26" t="s">
        <v>5508</v>
      </c>
      <c r="C3438" s="26" t="s">
        <v>255</v>
      </c>
      <c r="D3438" s="26">
        <v>1080000.0</v>
      </c>
      <c r="F3438" s="26" t="s">
        <v>2542</v>
      </c>
    </row>
    <row r="3439">
      <c r="A3439" s="27">
        <v>45306.0</v>
      </c>
      <c r="B3439" s="26" t="s">
        <v>5509</v>
      </c>
      <c r="C3439" s="26" t="s">
        <v>2561</v>
      </c>
      <c r="D3439" s="26">
        <v>7938000.0</v>
      </c>
      <c r="F3439" s="26" t="s">
        <v>2542</v>
      </c>
      <c r="G3439" s="26">
        <v>331.0</v>
      </c>
    </row>
    <row r="3440">
      <c r="A3440" s="27">
        <v>45304.0</v>
      </c>
      <c r="B3440" s="26" t="s">
        <v>5510</v>
      </c>
      <c r="C3440" s="26" t="s">
        <v>255</v>
      </c>
      <c r="D3440" s="26">
        <v>1290000.0</v>
      </c>
      <c r="F3440" s="26" t="s">
        <v>2542</v>
      </c>
    </row>
    <row r="3441">
      <c r="A3441" s="27">
        <v>45304.0</v>
      </c>
      <c r="B3441" s="26" t="s">
        <v>4134</v>
      </c>
      <c r="C3441" s="26" t="s">
        <v>255</v>
      </c>
      <c r="D3441" s="26">
        <v>7500000.0</v>
      </c>
      <c r="F3441" s="26" t="s">
        <v>2542</v>
      </c>
    </row>
    <row r="3442">
      <c r="A3442" s="27">
        <v>45303.0</v>
      </c>
      <c r="B3442" s="26" t="s">
        <v>5511</v>
      </c>
      <c r="C3442" s="26" t="s">
        <v>255</v>
      </c>
      <c r="D3442" s="26">
        <v>2812500.0</v>
      </c>
      <c r="F3442" s="26" t="s">
        <v>2542</v>
      </c>
    </row>
    <row r="3443">
      <c r="A3443" s="27">
        <v>45303.0</v>
      </c>
      <c r="B3443" s="26" t="s">
        <v>5512</v>
      </c>
      <c r="C3443" s="26" t="s">
        <v>255</v>
      </c>
      <c r="D3443" s="26">
        <v>3094000.0</v>
      </c>
      <c r="F3443" s="26" t="s">
        <v>2542</v>
      </c>
    </row>
    <row r="3444">
      <c r="A3444" s="27">
        <v>45303.0</v>
      </c>
      <c r="B3444" s="26" t="s">
        <v>5399</v>
      </c>
      <c r="C3444" s="26" t="s">
        <v>255</v>
      </c>
      <c r="D3444" s="26">
        <v>2160000.0</v>
      </c>
      <c r="F3444" s="26" t="s">
        <v>2542</v>
      </c>
    </row>
    <row r="3445">
      <c r="A3445" s="27">
        <v>45303.0</v>
      </c>
      <c r="B3445" s="26" t="s">
        <v>5513</v>
      </c>
      <c r="C3445" s="26" t="s">
        <v>2764</v>
      </c>
      <c r="D3445" s="26">
        <v>518400.0</v>
      </c>
      <c r="F3445" s="26" t="s">
        <v>2542</v>
      </c>
      <c r="G3445" s="26">
        <v>6273.0</v>
      </c>
    </row>
    <row r="3446">
      <c r="A3446" s="27">
        <v>45302.0</v>
      </c>
      <c r="B3446" s="26" t="s">
        <v>5514</v>
      </c>
      <c r="C3446" s="26" t="s">
        <v>255</v>
      </c>
      <c r="D3446" s="26">
        <v>1080000.0</v>
      </c>
      <c r="F3446" s="26" t="s">
        <v>2542</v>
      </c>
    </row>
    <row r="3447">
      <c r="A3447" s="27">
        <v>45302.0</v>
      </c>
      <c r="B3447" s="26" t="s">
        <v>5515</v>
      </c>
      <c r="C3447" s="26" t="s">
        <v>255</v>
      </c>
      <c r="D3447" s="26">
        <v>1770000.0</v>
      </c>
      <c r="F3447" s="26" t="s">
        <v>2542</v>
      </c>
    </row>
    <row r="3448">
      <c r="A3448" s="27">
        <v>45302.0</v>
      </c>
      <c r="B3448" s="26" t="s">
        <v>5516</v>
      </c>
      <c r="C3448" s="26" t="s">
        <v>255</v>
      </c>
      <c r="D3448" s="26">
        <v>2.15017E7</v>
      </c>
      <c r="F3448" s="26" t="s">
        <v>2542</v>
      </c>
    </row>
    <row r="3449">
      <c r="A3449" s="27">
        <v>45302.0</v>
      </c>
      <c r="B3449" s="26" t="s">
        <v>3109</v>
      </c>
      <c r="C3449" s="28"/>
      <c r="D3449" s="26">
        <v>5.0E7</v>
      </c>
      <c r="F3449" s="26" t="s">
        <v>2542</v>
      </c>
    </row>
    <row r="3450">
      <c r="A3450" s="27">
        <v>45301.0</v>
      </c>
      <c r="B3450" s="26" t="s">
        <v>4835</v>
      </c>
      <c r="C3450" s="26" t="s">
        <v>255</v>
      </c>
      <c r="D3450" s="26">
        <v>1.288E7</v>
      </c>
      <c r="F3450" s="26" t="s">
        <v>2542</v>
      </c>
    </row>
    <row r="3451">
      <c r="A3451" s="27">
        <v>45301.0</v>
      </c>
      <c r="B3451" s="26" t="s">
        <v>5412</v>
      </c>
      <c r="C3451" s="26" t="s">
        <v>255</v>
      </c>
      <c r="D3451" s="26">
        <v>1.6044E7</v>
      </c>
      <c r="F3451" s="26" t="s">
        <v>2542</v>
      </c>
    </row>
    <row r="3452">
      <c r="A3452" s="27">
        <v>45301.0</v>
      </c>
      <c r="B3452" s="26" t="s">
        <v>3109</v>
      </c>
      <c r="C3452" s="28"/>
      <c r="D3452" s="26">
        <v>1.0E7</v>
      </c>
      <c r="F3452" s="26" t="s">
        <v>2542</v>
      </c>
    </row>
    <row r="3453">
      <c r="A3453" s="27">
        <v>45301.0</v>
      </c>
      <c r="B3453" s="26" t="s">
        <v>5517</v>
      </c>
      <c r="C3453" s="26" t="s">
        <v>2571</v>
      </c>
      <c r="D3453" s="26">
        <v>450000.0</v>
      </c>
      <c r="F3453" s="26" t="s">
        <v>2542</v>
      </c>
      <c r="G3453" s="26">
        <v>641.22</v>
      </c>
    </row>
    <row r="3454">
      <c r="A3454" s="27">
        <v>45301.0</v>
      </c>
      <c r="B3454" s="26" t="s">
        <v>5518</v>
      </c>
      <c r="C3454" s="26" t="s">
        <v>2583</v>
      </c>
      <c r="D3454" s="26">
        <v>3750000.0</v>
      </c>
      <c r="F3454" s="26" t="s">
        <v>2542</v>
      </c>
      <c r="G3454" s="26">
        <v>641.14</v>
      </c>
    </row>
    <row r="3455">
      <c r="A3455" s="27">
        <v>45301.0</v>
      </c>
      <c r="B3455" s="26" t="s">
        <v>5519</v>
      </c>
      <c r="C3455" s="26" t="s">
        <v>2583</v>
      </c>
      <c r="D3455" s="26">
        <v>244000.0</v>
      </c>
      <c r="F3455" s="26" t="s">
        <v>2542</v>
      </c>
      <c r="G3455" s="26">
        <v>641.27</v>
      </c>
    </row>
    <row r="3456">
      <c r="A3456" s="27">
        <v>45301.0</v>
      </c>
      <c r="B3456" s="26" t="s">
        <v>5520</v>
      </c>
      <c r="C3456" s="26" t="s">
        <v>2545</v>
      </c>
      <c r="D3456" s="26">
        <v>2.5E7</v>
      </c>
      <c r="F3456" s="26" t="s">
        <v>2542</v>
      </c>
      <c r="G3456" s="26">
        <v>3341.0</v>
      </c>
    </row>
    <row r="3457">
      <c r="A3457" s="27">
        <v>45301.0</v>
      </c>
      <c r="B3457" s="26" t="s">
        <v>5521</v>
      </c>
      <c r="C3457" s="26" t="s">
        <v>2561</v>
      </c>
      <c r="D3457" s="26">
        <v>3.3585E7</v>
      </c>
      <c r="F3457" s="26" t="s">
        <v>2542</v>
      </c>
      <c r="G3457" s="26">
        <v>331.0</v>
      </c>
    </row>
    <row r="3458">
      <c r="A3458" s="27">
        <v>45300.0</v>
      </c>
      <c r="B3458" s="26" t="s">
        <v>5522</v>
      </c>
      <c r="C3458" s="26" t="s">
        <v>255</v>
      </c>
      <c r="D3458" s="26">
        <v>3452500.0</v>
      </c>
      <c r="F3458" s="26" t="s">
        <v>2542</v>
      </c>
    </row>
    <row r="3459">
      <c r="A3459" s="27">
        <v>45300.0</v>
      </c>
      <c r="B3459" s="26" t="s">
        <v>5523</v>
      </c>
      <c r="C3459" s="26" t="s">
        <v>2561</v>
      </c>
      <c r="D3459" s="26">
        <v>2.0791188E7</v>
      </c>
      <c r="F3459" s="26" t="s">
        <v>2542</v>
      </c>
      <c r="G3459" s="26">
        <v>331.0</v>
      </c>
    </row>
    <row r="3460">
      <c r="A3460" s="27">
        <v>45299.0</v>
      </c>
      <c r="B3460" s="26" t="s">
        <v>5438</v>
      </c>
      <c r="C3460" s="26" t="s">
        <v>255</v>
      </c>
      <c r="D3460" s="26">
        <v>1500000.0</v>
      </c>
      <c r="F3460" s="26" t="s">
        <v>2542</v>
      </c>
    </row>
    <row r="3461">
      <c r="A3461" s="27">
        <v>45299.0</v>
      </c>
      <c r="B3461" s="26" t="s">
        <v>5524</v>
      </c>
      <c r="C3461" s="26" t="s">
        <v>255</v>
      </c>
      <c r="D3461" s="26">
        <v>1080000.0</v>
      </c>
      <c r="F3461" s="26" t="s">
        <v>2542</v>
      </c>
    </row>
    <row r="3462">
      <c r="A3462" s="27">
        <v>45299.0</v>
      </c>
      <c r="B3462" s="26" t="s">
        <v>5525</v>
      </c>
      <c r="C3462" s="26" t="s">
        <v>255</v>
      </c>
      <c r="D3462" s="26">
        <v>5670000.0</v>
      </c>
      <c r="F3462" s="26" t="s">
        <v>2542</v>
      </c>
    </row>
    <row r="3463">
      <c r="A3463" s="27">
        <v>45299.0</v>
      </c>
      <c r="B3463" s="26" t="s">
        <v>5526</v>
      </c>
      <c r="C3463" s="26" t="s">
        <v>255</v>
      </c>
      <c r="D3463" s="26">
        <v>675000.0</v>
      </c>
      <c r="F3463" s="26" t="s">
        <v>2542</v>
      </c>
    </row>
    <row r="3464">
      <c r="A3464" s="27">
        <v>45299.0</v>
      </c>
      <c r="B3464" s="26" t="s">
        <v>5527</v>
      </c>
      <c r="C3464" s="26" t="s">
        <v>255</v>
      </c>
      <c r="D3464" s="26">
        <v>1080000.0</v>
      </c>
      <c r="F3464" s="26" t="s">
        <v>2542</v>
      </c>
    </row>
    <row r="3465">
      <c r="A3465" s="27">
        <v>45299.0</v>
      </c>
      <c r="B3465" s="26" t="s">
        <v>3109</v>
      </c>
      <c r="C3465" s="28"/>
      <c r="D3465" s="26">
        <v>5.0E7</v>
      </c>
      <c r="F3465" s="26" t="s">
        <v>2542</v>
      </c>
    </row>
    <row r="3466">
      <c r="A3466" s="27">
        <v>45299.0</v>
      </c>
      <c r="B3466" s="26" t="s">
        <v>5528</v>
      </c>
      <c r="C3466" s="26" t="s">
        <v>2561</v>
      </c>
      <c r="D3466" s="26">
        <v>1.5E7</v>
      </c>
      <c r="F3466" s="26" t="s">
        <v>2542</v>
      </c>
      <c r="G3466" s="26">
        <v>331.0</v>
      </c>
    </row>
    <row r="3467">
      <c r="A3467" s="27">
        <v>45299.0</v>
      </c>
      <c r="B3467" s="26" t="s">
        <v>5529</v>
      </c>
      <c r="C3467" s="26" t="s">
        <v>2561</v>
      </c>
      <c r="D3467" s="26">
        <v>3.06504E7</v>
      </c>
      <c r="F3467" s="26" t="s">
        <v>2542</v>
      </c>
      <c r="G3467" s="26">
        <v>331.0</v>
      </c>
    </row>
    <row r="3468">
      <c r="A3468" s="27">
        <v>45298.0</v>
      </c>
      <c r="B3468" s="26" t="s">
        <v>5530</v>
      </c>
      <c r="C3468" s="26" t="s">
        <v>255</v>
      </c>
      <c r="D3468" s="26">
        <v>3325000.0</v>
      </c>
      <c r="F3468" s="26" t="s">
        <v>2542</v>
      </c>
    </row>
    <row r="3469">
      <c r="A3469" s="27">
        <v>45298.0</v>
      </c>
      <c r="B3469" s="26" t="s">
        <v>4038</v>
      </c>
      <c r="C3469" s="26" t="s">
        <v>255</v>
      </c>
      <c r="D3469" s="26">
        <v>1.0E7</v>
      </c>
      <c r="F3469" s="26" t="s">
        <v>2542</v>
      </c>
    </row>
    <row r="3470">
      <c r="A3470" s="27">
        <v>45298.0</v>
      </c>
      <c r="B3470" s="26" t="s">
        <v>5531</v>
      </c>
      <c r="C3470" s="26" t="s">
        <v>2545</v>
      </c>
      <c r="D3470" s="26">
        <v>2.4E7</v>
      </c>
      <c r="F3470" s="26" t="s">
        <v>2542</v>
      </c>
      <c r="G3470" s="26">
        <v>3341.0</v>
      </c>
    </row>
    <row r="3471">
      <c r="A3471" s="27">
        <v>45298.0</v>
      </c>
      <c r="B3471" s="26" t="s">
        <v>5532</v>
      </c>
      <c r="C3471" s="26" t="s">
        <v>2545</v>
      </c>
      <c r="D3471" s="26">
        <v>2.0918E7</v>
      </c>
      <c r="F3471" s="26" t="s">
        <v>2542</v>
      </c>
      <c r="G3471" s="26">
        <v>3341.0</v>
      </c>
    </row>
    <row r="3472">
      <c r="A3472" s="27">
        <v>45298.0</v>
      </c>
      <c r="B3472" s="26" t="s">
        <v>5533</v>
      </c>
      <c r="C3472" s="26" t="s">
        <v>2545</v>
      </c>
      <c r="D3472" s="26">
        <v>1.2292E7</v>
      </c>
      <c r="F3472" s="26" t="s">
        <v>2542</v>
      </c>
      <c r="G3472" s="26">
        <v>3341.0</v>
      </c>
    </row>
    <row r="3473">
      <c r="A3473" s="27">
        <v>45298.0</v>
      </c>
      <c r="B3473" s="26" t="s">
        <v>5534</v>
      </c>
      <c r="C3473" s="26" t="s">
        <v>2545</v>
      </c>
      <c r="D3473" s="26">
        <v>1.42E7</v>
      </c>
      <c r="F3473" s="26" t="s">
        <v>2542</v>
      </c>
      <c r="G3473" s="26">
        <v>3341.0</v>
      </c>
    </row>
    <row r="3474">
      <c r="A3474" s="27">
        <v>45298.0</v>
      </c>
      <c r="B3474" s="26" t="s">
        <v>5535</v>
      </c>
      <c r="C3474" s="26" t="s">
        <v>2545</v>
      </c>
      <c r="D3474" s="26">
        <v>1.1893E7</v>
      </c>
      <c r="F3474" s="26" t="s">
        <v>2542</v>
      </c>
      <c r="G3474" s="26">
        <v>3341.0</v>
      </c>
    </row>
    <row r="3475">
      <c r="A3475" s="27">
        <v>45298.0</v>
      </c>
      <c r="B3475" s="26" t="s">
        <v>5536</v>
      </c>
      <c r="C3475" s="26" t="s">
        <v>2545</v>
      </c>
      <c r="D3475" s="26">
        <v>1.27E7</v>
      </c>
      <c r="F3475" s="26" t="s">
        <v>2542</v>
      </c>
      <c r="G3475" s="26">
        <v>3341.0</v>
      </c>
    </row>
    <row r="3476">
      <c r="A3476" s="27">
        <v>45298.0</v>
      </c>
      <c r="B3476" s="26" t="s">
        <v>5537</v>
      </c>
      <c r="C3476" s="26" t="s">
        <v>2545</v>
      </c>
      <c r="D3476" s="26">
        <v>1.2E7</v>
      </c>
      <c r="F3476" s="26" t="s">
        <v>2542</v>
      </c>
      <c r="G3476" s="26">
        <v>3341.0</v>
      </c>
    </row>
    <row r="3477">
      <c r="A3477" s="27">
        <v>45298.0</v>
      </c>
      <c r="B3477" s="26" t="s">
        <v>5538</v>
      </c>
      <c r="C3477" s="26" t="s">
        <v>2545</v>
      </c>
      <c r="D3477" s="26">
        <v>9000000.0</v>
      </c>
      <c r="F3477" s="26" t="s">
        <v>2542</v>
      </c>
      <c r="G3477" s="26">
        <v>3341.0</v>
      </c>
    </row>
    <row r="3478">
      <c r="A3478" s="27">
        <v>45298.0</v>
      </c>
      <c r="B3478" s="26" t="s">
        <v>5539</v>
      </c>
      <c r="C3478" s="26" t="s">
        <v>2545</v>
      </c>
      <c r="D3478" s="26">
        <v>1.17778E7</v>
      </c>
      <c r="F3478" s="26" t="s">
        <v>2542</v>
      </c>
      <c r="G3478" s="26">
        <v>3341.0</v>
      </c>
    </row>
    <row r="3479">
      <c r="A3479" s="27">
        <v>45298.0</v>
      </c>
      <c r="B3479" s="26" t="s">
        <v>5540</v>
      </c>
      <c r="C3479" s="26" t="s">
        <v>2545</v>
      </c>
      <c r="D3479" s="26">
        <v>1.02E7</v>
      </c>
      <c r="F3479" s="26" t="s">
        <v>2542</v>
      </c>
      <c r="G3479" s="26">
        <v>3341.0</v>
      </c>
    </row>
    <row r="3480">
      <c r="A3480" s="27">
        <v>45298.0</v>
      </c>
      <c r="B3480" s="26" t="s">
        <v>5541</v>
      </c>
      <c r="C3480" s="26" t="s">
        <v>2545</v>
      </c>
      <c r="D3480" s="26">
        <v>5539000.0</v>
      </c>
      <c r="F3480" s="26" t="s">
        <v>2542</v>
      </c>
      <c r="G3480" s="26">
        <v>3341.0</v>
      </c>
    </row>
    <row r="3481">
      <c r="A3481" s="27">
        <v>45296.0</v>
      </c>
      <c r="B3481" s="26" t="s">
        <v>4876</v>
      </c>
      <c r="C3481" s="26" t="s">
        <v>255</v>
      </c>
      <c r="D3481" s="26">
        <v>1160000.0</v>
      </c>
      <c r="F3481" s="26" t="s">
        <v>2542</v>
      </c>
    </row>
    <row r="3482">
      <c r="A3482" s="27">
        <v>45296.0</v>
      </c>
      <c r="B3482" s="26" t="s">
        <v>5288</v>
      </c>
      <c r="C3482" s="26" t="s">
        <v>255</v>
      </c>
      <c r="D3482" s="26">
        <v>2380000.0</v>
      </c>
      <c r="F3482" s="26" t="s">
        <v>2542</v>
      </c>
    </row>
    <row r="3483">
      <c r="A3483" s="27">
        <v>45296.0</v>
      </c>
      <c r="B3483" s="26" t="s">
        <v>5542</v>
      </c>
      <c r="C3483" s="26" t="s">
        <v>255</v>
      </c>
      <c r="D3483" s="26">
        <v>1875000.0</v>
      </c>
      <c r="F3483" s="26" t="s">
        <v>2542</v>
      </c>
    </row>
    <row r="3484">
      <c r="A3484" s="27">
        <v>45296.0</v>
      </c>
      <c r="B3484" s="26" t="s">
        <v>5399</v>
      </c>
      <c r="C3484" s="26" t="s">
        <v>255</v>
      </c>
      <c r="D3484" s="26">
        <v>2160000.0</v>
      </c>
      <c r="F3484" s="26" t="s">
        <v>2542</v>
      </c>
    </row>
    <row r="3485">
      <c r="A3485" s="27">
        <v>45296.0</v>
      </c>
      <c r="B3485" s="26" t="s">
        <v>5151</v>
      </c>
      <c r="C3485" s="26" t="s">
        <v>255</v>
      </c>
      <c r="D3485" s="26">
        <v>2.1E7</v>
      </c>
      <c r="F3485" s="26" t="s">
        <v>2542</v>
      </c>
    </row>
    <row r="3486">
      <c r="A3486" s="27">
        <v>45296.0</v>
      </c>
      <c r="B3486" s="26" t="s">
        <v>5543</v>
      </c>
      <c r="C3486" s="26" t="s">
        <v>2583</v>
      </c>
      <c r="D3486" s="26">
        <v>1138000.0</v>
      </c>
      <c r="F3486" s="26" t="s">
        <v>2542</v>
      </c>
      <c r="G3486" s="26">
        <v>641.27</v>
      </c>
    </row>
    <row r="3487">
      <c r="A3487" s="27">
        <v>45296.0</v>
      </c>
      <c r="B3487" s="26" t="s">
        <v>5544</v>
      </c>
      <c r="C3487" s="26" t="s">
        <v>2583</v>
      </c>
      <c r="D3487" s="26">
        <v>2439433.0</v>
      </c>
      <c r="F3487" s="26" t="s">
        <v>2542</v>
      </c>
      <c r="G3487" s="26">
        <v>641.23</v>
      </c>
    </row>
    <row r="3488">
      <c r="A3488" s="27">
        <v>45296.0</v>
      </c>
      <c r="B3488" s="26" t="s">
        <v>5488</v>
      </c>
      <c r="C3488" s="26" t="s">
        <v>2564</v>
      </c>
      <c r="D3488" s="26" t="s">
        <v>4581</v>
      </c>
      <c r="F3488" s="26" t="s">
        <v>2542</v>
      </c>
      <c r="G3488" s="26">
        <v>6425.0</v>
      </c>
    </row>
    <row r="3489">
      <c r="A3489" s="27">
        <v>45295.0</v>
      </c>
      <c r="B3489" s="26" t="s">
        <v>5545</v>
      </c>
      <c r="C3489" s="26" t="s">
        <v>255</v>
      </c>
      <c r="D3489" s="26">
        <v>1080000.0</v>
      </c>
      <c r="F3489" s="26" t="s">
        <v>2542</v>
      </c>
    </row>
    <row r="3490">
      <c r="A3490" s="27">
        <v>45295.0</v>
      </c>
      <c r="B3490" s="26" t="s">
        <v>5546</v>
      </c>
      <c r="C3490" s="26" t="s">
        <v>255</v>
      </c>
      <c r="D3490" s="26">
        <v>1790000.0</v>
      </c>
      <c r="F3490" s="26" t="s">
        <v>2542</v>
      </c>
    </row>
    <row r="3491">
      <c r="A3491" s="27">
        <v>45295.0</v>
      </c>
      <c r="B3491" s="26" t="s">
        <v>5547</v>
      </c>
      <c r="C3491" s="26" t="s">
        <v>255</v>
      </c>
      <c r="D3491" s="26">
        <v>3078000.0</v>
      </c>
      <c r="F3491" s="26" t="s">
        <v>2542</v>
      </c>
    </row>
    <row r="3492">
      <c r="A3492" s="27">
        <v>45295.0</v>
      </c>
      <c r="B3492" s="26" t="s">
        <v>5548</v>
      </c>
      <c r="C3492" s="26" t="s">
        <v>255</v>
      </c>
      <c r="D3492" s="26">
        <v>1998000.0</v>
      </c>
      <c r="F3492" s="26" t="s">
        <v>2542</v>
      </c>
    </row>
    <row r="3493">
      <c r="A3493" s="27">
        <v>45295.0</v>
      </c>
      <c r="B3493" s="26" t="s">
        <v>5549</v>
      </c>
      <c r="C3493" s="26" t="s">
        <v>255</v>
      </c>
      <c r="D3493" s="26">
        <v>1080000.0</v>
      </c>
      <c r="F3493" s="26" t="s">
        <v>2542</v>
      </c>
    </row>
    <row r="3494">
      <c r="A3494" s="27">
        <v>45295.0</v>
      </c>
      <c r="B3494" s="26" t="s">
        <v>5550</v>
      </c>
      <c r="C3494" s="26" t="s">
        <v>255</v>
      </c>
      <c r="D3494" s="26">
        <v>4502000.0</v>
      </c>
      <c r="F3494" s="26" t="s">
        <v>2542</v>
      </c>
    </row>
    <row r="3495">
      <c r="A3495" s="27">
        <v>45294.0</v>
      </c>
      <c r="B3495" s="26" t="s">
        <v>5181</v>
      </c>
      <c r="C3495" s="26" t="s">
        <v>255</v>
      </c>
      <c r="D3495" s="26">
        <v>5.0E7</v>
      </c>
      <c r="F3495" s="26" t="s">
        <v>2542</v>
      </c>
    </row>
    <row r="3496">
      <c r="A3496" s="27">
        <v>45294.0</v>
      </c>
      <c r="B3496" s="26" t="s">
        <v>5551</v>
      </c>
      <c r="C3496" s="26" t="s">
        <v>255</v>
      </c>
      <c r="D3496" s="26">
        <v>1230000.0</v>
      </c>
      <c r="F3496" s="26" t="s">
        <v>2542</v>
      </c>
    </row>
    <row r="3497">
      <c r="A3497" s="27">
        <v>45294.0</v>
      </c>
      <c r="B3497" s="26" t="s">
        <v>5552</v>
      </c>
      <c r="C3497" s="26" t="s">
        <v>255</v>
      </c>
      <c r="D3497" s="26">
        <v>1450000.0</v>
      </c>
      <c r="F3497" s="26" t="s">
        <v>2542</v>
      </c>
    </row>
    <row r="3498">
      <c r="A3498" s="27">
        <v>45294.0</v>
      </c>
      <c r="B3498" s="26" t="s">
        <v>5553</v>
      </c>
      <c r="C3498" s="26" t="s">
        <v>255</v>
      </c>
      <c r="D3498" s="26">
        <v>2.0E8</v>
      </c>
      <c r="F3498" s="26" t="s">
        <v>2542</v>
      </c>
    </row>
    <row r="3499">
      <c r="A3499" s="27">
        <v>45294.0</v>
      </c>
      <c r="B3499" s="26" t="s">
        <v>5181</v>
      </c>
      <c r="C3499" s="28"/>
      <c r="D3499" s="26">
        <v>5.0E7</v>
      </c>
      <c r="F3499" s="26" t="s">
        <v>2542</v>
      </c>
    </row>
    <row r="3500">
      <c r="A3500" s="27">
        <v>45294.0</v>
      </c>
      <c r="B3500" s="26" t="s">
        <v>5554</v>
      </c>
      <c r="C3500" s="26" t="s">
        <v>2583</v>
      </c>
      <c r="D3500" s="26">
        <v>4000000.0</v>
      </c>
      <c r="F3500" s="26" t="s">
        <v>2542</v>
      </c>
      <c r="G3500" s="26">
        <v>641.24</v>
      </c>
    </row>
    <row r="3501">
      <c r="A3501" s="27">
        <v>45294.0</v>
      </c>
      <c r="B3501" s="26" t="s">
        <v>5555</v>
      </c>
      <c r="C3501" s="26" t="s">
        <v>2561</v>
      </c>
      <c r="D3501" s="26">
        <v>400000.0</v>
      </c>
      <c r="F3501" s="26" t="s">
        <v>2542</v>
      </c>
      <c r="G3501" s="26">
        <v>621.0</v>
      </c>
    </row>
    <row r="3502">
      <c r="A3502" s="27">
        <v>45294.0</v>
      </c>
      <c r="B3502" s="26" t="s">
        <v>5556</v>
      </c>
      <c r="C3502" s="26" t="s">
        <v>2571</v>
      </c>
      <c r="D3502" s="26">
        <v>5072760.0</v>
      </c>
      <c r="F3502" s="26" t="s">
        <v>2542</v>
      </c>
      <c r="G3502" s="26">
        <v>641.12</v>
      </c>
    </row>
    <row r="3503">
      <c r="A3503" s="27">
        <v>45293.0</v>
      </c>
      <c r="B3503" s="26" t="s">
        <v>5557</v>
      </c>
      <c r="C3503" s="26" t="s">
        <v>255</v>
      </c>
      <c r="D3503" s="26">
        <v>7965000.0</v>
      </c>
      <c r="F3503" s="26" t="s">
        <v>2542</v>
      </c>
    </row>
    <row r="3504">
      <c r="A3504" s="27">
        <v>45293.0</v>
      </c>
      <c r="B3504" s="26" t="s">
        <v>5558</v>
      </c>
      <c r="C3504" s="26" t="s">
        <v>255</v>
      </c>
      <c r="D3504" s="26">
        <v>163000.0</v>
      </c>
      <c r="F3504" s="26" t="s">
        <v>2542</v>
      </c>
    </row>
    <row r="3505">
      <c r="A3505" s="27">
        <v>45293.0</v>
      </c>
      <c r="B3505" s="26" t="s">
        <v>5559</v>
      </c>
      <c r="C3505" s="26" t="s">
        <v>255</v>
      </c>
      <c r="D3505" s="26">
        <v>1082400.0</v>
      </c>
      <c r="F3505" s="26" t="s">
        <v>2542</v>
      </c>
    </row>
    <row r="3506">
      <c r="A3506" s="27">
        <v>45293.0</v>
      </c>
      <c r="B3506" s="26" t="s">
        <v>5560</v>
      </c>
      <c r="C3506" s="26" t="s">
        <v>2561</v>
      </c>
      <c r="D3506" s="26" t="s">
        <v>5561</v>
      </c>
      <c r="F3506" s="26" t="s">
        <v>2542</v>
      </c>
      <c r="G3506" s="26">
        <v>632.2</v>
      </c>
    </row>
    <row r="3507">
      <c r="A3507" s="27">
        <v>45293.0</v>
      </c>
      <c r="B3507" s="26" t="s">
        <v>5562</v>
      </c>
      <c r="C3507" s="26" t="s">
        <v>2561</v>
      </c>
      <c r="D3507" s="26">
        <v>810.0</v>
      </c>
      <c r="F3507" s="26" t="s">
        <v>2542</v>
      </c>
      <c r="G3507" s="26">
        <v>632.1</v>
      </c>
    </row>
  </sheetData>
  <mergeCells count="1">
    <mergeCell ref="A1:H1"/>
  </mergeCells>
  <dataValidations>
    <dataValidation type="list" allowBlank="1" sqref="B6:B10 B14:B3507">
      <formula1>"income,expense"</formula1>
    </dataValidation>
    <dataValidation type="list" allowBlank="1" sqref="F6:F10 F14:F3507">
      <formula1>"cash,bank_transfer,credit_card,momo,zalopay,vnpay,check"</formula1>
    </dataValidation>
    <dataValidation type="list" allowBlank="1" sqref="C6:C10 C14:C3507">
      <formula1>"Sales,Raw Materials,Utilities,Rent,Salaries,Packaging,Equipment Maintenance,Marketing,Transportation,Insurance,Taxes,Other"</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32.88"/>
    <col customWidth="1" min="3" max="3" width="5.63"/>
    <col customWidth="1" min="4" max="4" width="21.88"/>
    <col customWidth="1" min="5" max="5" width="21.13"/>
    <col customWidth="1" min="6" max="6" width="9.25"/>
    <col customWidth="1" min="7" max="7" width="5.5"/>
  </cols>
  <sheetData>
    <row r="1">
      <c r="A1" s="21" t="s">
        <v>5563</v>
      </c>
    </row>
    <row r="2">
      <c r="A2" s="22" t="s">
        <v>1016</v>
      </c>
      <c r="B2" s="22" t="s">
        <v>5564</v>
      </c>
      <c r="C2" s="22" t="s">
        <v>5565</v>
      </c>
      <c r="D2" s="22" t="s">
        <v>90</v>
      </c>
      <c r="E2" s="22" t="s">
        <v>5566</v>
      </c>
      <c r="F2" s="22" t="s">
        <v>5567</v>
      </c>
      <c r="G2" s="22" t="s">
        <v>98</v>
      </c>
    </row>
    <row r="3">
      <c r="A3" s="23" t="s">
        <v>49</v>
      </c>
      <c r="B3" s="23" t="s">
        <v>49</v>
      </c>
      <c r="C3" s="24"/>
      <c r="D3" s="24"/>
      <c r="E3" s="24"/>
      <c r="F3" s="24"/>
      <c r="G3" s="24"/>
    </row>
    <row r="4">
      <c r="A4" s="25" t="s">
        <v>50</v>
      </c>
      <c r="B4" s="25" t="s">
        <v>5568</v>
      </c>
      <c r="C4" s="25" t="s">
        <v>50</v>
      </c>
      <c r="D4" s="25" t="s">
        <v>5569</v>
      </c>
      <c r="E4" s="25" t="s">
        <v>50</v>
      </c>
      <c r="F4" s="25" t="s">
        <v>50</v>
      </c>
      <c r="G4" s="25" t="s">
        <v>50</v>
      </c>
    </row>
    <row r="5">
      <c r="A5" s="49" t="s">
        <v>1103</v>
      </c>
      <c r="B5" s="80" t="s">
        <v>5570</v>
      </c>
      <c r="C5" s="80">
        <v>1.046</v>
      </c>
      <c r="D5" s="80" t="s">
        <v>5571</v>
      </c>
      <c r="E5" s="80">
        <v>1.0</v>
      </c>
      <c r="F5" s="80" t="s">
        <v>5572</v>
      </c>
      <c r="G5" s="86"/>
      <c r="H5" s="86"/>
    </row>
    <row r="6">
      <c r="A6" s="49" t="s">
        <v>1103</v>
      </c>
      <c r="B6" s="80" t="s">
        <v>1001</v>
      </c>
      <c r="C6" s="80">
        <v>18.0</v>
      </c>
      <c r="D6" s="80" t="s">
        <v>5573</v>
      </c>
      <c r="E6" s="80">
        <v>1.0</v>
      </c>
      <c r="F6" s="80" t="s">
        <v>5572</v>
      </c>
      <c r="G6" s="86"/>
      <c r="H6" s="86"/>
    </row>
    <row r="7">
      <c r="A7" s="49" t="s">
        <v>1103</v>
      </c>
      <c r="B7" s="80" t="s">
        <v>5570</v>
      </c>
      <c r="C7" s="80">
        <v>1.016</v>
      </c>
      <c r="D7" s="80" t="s">
        <v>5571</v>
      </c>
      <c r="E7" s="80">
        <v>1.0</v>
      </c>
      <c r="F7" s="80" t="s">
        <v>5572</v>
      </c>
      <c r="G7" s="86"/>
      <c r="H7" s="86"/>
    </row>
    <row r="8">
      <c r="A8" s="49" t="s">
        <v>1103</v>
      </c>
      <c r="B8" s="80" t="s">
        <v>1001</v>
      </c>
      <c r="C8" s="80">
        <v>21.0</v>
      </c>
      <c r="D8" s="80" t="s">
        <v>5573</v>
      </c>
      <c r="E8" s="80">
        <v>1.0</v>
      </c>
      <c r="F8" s="80" t="s">
        <v>5572</v>
      </c>
      <c r="G8" s="86"/>
      <c r="H8" s="86"/>
    </row>
    <row r="9">
      <c r="A9" s="49" t="s">
        <v>1103</v>
      </c>
      <c r="B9" s="80" t="s">
        <v>5570</v>
      </c>
      <c r="C9" s="80">
        <v>1.012</v>
      </c>
      <c r="D9" s="80" t="s">
        <v>5571</v>
      </c>
      <c r="E9" s="80">
        <v>1.0</v>
      </c>
      <c r="F9" s="80" t="s">
        <v>5572</v>
      </c>
      <c r="G9" s="86"/>
      <c r="H9" s="86"/>
    </row>
    <row r="10">
      <c r="A10" s="49" t="s">
        <v>1103</v>
      </c>
      <c r="B10" s="80" t="s">
        <v>1001</v>
      </c>
      <c r="C10" s="80">
        <v>0.0</v>
      </c>
      <c r="D10" s="80" t="s">
        <v>5573</v>
      </c>
      <c r="E10" s="80">
        <v>1.0</v>
      </c>
      <c r="F10" s="80" t="s">
        <v>5572</v>
      </c>
      <c r="G10" s="86"/>
      <c r="H10" s="86"/>
    </row>
    <row r="11">
      <c r="A11" s="49" t="s">
        <v>1103</v>
      </c>
      <c r="B11" s="80" t="s">
        <v>5574</v>
      </c>
      <c r="C11" s="80">
        <v>2.6</v>
      </c>
      <c r="D11" s="80" t="s">
        <v>5575</v>
      </c>
      <c r="E11" s="80">
        <v>1.0</v>
      </c>
      <c r="F11" s="80" t="s">
        <v>5572</v>
      </c>
      <c r="G11" s="86"/>
      <c r="H11" s="86"/>
    </row>
    <row r="12">
      <c r="A12" s="49" t="s">
        <v>1102</v>
      </c>
      <c r="B12" s="80" t="s">
        <v>5570</v>
      </c>
      <c r="C12" s="80">
        <v>1.048</v>
      </c>
      <c r="D12" s="80" t="s">
        <v>5571</v>
      </c>
      <c r="E12" s="80">
        <v>1.0</v>
      </c>
      <c r="F12" s="80" t="s">
        <v>5572</v>
      </c>
      <c r="G12" s="86"/>
      <c r="H12" s="86"/>
    </row>
    <row r="13">
      <c r="A13" s="49" t="s">
        <v>1102</v>
      </c>
      <c r="B13" s="80" t="s">
        <v>1001</v>
      </c>
      <c r="C13" s="80">
        <v>19.0</v>
      </c>
      <c r="D13" s="80" t="s">
        <v>5573</v>
      </c>
      <c r="E13" s="80">
        <v>1.0</v>
      </c>
      <c r="F13" s="80" t="s">
        <v>5572</v>
      </c>
      <c r="G13" s="86"/>
      <c r="H13" s="86"/>
    </row>
    <row r="14">
      <c r="A14" s="49" t="s">
        <v>1102</v>
      </c>
      <c r="B14" s="80" t="s">
        <v>5570</v>
      </c>
      <c r="C14" s="80">
        <v>1.016</v>
      </c>
      <c r="D14" s="80" t="s">
        <v>5571</v>
      </c>
      <c r="E14" s="80">
        <v>1.0</v>
      </c>
      <c r="F14" s="80" t="s">
        <v>5572</v>
      </c>
      <c r="G14" s="86"/>
      <c r="H14" s="86"/>
    </row>
    <row r="15">
      <c r="A15" s="49" t="s">
        <v>1102</v>
      </c>
      <c r="B15" s="80" t="s">
        <v>1001</v>
      </c>
      <c r="C15" s="80">
        <v>21.0</v>
      </c>
      <c r="D15" s="80" t="s">
        <v>5573</v>
      </c>
      <c r="E15" s="80">
        <v>1.0</v>
      </c>
      <c r="F15" s="80" t="s">
        <v>5572</v>
      </c>
      <c r="G15" s="86"/>
      <c r="H15" s="86"/>
    </row>
    <row r="16">
      <c r="A16" s="49" t="s">
        <v>1102</v>
      </c>
      <c r="B16" s="80" t="s">
        <v>5570</v>
      </c>
      <c r="C16" s="80">
        <v>1.008</v>
      </c>
      <c r="D16" s="80" t="s">
        <v>5571</v>
      </c>
      <c r="E16" s="80">
        <v>1.0</v>
      </c>
      <c r="F16" s="80" t="s">
        <v>5572</v>
      </c>
      <c r="G16" s="86"/>
      <c r="H16" s="86"/>
    </row>
    <row r="17">
      <c r="A17" s="49" t="s">
        <v>1102</v>
      </c>
      <c r="B17" s="80" t="s">
        <v>1001</v>
      </c>
      <c r="C17" s="80">
        <v>0.0</v>
      </c>
      <c r="D17" s="80" t="s">
        <v>5573</v>
      </c>
      <c r="E17" s="80">
        <v>1.0</v>
      </c>
      <c r="F17" s="80" t="s">
        <v>5572</v>
      </c>
      <c r="G17" s="86"/>
      <c r="H17" s="86"/>
    </row>
    <row r="18">
      <c r="A18" s="49" t="s">
        <v>1102</v>
      </c>
      <c r="B18" s="80" t="s">
        <v>5574</v>
      </c>
      <c r="C18" s="80">
        <v>2.8</v>
      </c>
      <c r="D18" s="80" t="s">
        <v>5575</v>
      </c>
      <c r="E18" s="80">
        <v>1.0</v>
      </c>
      <c r="F18" s="80" t="s">
        <v>5572</v>
      </c>
      <c r="G18" s="86"/>
      <c r="H18" s="86"/>
    </row>
    <row r="19">
      <c r="A19" s="48" t="s">
        <v>1100</v>
      </c>
      <c r="B19" s="80" t="s">
        <v>1001</v>
      </c>
      <c r="C19" s="80">
        <v>19.0</v>
      </c>
      <c r="D19" s="80" t="s">
        <v>5573</v>
      </c>
      <c r="E19" s="80">
        <v>1.0</v>
      </c>
      <c r="F19" s="80" t="s">
        <v>5572</v>
      </c>
      <c r="G19" s="86"/>
      <c r="H19" s="86"/>
    </row>
    <row r="20">
      <c r="A20" s="48" t="s">
        <v>1100</v>
      </c>
      <c r="B20" s="80" t="s">
        <v>5570</v>
      </c>
      <c r="C20" s="80">
        <v>1.073</v>
      </c>
      <c r="D20" s="80" t="s">
        <v>5571</v>
      </c>
      <c r="E20" s="80">
        <v>1.0</v>
      </c>
      <c r="F20" s="80" t="s">
        <v>5572</v>
      </c>
      <c r="G20" s="86"/>
      <c r="H20" s="86"/>
    </row>
    <row r="21">
      <c r="A21" s="48" t="s">
        <v>1100</v>
      </c>
      <c r="B21" s="80" t="s">
        <v>1001</v>
      </c>
      <c r="C21" s="80">
        <v>21.0</v>
      </c>
      <c r="D21" s="80" t="s">
        <v>5573</v>
      </c>
      <c r="E21" s="80">
        <v>1.0</v>
      </c>
      <c r="F21" s="80" t="s">
        <v>5572</v>
      </c>
      <c r="G21" s="86"/>
      <c r="H21" s="86"/>
    </row>
    <row r="22">
      <c r="A22" s="48" t="s">
        <v>1100</v>
      </c>
      <c r="B22" s="80" t="s">
        <v>5570</v>
      </c>
      <c r="C22" s="80">
        <v>1.022</v>
      </c>
      <c r="D22" s="80" t="s">
        <v>5571</v>
      </c>
      <c r="E22" s="80">
        <v>1.0</v>
      </c>
      <c r="F22" s="80" t="s">
        <v>5572</v>
      </c>
      <c r="G22" s="86"/>
      <c r="H22" s="86"/>
    </row>
    <row r="23">
      <c r="A23" s="48" t="s">
        <v>1100</v>
      </c>
      <c r="B23" s="80" t="s">
        <v>5570</v>
      </c>
      <c r="C23" s="80">
        <v>1.016</v>
      </c>
      <c r="D23" s="80" t="s">
        <v>5571</v>
      </c>
      <c r="E23" s="80">
        <v>1.0</v>
      </c>
      <c r="F23" s="80" t="s">
        <v>5572</v>
      </c>
      <c r="G23" s="86"/>
      <c r="H23" s="86"/>
    </row>
    <row r="24">
      <c r="A24" s="48" t="s">
        <v>1100</v>
      </c>
      <c r="B24" s="80" t="s">
        <v>1001</v>
      </c>
      <c r="C24" s="80">
        <v>0.0</v>
      </c>
      <c r="D24" s="80" t="s">
        <v>5573</v>
      </c>
      <c r="E24" s="80">
        <v>1.0</v>
      </c>
      <c r="F24" s="80" t="s">
        <v>5572</v>
      </c>
      <c r="G24" s="86"/>
      <c r="H24" s="86"/>
    </row>
    <row r="25">
      <c r="A25" s="48" t="s">
        <v>1100</v>
      </c>
      <c r="B25" s="80" t="s">
        <v>5574</v>
      </c>
      <c r="C25" s="80">
        <v>2.6</v>
      </c>
      <c r="D25" s="80" t="s">
        <v>5575</v>
      </c>
      <c r="E25" s="80">
        <v>1.0</v>
      </c>
      <c r="F25" s="80" t="s">
        <v>5572</v>
      </c>
      <c r="G25" s="86"/>
      <c r="H25" s="86"/>
    </row>
    <row r="26">
      <c r="A26" s="49" t="s">
        <v>1099</v>
      </c>
      <c r="B26" s="80" t="s">
        <v>5570</v>
      </c>
      <c r="C26" s="80">
        <v>1.063</v>
      </c>
      <c r="D26" s="80" t="s">
        <v>5571</v>
      </c>
      <c r="E26" s="80">
        <v>1.0</v>
      </c>
      <c r="F26" s="80" t="s">
        <v>5572</v>
      </c>
      <c r="G26" s="86"/>
      <c r="H26" s="86"/>
    </row>
    <row r="27">
      <c r="A27" s="49" t="s">
        <v>1099</v>
      </c>
      <c r="B27" s="80" t="s">
        <v>1001</v>
      </c>
      <c r="C27" s="80">
        <v>19.0</v>
      </c>
      <c r="D27" s="80" t="s">
        <v>5573</v>
      </c>
      <c r="E27" s="80">
        <v>1.0</v>
      </c>
      <c r="F27" s="80" t="s">
        <v>5572</v>
      </c>
      <c r="G27" s="86"/>
      <c r="H27" s="86"/>
    </row>
    <row r="28">
      <c r="A28" s="49" t="s">
        <v>1099</v>
      </c>
      <c r="B28" s="80" t="s">
        <v>5570</v>
      </c>
      <c r="C28" s="80">
        <v>1.018</v>
      </c>
      <c r="D28" s="80" t="s">
        <v>5571</v>
      </c>
      <c r="E28" s="80">
        <v>1.0</v>
      </c>
      <c r="F28" s="80" t="s">
        <v>5572</v>
      </c>
      <c r="G28" s="86"/>
      <c r="H28" s="86"/>
    </row>
    <row r="29">
      <c r="A29" s="49" t="s">
        <v>1099</v>
      </c>
      <c r="B29" s="80" t="s">
        <v>1001</v>
      </c>
      <c r="C29" s="80">
        <v>21.0</v>
      </c>
      <c r="D29" s="80" t="s">
        <v>5573</v>
      </c>
      <c r="E29" s="80">
        <v>1.0</v>
      </c>
      <c r="F29" s="80" t="s">
        <v>5572</v>
      </c>
      <c r="G29" s="86"/>
      <c r="H29" s="86"/>
    </row>
    <row r="30">
      <c r="A30" s="49" t="s">
        <v>1099</v>
      </c>
      <c r="B30" s="80" t="s">
        <v>5570</v>
      </c>
      <c r="C30" s="80">
        <v>1.012</v>
      </c>
      <c r="D30" s="80" t="s">
        <v>5571</v>
      </c>
      <c r="E30" s="80">
        <v>1.0</v>
      </c>
      <c r="F30" s="80" t="s">
        <v>5572</v>
      </c>
      <c r="G30" s="86"/>
      <c r="H30" s="86"/>
    </row>
    <row r="31">
      <c r="A31" s="49" t="s">
        <v>1099</v>
      </c>
      <c r="B31" s="80" t="s">
        <v>1001</v>
      </c>
      <c r="C31" s="80">
        <v>0.0</v>
      </c>
      <c r="D31" s="80" t="s">
        <v>5573</v>
      </c>
      <c r="E31" s="80">
        <v>1.0</v>
      </c>
      <c r="F31" s="80" t="s">
        <v>5572</v>
      </c>
      <c r="G31" s="86"/>
      <c r="H31" s="86"/>
    </row>
    <row r="32">
      <c r="A32" s="49" t="s">
        <v>1099</v>
      </c>
      <c r="B32" s="80" t="s">
        <v>5574</v>
      </c>
      <c r="C32" s="80">
        <v>2.8</v>
      </c>
      <c r="D32" s="80" t="s">
        <v>5575</v>
      </c>
      <c r="E32" s="80">
        <v>1.0</v>
      </c>
      <c r="F32" s="80" t="s">
        <v>5572</v>
      </c>
      <c r="G32" s="86"/>
      <c r="H32" s="86"/>
    </row>
    <row r="33">
      <c r="A33" s="49" t="s">
        <v>1098</v>
      </c>
      <c r="B33" s="80" t="s">
        <v>5570</v>
      </c>
      <c r="C33" s="80">
        <v>1.032</v>
      </c>
      <c r="D33" s="80" t="s">
        <v>5571</v>
      </c>
      <c r="E33" s="80">
        <v>1.0</v>
      </c>
      <c r="F33" s="80" t="s">
        <v>5572</v>
      </c>
      <c r="G33" s="86"/>
      <c r="H33" s="86"/>
    </row>
    <row r="34">
      <c r="A34" s="49" t="s">
        <v>1098</v>
      </c>
      <c r="B34" s="80" t="s">
        <v>1001</v>
      </c>
      <c r="C34" s="80">
        <v>0.0</v>
      </c>
      <c r="D34" s="80" t="s">
        <v>5573</v>
      </c>
      <c r="E34" s="80">
        <v>1.0</v>
      </c>
      <c r="F34" s="80" t="s">
        <v>5572</v>
      </c>
      <c r="G34" s="86"/>
      <c r="H34" s="86"/>
    </row>
    <row r="35">
      <c r="A35" s="49" t="s">
        <v>1098</v>
      </c>
      <c r="B35" s="80" t="s">
        <v>1001</v>
      </c>
      <c r="C35" s="80">
        <v>0.0</v>
      </c>
      <c r="D35" s="80" t="s">
        <v>5573</v>
      </c>
      <c r="E35" s="80">
        <v>1.0</v>
      </c>
      <c r="F35" s="80" t="s">
        <v>5572</v>
      </c>
      <c r="G35" s="86"/>
      <c r="H35" s="86"/>
    </row>
    <row r="36">
      <c r="A36" s="49" t="s">
        <v>1098</v>
      </c>
      <c r="B36" s="80" t="s">
        <v>5574</v>
      </c>
      <c r="C36" s="80">
        <v>2.8</v>
      </c>
      <c r="D36" s="80" t="s">
        <v>5575</v>
      </c>
      <c r="E36" s="80">
        <v>1.0</v>
      </c>
      <c r="F36" s="80" t="s">
        <v>5572</v>
      </c>
      <c r="G36" s="86"/>
      <c r="H36" s="86"/>
    </row>
    <row r="37">
      <c r="A37" s="49" t="s">
        <v>1097</v>
      </c>
      <c r="B37" s="80" t="s">
        <v>5570</v>
      </c>
      <c r="C37" s="80">
        <v>1.046</v>
      </c>
      <c r="D37" s="80" t="s">
        <v>5571</v>
      </c>
      <c r="E37" s="80">
        <v>1.0</v>
      </c>
      <c r="F37" s="80" t="s">
        <v>5572</v>
      </c>
      <c r="G37" s="86"/>
      <c r="H37" s="86"/>
    </row>
    <row r="38">
      <c r="A38" s="49" t="s">
        <v>1097</v>
      </c>
      <c r="B38" s="80" t="s">
        <v>1001</v>
      </c>
      <c r="C38" s="80">
        <v>18.0</v>
      </c>
      <c r="D38" s="80" t="s">
        <v>5573</v>
      </c>
      <c r="E38" s="80">
        <v>1.0</v>
      </c>
      <c r="F38" s="80" t="s">
        <v>5572</v>
      </c>
      <c r="G38" s="86"/>
      <c r="H38" s="86"/>
    </row>
    <row r="39">
      <c r="A39" s="49" t="s">
        <v>1097</v>
      </c>
      <c r="B39" s="80" t="s">
        <v>5570</v>
      </c>
      <c r="C39" s="80">
        <v>1.014</v>
      </c>
      <c r="D39" s="80" t="s">
        <v>5571</v>
      </c>
      <c r="E39" s="80">
        <v>1.0</v>
      </c>
      <c r="F39" s="80" t="s">
        <v>5572</v>
      </c>
      <c r="G39" s="86"/>
      <c r="H39" s="86"/>
    </row>
    <row r="40">
      <c r="A40" s="49" t="s">
        <v>1097</v>
      </c>
      <c r="B40" s="80" t="s">
        <v>1001</v>
      </c>
      <c r="C40" s="80">
        <v>21.0</v>
      </c>
      <c r="D40" s="80" t="s">
        <v>5573</v>
      </c>
      <c r="E40" s="80">
        <v>1.0</v>
      </c>
      <c r="F40" s="80" t="s">
        <v>5572</v>
      </c>
      <c r="G40" s="86"/>
      <c r="H40" s="86"/>
    </row>
    <row r="41">
      <c r="A41" s="49" t="s">
        <v>1097</v>
      </c>
      <c r="B41" s="80" t="s">
        <v>5570</v>
      </c>
      <c r="C41" s="80">
        <v>1.008</v>
      </c>
      <c r="D41" s="80" t="s">
        <v>5571</v>
      </c>
      <c r="E41" s="80">
        <v>1.0</v>
      </c>
      <c r="F41" s="80" t="s">
        <v>5572</v>
      </c>
      <c r="G41" s="86"/>
      <c r="H41" s="86"/>
    </row>
    <row r="42">
      <c r="A42" s="49" t="s">
        <v>1097</v>
      </c>
      <c r="B42" s="80" t="s">
        <v>1001</v>
      </c>
      <c r="C42" s="80">
        <v>0.0</v>
      </c>
      <c r="D42" s="80" t="s">
        <v>5573</v>
      </c>
      <c r="E42" s="80">
        <v>1.0</v>
      </c>
      <c r="F42" s="80" t="s">
        <v>5572</v>
      </c>
      <c r="G42" s="86"/>
      <c r="H42" s="86"/>
    </row>
    <row r="43">
      <c r="A43" s="49" t="s">
        <v>1097</v>
      </c>
      <c r="B43" s="80" t="s">
        <v>5574</v>
      </c>
      <c r="C43" s="80">
        <v>2.85</v>
      </c>
      <c r="D43" s="80" t="s">
        <v>5575</v>
      </c>
      <c r="E43" s="80">
        <v>1.0</v>
      </c>
      <c r="F43" s="80" t="s">
        <v>5572</v>
      </c>
      <c r="G43" s="86"/>
      <c r="H43" s="86"/>
    </row>
    <row r="44">
      <c r="A44" s="49" t="s">
        <v>1096</v>
      </c>
      <c r="B44" s="80" t="s">
        <v>5570</v>
      </c>
      <c r="C44" s="80">
        <v>1.049</v>
      </c>
      <c r="D44" s="80" t="s">
        <v>5571</v>
      </c>
      <c r="E44" s="80">
        <v>1.0</v>
      </c>
      <c r="F44" s="80" t="s">
        <v>5572</v>
      </c>
      <c r="G44" s="86"/>
      <c r="H44" s="86"/>
    </row>
    <row r="45">
      <c r="A45" s="49" t="s">
        <v>1096</v>
      </c>
      <c r="B45" s="80" t="s">
        <v>1001</v>
      </c>
      <c r="C45" s="80">
        <v>19.0</v>
      </c>
      <c r="D45" s="80" t="s">
        <v>5573</v>
      </c>
      <c r="E45" s="80">
        <v>1.0</v>
      </c>
      <c r="F45" s="80" t="s">
        <v>5572</v>
      </c>
      <c r="G45" s="86"/>
      <c r="H45" s="86"/>
    </row>
    <row r="46">
      <c r="A46" s="49" t="s">
        <v>1096</v>
      </c>
      <c r="B46" s="80" t="s">
        <v>5570</v>
      </c>
      <c r="C46" s="80">
        <v>1.016</v>
      </c>
      <c r="D46" s="80" t="s">
        <v>5571</v>
      </c>
      <c r="E46" s="80">
        <v>1.0</v>
      </c>
      <c r="F46" s="80" t="s">
        <v>5572</v>
      </c>
      <c r="G46" s="86"/>
      <c r="H46" s="86"/>
    </row>
    <row r="47">
      <c r="A47" s="49" t="s">
        <v>1096</v>
      </c>
      <c r="B47" s="80" t="s">
        <v>1001</v>
      </c>
      <c r="C47" s="80">
        <v>21.0</v>
      </c>
      <c r="D47" s="80" t="s">
        <v>5573</v>
      </c>
      <c r="E47" s="80">
        <v>1.0</v>
      </c>
      <c r="F47" s="80" t="s">
        <v>5572</v>
      </c>
      <c r="G47" s="86"/>
      <c r="H47" s="86"/>
    </row>
    <row r="48">
      <c r="A48" s="49" t="s">
        <v>1096</v>
      </c>
      <c r="B48" s="80" t="s">
        <v>5570</v>
      </c>
      <c r="C48" s="80">
        <v>1.009</v>
      </c>
      <c r="D48" s="80" t="s">
        <v>5571</v>
      </c>
      <c r="E48" s="80">
        <v>1.0</v>
      </c>
      <c r="F48" s="80" t="s">
        <v>5572</v>
      </c>
      <c r="G48" s="86"/>
      <c r="H48" s="86"/>
    </row>
    <row r="49">
      <c r="A49" s="49" t="s">
        <v>1096</v>
      </c>
      <c r="B49" s="80" t="s">
        <v>1001</v>
      </c>
      <c r="C49" s="80">
        <v>0.0</v>
      </c>
      <c r="D49" s="80" t="s">
        <v>5573</v>
      </c>
      <c r="E49" s="80">
        <v>1.0</v>
      </c>
      <c r="F49" s="80" t="s">
        <v>5572</v>
      </c>
      <c r="G49" s="86"/>
      <c r="H49" s="86"/>
    </row>
    <row r="50">
      <c r="A50" s="49" t="s">
        <v>1096</v>
      </c>
      <c r="B50" s="80" t="s">
        <v>5574</v>
      </c>
      <c r="C50" s="80">
        <v>2.77</v>
      </c>
      <c r="D50" s="80" t="s">
        <v>5575</v>
      </c>
      <c r="E50" s="80">
        <v>1.0</v>
      </c>
      <c r="F50" s="80" t="s">
        <v>5572</v>
      </c>
      <c r="G50" s="86"/>
      <c r="H50" s="86"/>
    </row>
    <row r="51">
      <c r="A51" s="49" t="s">
        <v>1095</v>
      </c>
      <c r="B51" s="80" t="s">
        <v>5570</v>
      </c>
      <c r="C51" s="80">
        <v>1.048</v>
      </c>
      <c r="D51" s="80" t="s">
        <v>5571</v>
      </c>
      <c r="E51" s="80">
        <v>1.0</v>
      </c>
      <c r="F51" s="80" t="s">
        <v>5572</v>
      </c>
      <c r="G51" s="86"/>
      <c r="H51" s="86"/>
    </row>
    <row r="52">
      <c r="A52" s="49" t="s">
        <v>1095</v>
      </c>
      <c r="B52" s="80" t="s">
        <v>1001</v>
      </c>
      <c r="C52" s="80">
        <v>19.0</v>
      </c>
      <c r="D52" s="80" t="s">
        <v>5573</v>
      </c>
      <c r="E52" s="80">
        <v>1.0</v>
      </c>
      <c r="F52" s="80" t="s">
        <v>5572</v>
      </c>
      <c r="G52" s="86"/>
      <c r="H52" s="86"/>
    </row>
    <row r="53">
      <c r="A53" s="49" t="s">
        <v>1095</v>
      </c>
      <c r="B53" s="80" t="s">
        <v>5570</v>
      </c>
      <c r="C53" s="80">
        <v>1.016</v>
      </c>
      <c r="D53" s="80" t="s">
        <v>5571</v>
      </c>
      <c r="E53" s="80">
        <v>1.0</v>
      </c>
      <c r="F53" s="80" t="s">
        <v>5572</v>
      </c>
      <c r="G53" s="86"/>
      <c r="H53" s="86"/>
    </row>
    <row r="54">
      <c r="A54" s="49" t="s">
        <v>1095</v>
      </c>
      <c r="B54" s="80" t="s">
        <v>1001</v>
      </c>
      <c r="C54" s="80">
        <v>21.0</v>
      </c>
      <c r="D54" s="80" t="s">
        <v>5573</v>
      </c>
      <c r="E54" s="80">
        <v>1.0</v>
      </c>
      <c r="F54" s="80" t="s">
        <v>5572</v>
      </c>
      <c r="G54" s="86"/>
      <c r="H54" s="86"/>
    </row>
    <row r="55">
      <c r="A55" s="49" t="s">
        <v>1095</v>
      </c>
      <c r="B55" s="80" t="s">
        <v>5570</v>
      </c>
      <c r="C55" s="80">
        <v>1.008</v>
      </c>
      <c r="D55" s="80" t="s">
        <v>5571</v>
      </c>
      <c r="E55" s="80">
        <v>1.0</v>
      </c>
      <c r="F55" s="80" t="s">
        <v>5572</v>
      </c>
      <c r="G55" s="86"/>
      <c r="H55" s="86"/>
    </row>
    <row r="56">
      <c r="A56" s="49" t="s">
        <v>1095</v>
      </c>
      <c r="B56" s="80" t="s">
        <v>1001</v>
      </c>
      <c r="C56" s="80">
        <v>0.0</v>
      </c>
      <c r="D56" s="80" t="s">
        <v>5573</v>
      </c>
      <c r="E56" s="80">
        <v>1.0</v>
      </c>
      <c r="F56" s="80" t="s">
        <v>5572</v>
      </c>
      <c r="G56" s="86"/>
      <c r="H56" s="86"/>
    </row>
    <row r="57">
      <c r="A57" s="49" t="s">
        <v>1095</v>
      </c>
      <c r="B57" s="80" t="s">
        <v>5574</v>
      </c>
      <c r="C57" s="80">
        <v>2.57</v>
      </c>
      <c r="D57" s="80" t="s">
        <v>5575</v>
      </c>
      <c r="E57" s="80">
        <v>1.0</v>
      </c>
      <c r="F57" s="80" t="s">
        <v>5572</v>
      </c>
      <c r="G57" s="86"/>
      <c r="H57" s="86"/>
    </row>
    <row r="58">
      <c r="A58" s="49" t="s">
        <v>1094</v>
      </c>
      <c r="B58" s="80" t="s">
        <v>5570</v>
      </c>
      <c r="C58" s="80">
        <v>1.072</v>
      </c>
      <c r="D58" s="80" t="s">
        <v>5571</v>
      </c>
      <c r="E58" s="80">
        <v>1.0</v>
      </c>
      <c r="F58" s="80" t="s">
        <v>5572</v>
      </c>
      <c r="G58" s="86"/>
      <c r="H58" s="86"/>
    </row>
    <row r="59">
      <c r="A59" s="49" t="s">
        <v>1094</v>
      </c>
      <c r="B59" s="80" t="s">
        <v>1001</v>
      </c>
      <c r="C59" s="80">
        <v>19.0</v>
      </c>
      <c r="D59" s="80" t="s">
        <v>5573</v>
      </c>
      <c r="E59" s="80">
        <v>1.0</v>
      </c>
      <c r="F59" s="80" t="s">
        <v>5572</v>
      </c>
      <c r="G59" s="86"/>
      <c r="H59" s="86"/>
    </row>
    <row r="60">
      <c r="A60" s="49" t="s">
        <v>1094</v>
      </c>
      <c r="B60" s="80" t="s">
        <v>5570</v>
      </c>
      <c r="C60" s="80">
        <v>1.022</v>
      </c>
      <c r="D60" s="80" t="s">
        <v>5571</v>
      </c>
      <c r="E60" s="80">
        <v>1.0</v>
      </c>
      <c r="F60" s="80" t="s">
        <v>5572</v>
      </c>
      <c r="G60" s="86"/>
      <c r="H60" s="86"/>
    </row>
    <row r="61">
      <c r="A61" s="49" t="s">
        <v>1094</v>
      </c>
      <c r="B61" s="80" t="s">
        <v>1001</v>
      </c>
      <c r="C61" s="80">
        <v>21.0</v>
      </c>
      <c r="D61" s="80" t="s">
        <v>5573</v>
      </c>
      <c r="E61" s="80">
        <v>1.0</v>
      </c>
      <c r="F61" s="80" t="s">
        <v>5572</v>
      </c>
      <c r="G61" s="86"/>
      <c r="H61" s="86"/>
    </row>
    <row r="62">
      <c r="A62" s="49" t="s">
        <v>1094</v>
      </c>
      <c r="B62" s="80" t="s">
        <v>5570</v>
      </c>
      <c r="C62" s="80">
        <v>1.014</v>
      </c>
      <c r="D62" s="80" t="s">
        <v>5571</v>
      </c>
      <c r="E62" s="80">
        <v>1.0</v>
      </c>
      <c r="F62" s="80" t="s">
        <v>5572</v>
      </c>
      <c r="G62" s="86"/>
      <c r="H62" s="86"/>
    </row>
    <row r="63">
      <c r="A63" s="49" t="s">
        <v>1094</v>
      </c>
      <c r="B63" s="80" t="s">
        <v>1001</v>
      </c>
      <c r="C63" s="80">
        <v>0.0</v>
      </c>
      <c r="D63" s="80" t="s">
        <v>5573</v>
      </c>
      <c r="E63" s="80">
        <v>1.0</v>
      </c>
      <c r="F63" s="80" t="s">
        <v>5572</v>
      </c>
      <c r="G63" s="86"/>
      <c r="H63" s="86"/>
    </row>
    <row r="64">
      <c r="A64" s="49" t="s">
        <v>1094</v>
      </c>
      <c r="B64" s="80" t="s">
        <v>5574</v>
      </c>
      <c r="C64" s="80">
        <v>2.6</v>
      </c>
      <c r="D64" s="86"/>
      <c r="E64" s="80">
        <v>1.0</v>
      </c>
      <c r="F64" s="80" t="s">
        <v>5572</v>
      </c>
      <c r="G64" s="86"/>
      <c r="H64" s="86"/>
    </row>
    <row r="65">
      <c r="A65" s="49" t="s">
        <v>1093</v>
      </c>
      <c r="B65" s="80" t="s">
        <v>5570</v>
      </c>
      <c r="C65" s="80">
        <v>1.032</v>
      </c>
      <c r="D65" s="80" t="s">
        <v>5571</v>
      </c>
      <c r="E65" s="80">
        <v>1.0</v>
      </c>
      <c r="F65" s="80" t="s">
        <v>5572</v>
      </c>
      <c r="G65" s="86"/>
      <c r="H65" s="86"/>
    </row>
    <row r="66">
      <c r="A66" s="49" t="s">
        <v>1093</v>
      </c>
      <c r="B66" s="80" t="s">
        <v>1001</v>
      </c>
      <c r="C66" s="80">
        <v>0.0</v>
      </c>
      <c r="D66" s="80" t="s">
        <v>5573</v>
      </c>
      <c r="E66" s="80">
        <v>1.0</v>
      </c>
      <c r="F66" s="80" t="s">
        <v>5572</v>
      </c>
      <c r="G66" s="86"/>
      <c r="H66" s="86"/>
    </row>
    <row r="67">
      <c r="A67" s="49" t="s">
        <v>1093</v>
      </c>
      <c r="B67" s="80" t="s">
        <v>1001</v>
      </c>
      <c r="C67" s="80">
        <v>0.0</v>
      </c>
      <c r="D67" s="80" t="s">
        <v>5573</v>
      </c>
      <c r="E67" s="80">
        <v>1.0</v>
      </c>
      <c r="F67" s="80" t="s">
        <v>5572</v>
      </c>
      <c r="G67" s="86"/>
      <c r="H67" s="86"/>
    </row>
    <row r="68">
      <c r="A68" s="49" t="s">
        <v>1093</v>
      </c>
      <c r="B68" s="80" t="s">
        <v>5574</v>
      </c>
      <c r="C68" s="80">
        <v>3.1</v>
      </c>
      <c r="D68" s="80" t="s">
        <v>5575</v>
      </c>
      <c r="E68" s="80">
        <v>1.0</v>
      </c>
      <c r="F68" s="80" t="s">
        <v>5572</v>
      </c>
      <c r="G68" s="86"/>
      <c r="H68" s="86"/>
    </row>
    <row r="69">
      <c r="A69" s="49" t="s">
        <v>1092</v>
      </c>
      <c r="B69" s="80" t="s">
        <v>5570</v>
      </c>
      <c r="C69" s="80">
        <v>1.041</v>
      </c>
      <c r="D69" s="80" t="s">
        <v>5571</v>
      </c>
      <c r="E69" s="80">
        <v>1.0</v>
      </c>
      <c r="F69" s="80" t="s">
        <v>5572</v>
      </c>
      <c r="G69" s="86"/>
      <c r="H69" s="86"/>
    </row>
    <row r="70">
      <c r="A70" s="49" t="s">
        <v>1092</v>
      </c>
      <c r="B70" s="80" t="s">
        <v>1001</v>
      </c>
      <c r="C70" s="80">
        <v>12.0</v>
      </c>
      <c r="D70" s="80" t="s">
        <v>5573</v>
      </c>
      <c r="E70" s="80">
        <v>1.0</v>
      </c>
      <c r="F70" s="80" t="s">
        <v>5572</v>
      </c>
      <c r="G70" s="86"/>
      <c r="H70" s="86"/>
    </row>
    <row r="71">
      <c r="A71" s="49" t="s">
        <v>1092</v>
      </c>
      <c r="B71" s="80" t="s">
        <v>5570</v>
      </c>
      <c r="C71" s="80">
        <v>1.012</v>
      </c>
      <c r="D71" s="80" t="s">
        <v>5571</v>
      </c>
      <c r="E71" s="80">
        <v>1.0</v>
      </c>
      <c r="F71" s="80" t="s">
        <v>5572</v>
      </c>
      <c r="G71" s="86"/>
      <c r="H71" s="86"/>
    </row>
    <row r="72">
      <c r="A72" s="49" t="s">
        <v>1092</v>
      </c>
      <c r="B72" s="80" t="s">
        <v>1001</v>
      </c>
      <c r="C72" s="80">
        <v>16.0</v>
      </c>
      <c r="D72" s="80" t="s">
        <v>5573</v>
      </c>
      <c r="E72" s="80">
        <v>1.0</v>
      </c>
      <c r="F72" s="80" t="s">
        <v>5572</v>
      </c>
      <c r="G72" s="86"/>
      <c r="H72" s="86"/>
    </row>
    <row r="73">
      <c r="A73" s="49" t="s">
        <v>1092</v>
      </c>
      <c r="B73" s="80" t="s">
        <v>5570</v>
      </c>
      <c r="C73" s="80">
        <v>1.008</v>
      </c>
      <c r="D73" s="80" t="s">
        <v>5571</v>
      </c>
      <c r="E73" s="80">
        <v>1.0</v>
      </c>
      <c r="F73" s="80" t="s">
        <v>5572</v>
      </c>
      <c r="G73" s="86"/>
      <c r="H73" s="86"/>
    </row>
    <row r="74">
      <c r="A74" s="49" t="s">
        <v>1092</v>
      </c>
      <c r="B74" s="80" t="s">
        <v>1001</v>
      </c>
      <c r="C74" s="80">
        <v>0.0</v>
      </c>
      <c r="D74" s="80" t="s">
        <v>5573</v>
      </c>
      <c r="E74" s="80">
        <v>1.0</v>
      </c>
      <c r="F74" s="80" t="s">
        <v>5572</v>
      </c>
      <c r="G74" s="86"/>
      <c r="H74" s="86"/>
    </row>
    <row r="75">
      <c r="A75" s="49" t="s">
        <v>1092</v>
      </c>
      <c r="B75" s="80" t="s">
        <v>5574</v>
      </c>
      <c r="C75" s="80">
        <v>2.67</v>
      </c>
      <c r="D75" s="80" t="s">
        <v>5573</v>
      </c>
      <c r="E75" s="80">
        <v>1.0</v>
      </c>
      <c r="F75" s="80" t="s">
        <v>5572</v>
      </c>
      <c r="G75" s="86"/>
      <c r="H75" s="86"/>
    </row>
    <row r="76">
      <c r="A76" s="49" t="s">
        <v>1091</v>
      </c>
      <c r="B76" s="80" t="s">
        <v>5570</v>
      </c>
      <c r="C76" s="80">
        <v>1.063</v>
      </c>
      <c r="D76" s="80" t="s">
        <v>5571</v>
      </c>
      <c r="E76" s="80">
        <v>1.0</v>
      </c>
      <c r="F76" s="80" t="s">
        <v>5576</v>
      </c>
      <c r="G76" s="86"/>
      <c r="H76" s="86"/>
    </row>
    <row r="77">
      <c r="A77" s="49" t="s">
        <v>1091</v>
      </c>
      <c r="B77" s="80" t="s">
        <v>1001</v>
      </c>
      <c r="C77" s="80">
        <v>19.0</v>
      </c>
      <c r="D77" s="80" t="s">
        <v>5573</v>
      </c>
      <c r="E77" s="80">
        <v>1.0</v>
      </c>
      <c r="F77" s="80" t="s">
        <v>5576</v>
      </c>
      <c r="G77" s="86"/>
      <c r="H77" s="86"/>
    </row>
    <row r="78">
      <c r="A78" s="49" t="s">
        <v>1091</v>
      </c>
      <c r="B78" s="80" t="s">
        <v>5570</v>
      </c>
      <c r="C78" s="80">
        <v>1.018</v>
      </c>
      <c r="D78" s="80" t="s">
        <v>5571</v>
      </c>
      <c r="E78" s="80">
        <v>1.0</v>
      </c>
      <c r="F78" s="80" t="s">
        <v>5576</v>
      </c>
      <c r="G78" s="86"/>
      <c r="H78" s="86"/>
    </row>
    <row r="79">
      <c r="A79" s="49" t="s">
        <v>1091</v>
      </c>
      <c r="B79" s="80" t="s">
        <v>1001</v>
      </c>
      <c r="C79" s="80">
        <v>21.0</v>
      </c>
      <c r="D79" s="80" t="s">
        <v>5573</v>
      </c>
      <c r="E79" s="80">
        <v>1.0</v>
      </c>
      <c r="F79" s="80" t="s">
        <v>5576</v>
      </c>
      <c r="G79" s="86"/>
      <c r="H79" s="86"/>
    </row>
    <row r="80">
      <c r="A80" s="49" t="s">
        <v>1091</v>
      </c>
      <c r="B80" s="80" t="s">
        <v>5570</v>
      </c>
      <c r="C80" s="80">
        <v>1.012</v>
      </c>
      <c r="D80" s="80" t="s">
        <v>5571</v>
      </c>
      <c r="E80" s="80">
        <v>1.0</v>
      </c>
      <c r="F80" s="80" t="s">
        <v>5576</v>
      </c>
      <c r="G80" s="86"/>
      <c r="H80" s="86"/>
    </row>
    <row r="81">
      <c r="A81" s="49" t="s">
        <v>1091</v>
      </c>
      <c r="B81" s="80" t="s">
        <v>1001</v>
      </c>
      <c r="C81" s="80">
        <v>0.0</v>
      </c>
      <c r="D81" s="80" t="s">
        <v>5573</v>
      </c>
      <c r="E81" s="80">
        <v>1.0</v>
      </c>
      <c r="F81" s="80" t="s">
        <v>5576</v>
      </c>
      <c r="G81" s="86"/>
      <c r="H81" s="86"/>
    </row>
    <row r="82">
      <c r="A82" s="49" t="s">
        <v>1091</v>
      </c>
      <c r="B82" s="80" t="s">
        <v>5574</v>
      </c>
      <c r="C82" s="80">
        <v>2.6</v>
      </c>
      <c r="D82" s="80" t="s">
        <v>5575</v>
      </c>
      <c r="E82" s="80">
        <v>1.0</v>
      </c>
      <c r="F82" s="80" t="s">
        <v>5576</v>
      </c>
      <c r="G82" s="86"/>
      <c r="H82" s="86"/>
    </row>
    <row r="83">
      <c r="A83" s="49" t="s">
        <v>1089</v>
      </c>
      <c r="B83" s="80" t="s">
        <v>5570</v>
      </c>
      <c r="C83" s="80">
        <v>1.048</v>
      </c>
      <c r="D83" s="80" t="s">
        <v>5571</v>
      </c>
      <c r="E83" s="80">
        <v>1.0</v>
      </c>
      <c r="F83" s="80" t="s">
        <v>5576</v>
      </c>
      <c r="G83" s="86"/>
      <c r="H83" s="86"/>
    </row>
    <row r="84">
      <c r="A84" s="49" t="s">
        <v>1089</v>
      </c>
      <c r="B84" s="80" t="s">
        <v>1001</v>
      </c>
      <c r="C84" s="80">
        <v>19.0</v>
      </c>
      <c r="D84" s="80" t="s">
        <v>5573</v>
      </c>
      <c r="E84" s="80">
        <v>1.0</v>
      </c>
      <c r="F84" s="80" t="s">
        <v>5576</v>
      </c>
      <c r="G84" s="86"/>
      <c r="H84" s="86"/>
    </row>
    <row r="85">
      <c r="A85" s="49" t="s">
        <v>1089</v>
      </c>
      <c r="B85" s="80" t="s">
        <v>5570</v>
      </c>
      <c r="C85" s="80">
        <v>1.016</v>
      </c>
      <c r="D85" s="80" t="s">
        <v>5571</v>
      </c>
      <c r="E85" s="80">
        <v>1.0</v>
      </c>
      <c r="F85" s="80" t="s">
        <v>5576</v>
      </c>
      <c r="G85" s="86"/>
      <c r="H85" s="86"/>
    </row>
    <row r="86">
      <c r="A86" s="49" t="s">
        <v>1089</v>
      </c>
      <c r="B86" s="80" t="s">
        <v>1001</v>
      </c>
      <c r="C86" s="80">
        <v>21.0</v>
      </c>
      <c r="D86" s="80" t="s">
        <v>5573</v>
      </c>
      <c r="E86" s="80">
        <v>1.0</v>
      </c>
      <c r="F86" s="80" t="s">
        <v>5576</v>
      </c>
      <c r="G86" s="86"/>
      <c r="H86" s="86"/>
    </row>
    <row r="87">
      <c r="A87" s="49" t="s">
        <v>1089</v>
      </c>
      <c r="B87" s="80" t="s">
        <v>5570</v>
      </c>
      <c r="C87" s="80">
        <v>1.008</v>
      </c>
      <c r="D87" s="80" t="s">
        <v>5571</v>
      </c>
      <c r="E87" s="80">
        <v>1.0</v>
      </c>
      <c r="F87" s="80" t="s">
        <v>5576</v>
      </c>
      <c r="G87" s="86"/>
      <c r="H87" s="86"/>
    </row>
    <row r="88">
      <c r="A88" s="49" t="s">
        <v>1089</v>
      </c>
      <c r="B88" s="80" t="s">
        <v>1001</v>
      </c>
      <c r="C88" s="80">
        <v>0.0</v>
      </c>
      <c r="D88" s="80" t="s">
        <v>5573</v>
      </c>
      <c r="E88" s="80">
        <v>1.0</v>
      </c>
      <c r="F88" s="80" t="s">
        <v>5576</v>
      </c>
      <c r="G88" s="86"/>
      <c r="H88" s="86"/>
    </row>
    <row r="89">
      <c r="A89" s="49" t="s">
        <v>1089</v>
      </c>
      <c r="B89" s="80" t="s">
        <v>5574</v>
      </c>
      <c r="C89" s="80">
        <v>2.65</v>
      </c>
      <c r="D89" s="80" t="s">
        <v>5575</v>
      </c>
      <c r="E89" s="80">
        <v>1.0</v>
      </c>
      <c r="F89" s="80" t="s">
        <v>5576</v>
      </c>
      <c r="G89" s="86"/>
      <c r="H89" s="86"/>
    </row>
    <row r="90">
      <c r="A90" s="49" t="s">
        <v>1087</v>
      </c>
      <c r="B90" s="80" t="s">
        <v>5570</v>
      </c>
      <c r="C90" s="80">
        <v>1.048</v>
      </c>
      <c r="D90" s="80" t="s">
        <v>5571</v>
      </c>
      <c r="E90" s="80">
        <v>1.0</v>
      </c>
      <c r="F90" s="80" t="s">
        <v>5576</v>
      </c>
      <c r="G90" s="86"/>
      <c r="H90" s="86"/>
    </row>
    <row r="91">
      <c r="A91" s="49" t="s">
        <v>1087</v>
      </c>
      <c r="B91" s="80" t="s">
        <v>1001</v>
      </c>
      <c r="C91" s="80">
        <v>19.0</v>
      </c>
      <c r="D91" s="80" t="s">
        <v>5573</v>
      </c>
      <c r="E91" s="80">
        <v>1.0</v>
      </c>
      <c r="F91" s="80" t="s">
        <v>5576</v>
      </c>
      <c r="G91" s="86"/>
      <c r="H91" s="86"/>
    </row>
    <row r="92">
      <c r="A92" s="49" t="s">
        <v>1087</v>
      </c>
      <c r="B92" s="80" t="s">
        <v>5570</v>
      </c>
      <c r="C92" s="80">
        <v>1.016</v>
      </c>
      <c r="D92" s="80" t="s">
        <v>5571</v>
      </c>
      <c r="E92" s="80">
        <v>1.0</v>
      </c>
      <c r="F92" s="80" t="s">
        <v>5576</v>
      </c>
      <c r="G92" s="86"/>
      <c r="H92" s="86"/>
    </row>
    <row r="93">
      <c r="A93" s="49" t="s">
        <v>1087</v>
      </c>
      <c r="B93" s="80" t="s">
        <v>1001</v>
      </c>
      <c r="C93" s="80">
        <v>21.0</v>
      </c>
      <c r="D93" s="80" t="s">
        <v>5573</v>
      </c>
      <c r="E93" s="80">
        <v>1.0</v>
      </c>
      <c r="F93" s="80" t="s">
        <v>5576</v>
      </c>
      <c r="G93" s="86"/>
      <c r="H93" s="86"/>
    </row>
    <row r="94">
      <c r="A94" s="49" t="s">
        <v>1087</v>
      </c>
      <c r="B94" s="80" t="s">
        <v>5570</v>
      </c>
      <c r="C94" s="80">
        <v>1.012</v>
      </c>
      <c r="D94" s="80" t="s">
        <v>5571</v>
      </c>
      <c r="E94" s="80">
        <v>1.0</v>
      </c>
      <c r="F94" s="80" t="s">
        <v>5576</v>
      </c>
      <c r="G94" s="86"/>
      <c r="H94" s="86"/>
    </row>
    <row r="95">
      <c r="A95" s="49" t="s">
        <v>1087</v>
      </c>
      <c r="B95" s="80" t="s">
        <v>1001</v>
      </c>
      <c r="C95" s="80">
        <v>0.0</v>
      </c>
      <c r="D95" s="80" t="s">
        <v>5573</v>
      </c>
      <c r="E95" s="80">
        <v>1.0</v>
      </c>
      <c r="F95" s="80" t="s">
        <v>5576</v>
      </c>
      <c r="G95" s="86"/>
      <c r="H95" s="86"/>
    </row>
    <row r="96">
      <c r="A96" s="49" t="s">
        <v>1087</v>
      </c>
      <c r="B96" s="80" t="s">
        <v>5574</v>
      </c>
      <c r="C96" s="80">
        <v>2.8</v>
      </c>
      <c r="D96" s="80" t="s">
        <v>5575</v>
      </c>
      <c r="E96" s="80">
        <v>1.0</v>
      </c>
      <c r="F96" s="80" t="s">
        <v>5576</v>
      </c>
      <c r="G96" s="86"/>
      <c r="H96" s="86"/>
    </row>
    <row r="97">
      <c r="A97" s="49" t="s">
        <v>1086</v>
      </c>
      <c r="B97" s="80" t="s">
        <v>5570</v>
      </c>
      <c r="C97" s="80">
        <v>1.032</v>
      </c>
      <c r="D97" s="80" t="s">
        <v>5571</v>
      </c>
      <c r="E97" s="80">
        <v>1.0</v>
      </c>
      <c r="F97" s="80" t="s">
        <v>5576</v>
      </c>
      <c r="G97" s="86"/>
      <c r="H97" s="86"/>
    </row>
    <row r="98">
      <c r="A98" s="49" t="s">
        <v>1086</v>
      </c>
      <c r="B98" s="80" t="s">
        <v>1001</v>
      </c>
      <c r="C98" s="80">
        <v>0.0</v>
      </c>
      <c r="D98" s="80" t="s">
        <v>5573</v>
      </c>
      <c r="E98" s="80">
        <v>1.0</v>
      </c>
      <c r="F98" s="80" t="s">
        <v>5576</v>
      </c>
      <c r="G98" s="86"/>
      <c r="H98" s="86"/>
    </row>
    <row r="99">
      <c r="A99" s="49" t="s">
        <v>1086</v>
      </c>
      <c r="B99" s="80" t="s">
        <v>1001</v>
      </c>
      <c r="C99" s="80">
        <v>0.0</v>
      </c>
      <c r="D99" s="80" t="s">
        <v>5573</v>
      </c>
      <c r="E99" s="80">
        <v>1.0</v>
      </c>
      <c r="F99" s="80" t="s">
        <v>5576</v>
      </c>
      <c r="G99" s="86"/>
      <c r="H99" s="86"/>
    </row>
    <row r="100">
      <c r="A100" s="49" t="s">
        <v>1086</v>
      </c>
      <c r="B100" s="80" t="s">
        <v>5574</v>
      </c>
      <c r="C100" s="80">
        <v>3.0</v>
      </c>
      <c r="D100" s="80" t="s">
        <v>5575</v>
      </c>
      <c r="E100" s="80">
        <v>1.0</v>
      </c>
      <c r="F100" s="80" t="s">
        <v>5576</v>
      </c>
      <c r="G100" s="86"/>
      <c r="H100" s="86"/>
    </row>
    <row r="101">
      <c r="A101" s="49" t="s">
        <v>1084</v>
      </c>
      <c r="B101" s="80" t="s">
        <v>5570</v>
      </c>
      <c r="C101" s="80">
        <v>1.062</v>
      </c>
      <c r="D101" s="80" t="s">
        <v>5571</v>
      </c>
      <c r="E101" s="80">
        <v>1.0</v>
      </c>
      <c r="F101" s="80" t="s">
        <v>5576</v>
      </c>
      <c r="G101" s="86"/>
      <c r="H101" s="86"/>
    </row>
    <row r="102">
      <c r="A102" s="49" t="s">
        <v>1084</v>
      </c>
      <c r="B102" s="80" t="s">
        <v>1001</v>
      </c>
      <c r="C102" s="80">
        <v>19.0</v>
      </c>
      <c r="D102" s="80" t="s">
        <v>5573</v>
      </c>
      <c r="E102" s="80">
        <v>1.0</v>
      </c>
      <c r="F102" s="80" t="s">
        <v>5576</v>
      </c>
      <c r="G102" s="86"/>
      <c r="H102" s="86"/>
    </row>
    <row r="103">
      <c r="A103" s="49" t="s">
        <v>1084</v>
      </c>
      <c r="B103" s="80" t="s">
        <v>5570</v>
      </c>
      <c r="C103" s="80">
        <v>1.018</v>
      </c>
      <c r="D103" s="80" t="s">
        <v>5571</v>
      </c>
      <c r="E103" s="80">
        <v>1.0</v>
      </c>
      <c r="F103" s="80" t="s">
        <v>5576</v>
      </c>
      <c r="G103" s="86"/>
      <c r="H103" s="86"/>
    </row>
    <row r="104">
      <c r="A104" s="49" t="s">
        <v>1084</v>
      </c>
      <c r="B104" s="80" t="s">
        <v>1001</v>
      </c>
      <c r="C104" s="80">
        <v>21.0</v>
      </c>
      <c r="D104" s="80" t="s">
        <v>5573</v>
      </c>
      <c r="E104" s="80">
        <v>1.0</v>
      </c>
      <c r="F104" s="80" t="s">
        <v>5576</v>
      </c>
      <c r="G104" s="86"/>
      <c r="H104" s="86"/>
    </row>
    <row r="105">
      <c r="A105" s="49" t="s">
        <v>1084</v>
      </c>
      <c r="B105" s="80" t="s">
        <v>5570</v>
      </c>
      <c r="C105" s="80">
        <v>1.012</v>
      </c>
      <c r="D105" s="80" t="s">
        <v>5571</v>
      </c>
      <c r="E105" s="80">
        <v>1.0</v>
      </c>
      <c r="F105" s="80" t="s">
        <v>5576</v>
      </c>
      <c r="G105" s="86"/>
      <c r="H105" s="86"/>
    </row>
    <row r="106">
      <c r="A106" s="49" t="s">
        <v>1084</v>
      </c>
      <c r="B106" s="80" t="s">
        <v>1001</v>
      </c>
      <c r="C106" s="80">
        <v>0.0</v>
      </c>
      <c r="D106" s="80" t="s">
        <v>5573</v>
      </c>
      <c r="E106" s="80">
        <v>1.0</v>
      </c>
      <c r="F106" s="80" t="s">
        <v>5576</v>
      </c>
      <c r="G106" s="86"/>
      <c r="H106" s="86"/>
    </row>
    <row r="107">
      <c r="A107" s="49" t="s">
        <v>1084</v>
      </c>
      <c r="B107" s="80" t="s">
        <v>5574</v>
      </c>
      <c r="C107" s="80">
        <v>2.7</v>
      </c>
      <c r="D107" s="80" t="s">
        <v>5575</v>
      </c>
      <c r="E107" s="80">
        <v>1.0</v>
      </c>
      <c r="F107" s="80" t="s">
        <v>5576</v>
      </c>
      <c r="G107" s="86"/>
      <c r="H107" s="86"/>
    </row>
    <row r="108">
      <c r="A108" s="49" t="s">
        <v>1083</v>
      </c>
      <c r="B108" s="80" t="s">
        <v>5570</v>
      </c>
      <c r="C108" s="80">
        <v>1.049</v>
      </c>
      <c r="D108" s="80" t="s">
        <v>5571</v>
      </c>
      <c r="E108" s="80">
        <v>1.0</v>
      </c>
      <c r="F108" s="80" t="s">
        <v>5576</v>
      </c>
      <c r="G108" s="86"/>
      <c r="H108" s="86"/>
    </row>
    <row r="109">
      <c r="A109" s="49" t="s">
        <v>1083</v>
      </c>
      <c r="B109" s="80" t="s">
        <v>1001</v>
      </c>
      <c r="C109" s="80">
        <v>19.0</v>
      </c>
      <c r="D109" s="80" t="s">
        <v>5573</v>
      </c>
      <c r="E109" s="80">
        <v>1.0</v>
      </c>
      <c r="F109" s="80" t="s">
        <v>5576</v>
      </c>
      <c r="G109" s="86"/>
      <c r="H109" s="86"/>
    </row>
    <row r="110">
      <c r="A110" s="49" t="s">
        <v>1083</v>
      </c>
      <c r="B110" s="80" t="s">
        <v>5570</v>
      </c>
      <c r="C110" s="80">
        <v>1.016</v>
      </c>
      <c r="D110" s="80" t="s">
        <v>5571</v>
      </c>
      <c r="E110" s="80">
        <v>1.0</v>
      </c>
      <c r="F110" s="80" t="s">
        <v>5576</v>
      </c>
      <c r="G110" s="86"/>
      <c r="H110" s="86"/>
    </row>
    <row r="111">
      <c r="A111" s="49" t="s">
        <v>1083</v>
      </c>
      <c r="B111" s="80" t="s">
        <v>1001</v>
      </c>
      <c r="C111" s="80">
        <v>21.0</v>
      </c>
      <c r="D111" s="80" t="s">
        <v>5573</v>
      </c>
      <c r="E111" s="80">
        <v>1.0</v>
      </c>
      <c r="F111" s="80" t="s">
        <v>5576</v>
      </c>
      <c r="G111" s="86"/>
      <c r="H111" s="86"/>
    </row>
    <row r="112">
      <c r="A112" s="49" t="s">
        <v>1083</v>
      </c>
      <c r="B112" s="80" t="s">
        <v>5570</v>
      </c>
      <c r="C112" s="80">
        <v>1.009</v>
      </c>
      <c r="D112" s="80" t="s">
        <v>5571</v>
      </c>
      <c r="E112" s="80">
        <v>1.0</v>
      </c>
      <c r="F112" s="80" t="s">
        <v>5576</v>
      </c>
      <c r="G112" s="86"/>
      <c r="H112" s="86"/>
    </row>
    <row r="113">
      <c r="A113" s="49" t="s">
        <v>1083</v>
      </c>
      <c r="B113" s="80" t="s">
        <v>1001</v>
      </c>
      <c r="C113" s="80">
        <v>0.0</v>
      </c>
      <c r="D113" s="80" t="s">
        <v>5573</v>
      </c>
      <c r="E113" s="80">
        <v>1.0</v>
      </c>
      <c r="F113" s="80" t="s">
        <v>5576</v>
      </c>
      <c r="G113" s="86"/>
      <c r="H113" s="86"/>
    </row>
    <row r="114">
      <c r="A114" s="49" t="s">
        <v>1083</v>
      </c>
      <c r="B114" s="80" t="s">
        <v>5574</v>
      </c>
      <c r="C114" s="80">
        <v>2.56</v>
      </c>
      <c r="D114" s="80" t="s">
        <v>5575</v>
      </c>
      <c r="E114" s="80">
        <v>1.0</v>
      </c>
      <c r="F114" s="80" t="s">
        <v>5576</v>
      </c>
      <c r="G114" s="86"/>
      <c r="H114" s="86"/>
    </row>
    <row r="115">
      <c r="A115" s="49" t="s">
        <v>1082</v>
      </c>
      <c r="B115" s="80" t="s">
        <v>5570</v>
      </c>
      <c r="C115" s="80">
        <v>1.047</v>
      </c>
      <c r="D115" s="80" t="s">
        <v>5571</v>
      </c>
      <c r="E115" s="80">
        <v>1.0</v>
      </c>
      <c r="F115" s="80" t="s">
        <v>5576</v>
      </c>
      <c r="G115" s="86"/>
      <c r="H115" s="86"/>
    </row>
    <row r="116">
      <c r="A116" s="49" t="s">
        <v>1082</v>
      </c>
      <c r="B116" s="80" t="s">
        <v>1001</v>
      </c>
      <c r="C116" s="80">
        <v>18.0</v>
      </c>
      <c r="D116" s="80" t="s">
        <v>5573</v>
      </c>
      <c r="E116" s="80">
        <v>1.0</v>
      </c>
      <c r="F116" s="80" t="s">
        <v>5576</v>
      </c>
      <c r="G116" s="86"/>
      <c r="H116" s="86"/>
    </row>
    <row r="117">
      <c r="A117" s="49" t="s">
        <v>1082</v>
      </c>
      <c r="B117" s="80" t="s">
        <v>5570</v>
      </c>
      <c r="C117" s="80">
        <v>1.017</v>
      </c>
      <c r="D117" s="80" t="s">
        <v>5571</v>
      </c>
      <c r="E117" s="80">
        <v>1.0</v>
      </c>
      <c r="F117" s="80" t="s">
        <v>5576</v>
      </c>
      <c r="G117" s="86"/>
      <c r="H117" s="86"/>
    </row>
    <row r="118">
      <c r="A118" s="49" t="s">
        <v>1082</v>
      </c>
      <c r="B118" s="80" t="s">
        <v>1001</v>
      </c>
      <c r="C118" s="80">
        <v>21.0</v>
      </c>
      <c r="D118" s="80" t="s">
        <v>5573</v>
      </c>
      <c r="E118" s="80">
        <v>1.0</v>
      </c>
      <c r="F118" s="80" t="s">
        <v>5576</v>
      </c>
      <c r="G118" s="86"/>
      <c r="H118" s="86"/>
    </row>
    <row r="119">
      <c r="A119" s="49" t="s">
        <v>1082</v>
      </c>
      <c r="B119" s="80" t="s">
        <v>5570</v>
      </c>
      <c r="C119" s="80">
        <v>1.012</v>
      </c>
      <c r="D119" s="80" t="s">
        <v>5571</v>
      </c>
      <c r="E119" s="80">
        <v>1.0</v>
      </c>
      <c r="F119" s="80" t="s">
        <v>5576</v>
      </c>
      <c r="G119" s="86"/>
      <c r="H119" s="86"/>
    </row>
    <row r="120">
      <c r="A120" s="49" t="s">
        <v>1082</v>
      </c>
      <c r="B120" s="80" t="s">
        <v>1001</v>
      </c>
      <c r="C120" s="80">
        <v>0.0</v>
      </c>
      <c r="D120" s="80" t="s">
        <v>5573</v>
      </c>
      <c r="E120" s="80">
        <v>1.0</v>
      </c>
      <c r="F120" s="80" t="s">
        <v>5576</v>
      </c>
      <c r="G120" s="86"/>
      <c r="H120" s="86"/>
    </row>
    <row r="121">
      <c r="A121" s="49" t="s">
        <v>1082</v>
      </c>
      <c r="B121" s="80" t="s">
        <v>5574</v>
      </c>
      <c r="C121" s="80">
        <v>2.6</v>
      </c>
      <c r="D121" s="80" t="s">
        <v>5575</v>
      </c>
      <c r="E121" s="80">
        <v>1.0</v>
      </c>
      <c r="F121" s="80" t="s">
        <v>5576</v>
      </c>
      <c r="G121" s="86"/>
      <c r="H121" s="86"/>
    </row>
    <row r="122">
      <c r="A122" s="49" t="s">
        <v>1081</v>
      </c>
      <c r="B122" s="80" t="s">
        <v>5570</v>
      </c>
      <c r="C122" s="80">
        <v>1.063</v>
      </c>
      <c r="D122" s="80" t="s">
        <v>5571</v>
      </c>
      <c r="E122" s="80">
        <v>1.0</v>
      </c>
      <c r="F122" s="80" t="s">
        <v>5576</v>
      </c>
      <c r="G122" s="86"/>
      <c r="H122" s="86"/>
    </row>
    <row r="123">
      <c r="A123" s="49" t="s">
        <v>1081</v>
      </c>
      <c r="B123" s="80" t="s">
        <v>1001</v>
      </c>
      <c r="C123" s="80">
        <v>19.0</v>
      </c>
      <c r="D123" s="80" t="s">
        <v>5573</v>
      </c>
      <c r="E123" s="80">
        <v>1.0</v>
      </c>
      <c r="F123" s="80" t="s">
        <v>5576</v>
      </c>
      <c r="G123" s="86"/>
      <c r="H123" s="86"/>
    </row>
    <row r="124">
      <c r="A124" s="49" t="s">
        <v>1081</v>
      </c>
      <c r="B124" s="80" t="s">
        <v>5570</v>
      </c>
      <c r="C124" s="80">
        <v>1.018</v>
      </c>
      <c r="D124" s="80" t="s">
        <v>5571</v>
      </c>
      <c r="E124" s="80">
        <v>1.0</v>
      </c>
      <c r="F124" s="80" t="s">
        <v>5576</v>
      </c>
      <c r="G124" s="86"/>
      <c r="H124" s="86"/>
    </row>
    <row r="125">
      <c r="A125" s="49" t="s">
        <v>1081</v>
      </c>
      <c r="B125" s="80" t="s">
        <v>1001</v>
      </c>
      <c r="C125" s="80">
        <v>21.0</v>
      </c>
      <c r="D125" s="80" t="s">
        <v>5573</v>
      </c>
      <c r="E125" s="80">
        <v>1.0</v>
      </c>
      <c r="F125" s="80" t="s">
        <v>5576</v>
      </c>
      <c r="G125" s="86"/>
      <c r="H125" s="86"/>
    </row>
    <row r="126">
      <c r="A126" s="49" t="s">
        <v>1081</v>
      </c>
      <c r="B126" s="80" t="s">
        <v>5570</v>
      </c>
      <c r="C126" s="80">
        <v>1.012</v>
      </c>
      <c r="D126" s="80" t="s">
        <v>5571</v>
      </c>
      <c r="E126" s="80">
        <v>1.0</v>
      </c>
      <c r="F126" s="80" t="s">
        <v>5576</v>
      </c>
      <c r="G126" s="86"/>
      <c r="H126" s="86"/>
    </row>
    <row r="127">
      <c r="A127" s="49" t="s">
        <v>1081</v>
      </c>
      <c r="B127" s="80" t="s">
        <v>1001</v>
      </c>
      <c r="C127" s="80">
        <v>0.0</v>
      </c>
      <c r="D127" s="80" t="s">
        <v>5573</v>
      </c>
      <c r="E127" s="80">
        <v>1.0</v>
      </c>
      <c r="F127" s="80" t="s">
        <v>5576</v>
      </c>
      <c r="G127" s="86"/>
      <c r="H127" s="86"/>
    </row>
    <row r="128">
      <c r="A128" s="49" t="s">
        <v>1081</v>
      </c>
      <c r="B128" s="80" t="s">
        <v>5574</v>
      </c>
      <c r="C128" s="80">
        <v>2.7</v>
      </c>
      <c r="D128" s="80" t="s">
        <v>5575</v>
      </c>
      <c r="E128" s="80">
        <v>1.0</v>
      </c>
      <c r="F128" s="80" t="s">
        <v>5576</v>
      </c>
      <c r="G128" s="86"/>
      <c r="H128" s="86"/>
    </row>
    <row r="129">
      <c r="A129" s="49" t="s">
        <v>1080</v>
      </c>
      <c r="B129" s="80" t="s">
        <v>5570</v>
      </c>
      <c r="C129" s="80">
        <v>1.041</v>
      </c>
      <c r="D129" s="80" t="s">
        <v>5571</v>
      </c>
      <c r="E129" s="80">
        <v>1.0</v>
      </c>
      <c r="F129" s="80" t="s">
        <v>5576</v>
      </c>
      <c r="G129" s="86"/>
      <c r="H129" s="86"/>
    </row>
    <row r="130">
      <c r="A130" s="49" t="s">
        <v>1080</v>
      </c>
      <c r="B130" s="80" t="s">
        <v>1001</v>
      </c>
      <c r="C130" s="80">
        <v>12.0</v>
      </c>
      <c r="D130" s="80" t="s">
        <v>5573</v>
      </c>
      <c r="E130" s="80">
        <v>1.0</v>
      </c>
      <c r="F130" s="80" t="s">
        <v>5576</v>
      </c>
      <c r="G130" s="86"/>
      <c r="H130" s="86"/>
    </row>
    <row r="131">
      <c r="A131" s="49" t="s">
        <v>1080</v>
      </c>
      <c r="B131" s="80" t="s">
        <v>5570</v>
      </c>
      <c r="C131" s="80">
        <v>1.012</v>
      </c>
      <c r="D131" s="80" t="s">
        <v>5571</v>
      </c>
      <c r="E131" s="80">
        <v>1.0</v>
      </c>
      <c r="F131" s="80" t="s">
        <v>5576</v>
      </c>
      <c r="G131" s="86"/>
      <c r="H131" s="86"/>
    </row>
    <row r="132">
      <c r="A132" s="49" t="s">
        <v>1080</v>
      </c>
      <c r="B132" s="80" t="s">
        <v>1001</v>
      </c>
      <c r="C132" s="80">
        <v>16.0</v>
      </c>
      <c r="D132" s="80" t="s">
        <v>5573</v>
      </c>
      <c r="E132" s="80">
        <v>1.0</v>
      </c>
      <c r="F132" s="80" t="s">
        <v>5576</v>
      </c>
      <c r="G132" s="86"/>
      <c r="H132" s="86"/>
    </row>
    <row r="133">
      <c r="A133" s="49" t="s">
        <v>1080</v>
      </c>
      <c r="B133" s="80" t="s">
        <v>5570</v>
      </c>
      <c r="C133" s="80">
        <v>1.008</v>
      </c>
      <c r="D133" s="80" t="s">
        <v>5571</v>
      </c>
      <c r="E133" s="80">
        <v>1.0</v>
      </c>
      <c r="F133" s="80" t="s">
        <v>5576</v>
      </c>
      <c r="G133" s="86"/>
      <c r="H133" s="86"/>
    </row>
    <row r="134">
      <c r="A134" s="49" t="s">
        <v>1080</v>
      </c>
      <c r="B134" s="80" t="s">
        <v>1001</v>
      </c>
      <c r="C134" s="80">
        <v>0.0</v>
      </c>
      <c r="D134" s="80" t="s">
        <v>5573</v>
      </c>
      <c r="E134" s="80">
        <v>1.0</v>
      </c>
      <c r="F134" s="80" t="s">
        <v>5576</v>
      </c>
      <c r="G134" s="86"/>
      <c r="H134" s="86"/>
    </row>
    <row r="135">
      <c r="A135" s="49" t="s">
        <v>1080</v>
      </c>
      <c r="B135" s="80" t="s">
        <v>5574</v>
      </c>
      <c r="C135" s="80">
        <v>2.8</v>
      </c>
      <c r="D135" s="80" t="s">
        <v>5573</v>
      </c>
      <c r="E135" s="80">
        <v>1.0</v>
      </c>
      <c r="F135" s="80" t="s">
        <v>5576</v>
      </c>
      <c r="G135" s="86"/>
      <c r="H135" s="86"/>
    </row>
    <row r="136">
      <c r="A136" s="49" t="s">
        <v>1079</v>
      </c>
      <c r="B136" s="80" t="s">
        <v>5570</v>
      </c>
      <c r="C136" s="80">
        <v>1.032</v>
      </c>
      <c r="D136" s="80" t="s">
        <v>5571</v>
      </c>
      <c r="E136" s="80">
        <v>1.0</v>
      </c>
      <c r="F136" s="80" t="s">
        <v>5576</v>
      </c>
      <c r="G136" s="86"/>
      <c r="H136" s="86"/>
    </row>
    <row r="137">
      <c r="A137" s="49" t="s">
        <v>1079</v>
      </c>
      <c r="B137" s="80" t="s">
        <v>1001</v>
      </c>
      <c r="C137" s="80">
        <v>0.0</v>
      </c>
      <c r="D137" s="80" t="s">
        <v>5573</v>
      </c>
      <c r="E137" s="80">
        <v>1.0</v>
      </c>
      <c r="F137" s="80" t="s">
        <v>5576</v>
      </c>
      <c r="G137" s="86"/>
      <c r="H137" s="86"/>
    </row>
    <row r="138">
      <c r="A138" s="49" t="s">
        <v>1079</v>
      </c>
      <c r="B138" s="80" t="s">
        <v>1001</v>
      </c>
      <c r="C138" s="80">
        <v>0.0</v>
      </c>
      <c r="D138" s="80" t="s">
        <v>5573</v>
      </c>
      <c r="E138" s="80">
        <v>1.0</v>
      </c>
      <c r="F138" s="80" t="s">
        <v>5576</v>
      </c>
      <c r="G138" s="86"/>
      <c r="H138" s="86"/>
    </row>
    <row r="139">
      <c r="A139" s="49" t="s">
        <v>1079</v>
      </c>
      <c r="B139" s="80" t="s">
        <v>5574</v>
      </c>
      <c r="C139" s="80">
        <v>2.85</v>
      </c>
      <c r="D139" s="80" t="s">
        <v>5575</v>
      </c>
      <c r="E139" s="80">
        <v>1.0</v>
      </c>
      <c r="F139" s="80" t="s">
        <v>5576</v>
      </c>
      <c r="G139" s="86"/>
      <c r="H139" s="86"/>
    </row>
    <row r="140">
      <c r="A140" s="49" t="s">
        <v>1078</v>
      </c>
      <c r="B140" s="80" t="s">
        <v>5570</v>
      </c>
      <c r="C140" s="80">
        <v>1.073</v>
      </c>
      <c r="D140" s="80" t="s">
        <v>5571</v>
      </c>
      <c r="E140" s="80">
        <v>1.0</v>
      </c>
      <c r="F140" s="80" t="s">
        <v>5576</v>
      </c>
      <c r="G140" s="86"/>
      <c r="H140" s="86"/>
    </row>
    <row r="141">
      <c r="A141" s="49" t="s">
        <v>1078</v>
      </c>
      <c r="B141" s="80" t="s">
        <v>1001</v>
      </c>
      <c r="C141" s="80">
        <v>19.0</v>
      </c>
      <c r="D141" s="80" t="s">
        <v>5573</v>
      </c>
      <c r="E141" s="80">
        <v>1.0</v>
      </c>
      <c r="F141" s="80" t="s">
        <v>5576</v>
      </c>
      <c r="G141" s="86"/>
      <c r="H141" s="86"/>
    </row>
    <row r="142">
      <c r="A142" s="49" t="s">
        <v>1078</v>
      </c>
      <c r="B142" s="80" t="s">
        <v>5570</v>
      </c>
      <c r="C142" s="80">
        <v>1.022</v>
      </c>
      <c r="D142" s="80" t="s">
        <v>5571</v>
      </c>
      <c r="E142" s="80">
        <v>1.0</v>
      </c>
      <c r="F142" s="80" t="s">
        <v>5576</v>
      </c>
      <c r="G142" s="86"/>
      <c r="H142" s="86"/>
    </row>
    <row r="143">
      <c r="A143" s="49" t="s">
        <v>1078</v>
      </c>
      <c r="B143" s="80" t="s">
        <v>1001</v>
      </c>
      <c r="C143" s="80">
        <v>21.0</v>
      </c>
      <c r="D143" s="80" t="s">
        <v>5573</v>
      </c>
      <c r="E143" s="80">
        <v>1.0</v>
      </c>
      <c r="F143" s="80" t="s">
        <v>5576</v>
      </c>
      <c r="G143" s="86"/>
      <c r="H143" s="86"/>
    </row>
    <row r="144">
      <c r="A144" s="49" t="s">
        <v>1078</v>
      </c>
      <c r="B144" s="80" t="s">
        <v>5570</v>
      </c>
      <c r="C144" s="80">
        <v>1.016</v>
      </c>
      <c r="D144" s="80" t="s">
        <v>5571</v>
      </c>
      <c r="E144" s="80">
        <v>1.0</v>
      </c>
      <c r="F144" s="80" t="s">
        <v>5576</v>
      </c>
      <c r="G144" s="86"/>
      <c r="H144" s="86"/>
    </row>
    <row r="145">
      <c r="A145" s="49" t="s">
        <v>1078</v>
      </c>
      <c r="B145" s="80" t="s">
        <v>1001</v>
      </c>
      <c r="C145" s="80">
        <v>0.0</v>
      </c>
      <c r="D145" s="80" t="s">
        <v>5573</v>
      </c>
      <c r="E145" s="80">
        <v>1.0</v>
      </c>
      <c r="F145" s="80" t="s">
        <v>5576</v>
      </c>
      <c r="G145" s="86"/>
      <c r="H145" s="86"/>
    </row>
    <row r="146">
      <c r="A146" s="49" t="s">
        <v>1078</v>
      </c>
      <c r="B146" s="80" t="s">
        <v>5574</v>
      </c>
      <c r="C146" s="80">
        <v>2.65</v>
      </c>
      <c r="D146" s="80" t="s">
        <v>5575</v>
      </c>
      <c r="E146" s="80">
        <v>1.0</v>
      </c>
      <c r="F146" s="80" t="s">
        <v>5576</v>
      </c>
      <c r="G146" s="86"/>
      <c r="H146" s="86"/>
    </row>
    <row r="147">
      <c r="A147" s="49" t="s">
        <v>1077</v>
      </c>
      <c r="B147" s="80" t="s">
        <v>5570</v>
      </c>
      <c r="C147" s="80">
        <v>1.048</v>
      </c>
      <c r="D147" s="80" t="s">
        <v>5571</v>
      </c>
      <c r="E147" s="80">
        <v>1.0</v>
      </c>
      <c r="F147" s="80" t="s">
        <v>5576</v>
      </c>
      <c r="G147" s="86"/>
      <c r="H147" s="86"/>
    </row>
    <row r="148">
      <c r="A148" s="49" t="s">
        <v>1077</v>
      </c>
      <c r="B148" s="80" t="s">
        <v>1001</v>
      </c>
      <c r="C148" s="80">
        <v>19.0</v>
      </c>
      <c r="D148" s="80" t="s">
        <v>5573</v>
      </c>
      <c r="E148" s="80">
        <v>1.0</v>
      </c>
      <c r="F148" s="80" t="s">
        <v>5576</v>
      </c>
      <c r="G148" s="86"/>
      <c r="H148" s="86"/>
    </row>
    <row r="149">
      <c r="A149" s="49" t="s">
        <v>1077</v>
      </c>
      <c r="B149" s="80" t="s">
        <v>5570</v>
      </c>
      <c r="C149" s="80">
        <v>1.016</v>
      </c>
      <c r="D149" s="80" t="s">
        <v>5571</v>
      </c>
      <c r="E149" s="80">
        <v>1.0</v>
      </c>
      <c r="F149" s="80" t="s">
        <v>5576</v>
      </c>
      <c r="G149" s="86"/>
      <c r="H149" s="86"/>
    </row>
    <row r="150">
      <c r="A150" s="49" t="s">
        <v>1077</v>
      </c>
      <c r="B150" s="80" t="s">
        <v>1001</v>
      </c>
      <c r="C150" s="80">
        <v>21.0</v>
      </c>
      <c r="D150" s="80" t="s">
        <v>5573</v>
      </c>
      <c r="E150" s="80">
        <v>1.0</v>
      </c>
      <c r="F150" s="80" t="s">
        <v>5576</v>
      </c>
      <c r="G150" s="86"/>
      <c r="H150" s="86"/>
    </row>
    <row r="151">
      <c r="A151" s="49" t="s">
        <v>1077</v>
      </c>
      <c r="B151" s="80" t="s">
        <v>5570</v>
      </c>
      <c r="C151" s="80">
        <v>1.008</v>
      </c>
      <c r="D151" s="80" t="s">
        <v>5571</v>
      </c>
      <c r="E151" s="80">
        <v>1.0</v>
      </c>
      <c r="F151" s="80" t="s">
        <v>5576</v>
      </c>
      <c r="G151" s="86"/>
      <c r="H151" s="86"/>
    </row>
    <row r="152">
      <c r="A152" s="49" t="s">
        <v>1077</v>
      </c>
      <c r="B152" s="80" t="s">
        <v>1001</v>
      </c>
      <c r="C152" s="80">
        <v>0.0</v>
      </c>
      <c r="D152" s="80" t="s">
        <v>5573</v>
      </c>
      <c r="E152" s="80">
        <v>1.0</v>
      </c>
      <c r="F152" s="80" t="s">
        <v>5576</v>
      </c>
      <c r="G152" s="86"/>
      <c r="H152" s="86"/>
    </row>
    <row r="153">
      <c r="A153" s="49" t="s">
        <v>1077</v>
      </c>
      <c r="B153" s="80" t="s">
        <v>5574</v>
      </c>
      <c r="C153" s="80">
        <v>2.65</v>
      </c>
      <c r="D153" s="80" t="s">
        <v>5575</v>
      </c>
      <c r="E153" s="80">
        <v>1.0</v>
      </c>
      <c r="F153" s="80" t="s">
        <v>5576</v>
      </c>
      <c r="G153" s="86"/>
      <c r="H153" s="86"/>
    </row>
    <row r="154">
      <c r="A154" s="49" t="s">
        <v>1076</v>
      </c>
      <c r="B154" s="80" t="s">
        <v>5570</v>
      </c>
      <c r="C154" s="80">
        <v>1.049</v>
      </c>
      <c r="D154" s="80" t="s">
        <v>5571</v>
      </c>
      <c r="E154" s="80">
        <v>1.0</v>
      </c>
      <c r="F154" s="80" t="s">
        <v>5576</v>
      </c>
      <c r="G154" s="86"/>
      <c r="H154" s="86"/>
    </row>
    <row r="155">
      <c r="A155" s="49" t="s">
        <v>1076</v>
      </c>
      <c r="B155" s="80" t="s">
        <v>1001</v>
      </c>
      <c r="C155" s="80">
        <v>19.0</v>
      </c>
      <c r="D155" s="80" t="s">
        <v>5573</v>
      </c>
      <c r="E155" s="80">
        <v>1.0</v>
      </c>
      <c r="F155" s="80" t="s">
        <v>5576</v>
      </c>
      <c r="G155" s="86"/>
      <c r="H155" s="86"/>
    </row>
    <row r="156">
      <c r="A156" s="49" t="s">
        <v>1076</v>
      </c>
      <c r="B156" s="80" t="s">
        <v>5570</v>
      </c>
      <c r="C156" s="80">
        <v>1.016</v>
      </c>
      <c r="D156" s="80" t="s">
        <v>5571</v>
      </c>
      <c r="E156" s="80">
        <v>1.0</v>
      </c>
      <c r="F156" s="80" t="s">
        <v>5576</v>
      </c>
      <c r="G156" s="86"/>
      <c r="H156" s="86"/>
    </row>
    <row r="157">
      <c r="A157" s="49" t="s">
        <v>1076</v>
      </c>
      <c r="B157" s="80" t="s">
        <v>1001</v>
      </c>
      <c r="C157" s="80">
        <v>21.0</v>
      </c>
      <c r="D157" s="80" t="s">
        <v>5573</v>
      </c>
      <c r="E157" s="80">
        <v>1.0</v>
      </c>
      <c r="F157" s="80" t="s">
        <v>5576</v>
      </c>
      <c r="G157" s="86"/>
      <c r="H157" s="86"/>
    </row>
    <row r="158">
      <c r="A158" s="49" t="s">
        <v>1076</v>
      </c>
      <c r="B158" s="80" t="s">
        <v>5570</v>
      </c>
      <c r="C158" s="80">
        <v>1.009</v>
      </c>
      <c r="D158" s="80" t="s">
        <v>5571</v>
      </c>
      <c r="E158" s="80">
        <v>1.0</v>
      </c>
      <c r="F158" s="80" t="s">
        <v>5576</v>
      </c>
      <c r="G158" s="86"/>
      <c r="H158" s="86"/>
    </row>
    <row r="159">
      <c r="A159" s="49" t="s">
        <v>1076</v>
      </c>
      <c r="B159" s="80" t="s">
        <v>1001</v>
      </c>
      <c r="C159" s="80">
        <v>0.0</v>
      </c>
      <c r="D159" s="80" t="s">
        <v>5573</v>
      </c>
      <c r="E159" s="80">
        <v>1.0</v>
      </c>
      <c r="F159" s="80" t="s">
        <v>5576</v>
      </c>
      <c r="G159" s="86"/>
      <c r="H159" s="86"/>
    </row>
    <row r="160">
      <c r="A160" s="49" t="s">
        <v>1076</v>
      </c>
      <c r="B160" s="80" t="s">
        <v>5574</v>
      </c>
      <c r="C160" s="80">
        <v>2.65</v>
      </c>
      <c r="D160" s="80" t="s">
        <v>5575</v>
      </c>
      <c r="E160" s="80">
        <v>1.0</v>
      </c>
      <c r="F160" s="80" t="s">
        <v>5576</v>
      </c>
      <c r="G160" s="86"/>
      <c r="H160" s="86"/>
    </row>
    <row r="161">
      <c r="A161" s="49" t="s">
        <v>1075</v>
      </c>
      <c r="B161" s="80" t="s">
        <v>5570</v>
      </c>
      <c r="C161" s="80">
        <v>1.032</v>
      </c>
      <c r="D161" s="80" t="s">
        <v>5571</v>
      </c>
      <c r="E161" s="80">
        <v>1.0</v>
      </c>
      <c r="F161" s="80" t="s">
        <v>5576</v>
      </c>
      <c r="G161" s="86"/>
      <c r="H161" s="86"/>
    </row>
    <row r="162">
      <c r="A162" s="49" t="s">
        <v>1075</v>
      </c>
      <c r="B162" s="80" t="s">
        <v>1001</v>
      </c>
      <c r="C162" s="80">
        <v>0.0</v>
      </c>
      <c r="D162" s="80" t="s">
        <v>5573</v>
      </c>
      <c r="E162" s="80">
        <v>1.0</v>
      </c>
      <c r="F162" s="80" t="s">
        <v>5576</v>
      </c>
      <c r="G162" s="86"/>
      <c r="H162" s="86"/>
    </row>
    <row r="163">
      <c r="A163" s="49" t="s">
        <v>1075</v>
      </c>
      <c r="B163" s="80" t="s">
        <v>1001</v>
      </c>
      <c r="C163" s="80">
        <v>0.0</v>
      </c>
      <c r="D163" s="80" t="s">
        <v>5573</v>
      </c>
      <c r="E163" s="80">
        <v>1.0</v>
      </c>
      <c r="F163" s="80" t="s">
        <v>5576</v>
      </c>
      <c r="G163" s="86"/>
      <c r="H163" s="86"/>
    </row>
    <row r="164">
      <c r="A164" s="49" t="s">
        <v>1075</v>
      </c>
      <c r="B164" s="80" t="s">
        <v>5574</v>
      </c>
      <c r="C164" s="80">
        <v>2.8</v>
      </c>
      <c r="D164" s="80" t="s">
        <v>5575</v>
      </c>
      <c r="E164" s="80">
        <v>1.0</v>
      </c>
      <c r="F164" s="80" t="s">
        <v>5576</v>
      </c>
      <c r="G164" s="86"/>
      <c r="H164" s="86"/>
    </row>
    <row r="165">
      <c r="A165" s="49" t="s">
        <v>1074</v>
      </c>
      <c r="B165" s="80" t="s">
        <v>5570</v>
      </c>
      <c r="C165" s="80">
        <v>1.032</v>
      </c>
      <c r="D165" s="80" t="s">
        <v>5571</v>
      </c>
      <c r="E165" s="80">
        <v>1.0</v>
      </c>
      <c r="F165" s="80" t="s">
        <v>5576</v>
      </c>
      <c r="G165" s="86"/>
      <c r="H165" s="86"/>
    </row>
    <row r="166">
      <c r="A166" s="49" t="s">
        <v>1074</v>
      </c>
      <c r="B166" s="80" t="s">
        <v>1001</v>
      </c>
      <c r="C166" s="80">
        <v>0.0</v>
      </c>
      <c r="D166" s="80" t="s">
        <v>5573</v>
      </c>
      <c r="E166" s="80">
        <v>1.0</v>
      </c>
      <c r="F166" s="80" t="s">
        <v>5576</v>
      </c>
      <c r="G166" s="86"/>
      <c r="H166" s="86"/>
    </row>
    <row r="167">
      <c r="A167" s="49" t="s">
        <v>1074</v>
      </c>
      <c r="B167" s="80" t="s">
        <v>1001</v>
      </c>
      <c r="C167" s="80">
        <v>0.0</v>
      </c>
      <c r="D167" s="80" t="s">
        <v>5573</v>
      </c>
      <c r="E167" s="80">
        <v>1.0</v>
      </c>
      <c r="F167" s="80" t="s">
        <v>5576</v>
      </c>
      <c r="G167" s="86"/>
      <c r="H167" s="86"/>
    </row>
    <row r="168">
      <c r="A168" s="49" t="s">
        <v>1074</v>
      </c>
      <c r="B168" s="80" t="s">
        <v>5574</v>
      </c>
      <c r="C168" s="80">
        <v>2.9</v>
      </c>
      <c r="D168" s="80" t="s">
        <v>5575</v>
      </c>
      <c r="E168" s="80">
        <v>1.0</v>
      </c>
      <c r="F168" s="80" t="s">
        <v>5576</v>
      </c>
      <c r="G168" s="86"/>
      <c r="H168" s="86"/>
    </row>
    <row r="169">
      <c r="A169" s="49" t="s">
        <v>1073</v>
      </c>
      <c r="B169" s="80" t="s">
        <v>5570</v>
      </c>
      <c r="C169" s="80">
        <v>1.046</v>
      </c>
      <c r="D169" s="80" t="s">
        <v>5571</v>
      </c>
      <c r="E169" s="80">
        <v>1.0</v>
      </c>
      <c r="F169" s="80" t="s">
        <v>5576</v>
      </c>
      <c r="G169" s="86"/>
      <c r="H169" s="86"/>
    </row>
    <row r="170">
      <c r="A170" s="49" t="s">
        <v>1073</v>
      </c>
      <c r="B170" s="80" t="s">
        <v>1001</v>
      </c>
      <c r="C170" s="80">
        <v>18.0</v>
      </c>
      <c r="D170" s="80" t="s">
        <v>5573</v>
      </c>
      <c r="E170" s="80">
        <v>1.0</v>
      </c>
      <c r="F170" s="80" t="s">
        <v>5576</v>
      </c>
      <c r="G170" s="86"/>
      <c r="H170" s="86"/>
    </row>
    <row r="171">
      <c r="A171" s="49" t="s">
        <v>1073</v>
      </c>
      <c r="B171" s="80" t="s">
        <v>5570</v>
      </c>
      <c r="C171" s="80">
        <v>1.016</v>
      </c>
      <c r="D171" s="80" t="s">
        <v>5571</v>
      </c>
      <c r="E171" s="80">
        <v>1.0</v>
      </c>
      <c r="F171" s="80" t="s">
        <v>5576</v>
      </c>
      <c r="G171" s="86"/>
      <c r="H171" s="86"/>
    </row>
    <row r="172">
      <c r="A172" s="49" t="s">
        <v>1073</v>
      </c>
      <c r="B172" s="80" t="s">
        <v>1001</v>
      </c>
      <c r="C172" s="80">
        <v>21.0</v>
      </c>
      <c r="D172" s="80" t="s">
        <v>5573</v>
      </c>
      <c r="E172" s="80">
        <v>1.0</v>
      </c>
      <c r="F172" s="80" t="s">
        <v>5576</v>
      </c>
      <c r="G172" s="86"/>
      <c r="H172" s="86"/>
    </row>
    <row r="173">
      <c r="A173" s="49" t="s">
        <v>1073</v>
      </c>
      <c r="B173" s="80" t="s">
        <v>5570</v>
      </c>
      <c r="C173" s="80">
        <v>1.012</v>
      </c>
      <c r="D173" s="80" t="s">
        <v>5571</v>
      </c>
      <c r="E173" s="80">
        <v>1.0</v>
      </c>
      <c r="F173" s="80" t="s">
        <v>5576</v>
      </c>
      <c r="G173" s="86"/>
      <c r="H173" s="86"/>
    </row>
    <row r="174">
      <c r="A174" s="49" t="s">
        <v>1073</v>
      </c>
      <c r="B174" s="80" t="s">
        <v>1001</v>
      </c>
      <c r="C174" s="80">
        <v>0.0</v>
      </c>
      <c r="D174" s="80" t="s">
        <v>5573</v>
      </c>
      <c r="E174" s="80">
        <v>1.0</v>
      </c>
      <c r="F174" s="80" t="s">
        <v>5576</v>
      </c>
      <c r="G174" s="86"/>
      <c r="H174" s="86"/>
    </row>
    <row r="175">
      <c r="A175" s="49" t="s">
        <v>1073</v>
      </c>
      <c r="B175" s="80" t="s">
        <v>5574</v>
      </c>
      <c r="C175" s="80">
        <v>2.6</v>
      </c>
      <c r="D175" s="80" t="s">
        <v>5575</v>
      </c>
      <c r="E175" s="80">
        <v>1.0</v>
      </c>
      <c r="F175" s="80" t="s">
        <v>5576</v>
      </c>
      <c r="G175" s="86"/>
      <c r="H175" s="86"/>
    </row>
    <row r="176">
      <c r="A176" s="48" t="s">
        <v>1069</v>
      </c>
      <c r="B176" s="80" t="s">
        <v>5570</v>
      </c>
      <c r="C176" s="80">
        <v>1.062</v>
      </c>
      <c r="D176" s="80" t="s">
        <v>5571</v>
      </c>
      <c r="E176" s="80">
        <v>1.0</v>
      </c>
      <c r="F176" s="80" t="s">
        <v>5576</v>
      </c>
      <c r="G176" s="86"/>
      <c r="H176" s="86"/>
    </row>
    <row r="177">
      <c r="A177" s="48" t="s">
        <v>1069</v>
      </c>
      <c r="B177" s="80" t="s">
        <v>1001</v>
      </c>
      <c r="C177" s="80">
        <v>19.0</v>
      </c>
      <c r="D177" s="80" t="s">
        <v>5573</v>
      </c>
      <c r="E177" s="80">
        <v>1.0</v>
      </c>
      <c r="F177" s="80" t="s">
        <v>5576</v>
      </c>
      <c r="G177" s="86"/>
      <c r="H177" s="86"/>
    </row>
    <row r="178">
      <c r="A178" s="48" t="s">
        <v>1069</v>
      </c>
      <c r="B178" s="80" t="s">
        <v>5570</v>
      </c>
      <c r="C178" s="80">
        <v>1.02</v>
      </c>
      <c r="D178" s="80" t="s">
        <v>5571</v>
      </c>
      <c r="E178" s="80">
        <v>1.0</v>
      </c>
      <c r="F178" s="80" t="s">
        <v>5576</v>
      </c>
      <c r="G178" s="86"/>
      <c r="H178" s="86"/>
    </row>
    <row r="179">
      <c r="A179" s="48" t="s">
        <v>1069</v>
      </c>
      <c r="B179" s="80" t="s">
        <v>1001</v>
      </c>
      <c r="C179" s="80">
        <v>21.0</v>
      </c>
      <c r="D179" s="80" t="s">
        <v>5573</v>
      </c>
      <c r="E179" s="80">
        <v>1.0</v>
      </c>
      <c r="F179" s="80" t="s">
        <v>5576</v>
      </c>
      <c r="G179" s="86"/>
      <c r="H179" s="86"/>
    </row>
    <row r="180">
      <c r="A180" s="48" t="s">
        <v>1069</v>
      </c>
      <c r="B180" s="80" t="s">
        <v>5570</v>
      </c>
      <c r="C180" s="80">
        <v>1.012</v>
      </c>
      <c r="D180" s="80" t="s">
        <v>5571</v>
      </c>
      <c r="E180" s="80">
        <v>1.0</v>
      </c>
      <c r="F180" s="80" t="s">
        <v>5576</v>
      </c>
      <c r="G180" s="86"/>
      <c r="H180" s="86"/>
    </row>
    <row r="181">
      <c r="A181" s="48" t="s">
        <v>1069</v>
      </c>
      <c r="B181" s="80" t="s">
        <v>1001</v>
      </c>
      <c r="C181" s="80">
        <v>0.0</v>
      </c>
      <c r="D181" s="80" t="s">
        <v>5573</v>
      </c>
      <c r="E181" s="80">
        <v>1.0</v>
      </c>
      <c r="F181" s="80" t="s">
        <v>5576</v>
      </c>
      <c r="G181" s="86"/>
      <c r="H181" s="86"/>
    </row>
    <row r="182">
      <c r="A182" s="48" t="s">
        <v>1069</v>
      </c>
      <c r="B182" s="80" t="s">
        <v>5574</v>
      </c>
      <c r="C182" s="80">
        <v>2.6</v>
      </c>
      <c r="D182" s="80" t="s">
        <v>5575</v>
      </c>
      <c r="E182" s="80">
        <v>1.0</v>
      </c>
      <c r="F182" s="80" t="s">
        <v>5576</v>
      </c>
      <c r="G182" s="86"/>
      <c r="H182" s="86"/>
    </row>
    <row r="183">
      <c r="A183" s="49" t="s">
        <v>1068</v>
      </c>
      <c r="B183" s="80" t="s">
        <v>5570</v>
      </c>
      <c r="C183" s="80">
        <v>1.063</v>
      </c>
      <c r="D183" s="80" t="s">
        <v>5571</v>
      </c>
      <c r="E183" s="80">
        <v>1.0</v>
      </c>
      <c r="F183" s="80" t="s">
        <v>5576</v>
      </c>
      <c r="G183" s="86"/>
      <c r="H183" s="86"/>
    </row>
    <row r="184">
      <c r="A184" s="49" t="s">
        <v>1068</v>
      </c>
      <c r="B184" s="80" t="s">
        <v>1001</v>
      </c>
      <c r="C184" s="80">
        <v>19.0</v>
      </c>
      <c r="D184" s="80" t="s">
        <v>5573</v>
      </c>
      <c r="E184" s="80">
        <v>1.0</v>
      </c>
      <c r="F184" s="80" t="s">
        <v>5576</v>
      </c>
      <c r="G184" s="86"/>
      <c r="H184" s="86"/>
    </row>
    <row r="185">
      <c r="A185" s="49" t="s">
        <v>1068</v>
      </c>
      <c r="B185" s="80" t="s">
        <v>5570</v>
      </c>
      <c r="C185" s="80">
        <v>1.018</v>
      </c>
      <c r="D185" s="80" t="s">
        <v>5571</v>
      </c>
      <c r="E185" s="80">
        <v>1.0</v>
      </c>
      <c r="F185" s="80" t="s">
        <v>5576</v>
      </c>
      <c r="G185" s="86"/>
      <c r="H185" s="86"/>
    </row>
    <row r="186">
      <c r="A186" s="49" t="s">
        <v>1068</v>
      </c>
      <c r="B186" s="80" t="s">
        <v>1001</v>
      </c>
      <c r="C186" s="80">
        <v>21.0</v>
      </c>
      <c r="D186" s="80" t="s">
        <v>5573</v>
      </c>
      <c r="E186" s="80">
        <v>1.0</v>
      </c>
      <c r="F186" s="80" t="s">
        <v>5576</v>
      </c>
      <c r="G186" s="86"/>
      <c r="H186" s="86"/>
    </row>
    <row r="187">
      <c r="A187" s="49" t="s">
        <v>1068</v>
      </c>
      <c r="B187" s="80" t="s">
        <v>5570</v>
      </c>
      <c r="C187" s="80">
        <v>1.012</v>
      </c>
      <c r="D187" s="80" t="s">
        <v>5571</v>
      </c>
      <c r="E187" s="80">
        <v>1.0</v>
      </c>
      <c r="F187" s="80" t="s">
        <v>5576</v>
      </c>
      <c r="G187" s="86"/>
      <c r="H187" s="86"/>
    </row>
    <row r="188">
      <c r="A188" s="49" t="s">
        <v>1068</v>
      </c>
      <c r="B188" s="80" t="s">
        <v>1001</v>
      </c>
      <c r="C188" s="80">
        <v>0.0</v>
      </c>
      <c r="D188" s="80" t="s">
        <v>5573</v>
      </c>
      <c r="E188" s="80">
        <v>1.0</v>
      </c>
      <c r="F188" s="80" t="s">
        <v>5576</v>
      </c>
      <c r="G188" s="86"/>
      <c r="H188" s="86"/>
    </row>
    <row r="189">
      <c r="A189" s="49" t="s">
        <v>1068</v>
      </c>
      <c r="B189" s="80" t="s">
        <v>5574</v>
      </c>
      <c r="C189" s="80">
        <v>2.56</v>
      </c>
      <c r="D189" s="80" t="s">
        <v>5575</v>
      </c>
      <c r="E189" s="80">
        <v>1.0</v>
      </c>
      <c r="F189" s="80" t="s">
        <v>5576</v>
      </c>
      <c r="G189" s="86"/>
      <c r="H189" s="86"/>
    </row>
    <row r="190">
      <c r="A190" s="49" t="s">
        <v>1067</v>
      </c>
      <c r="B190" s="80" t="s">
        <v>5570</v>
      </c>
      <c r="C190" s="80">
        <v>1.032</v>
      </c>
      <c r="D190" s="80" t="s">
        <v>5571</v>
      </c>
      <c r="E190" s="80">
        <v>1.0</v>
      </c>
      <c r="F190" s="80" t="s">
        <v>5576</v>
      </c>
      <c r="G190" s="86"/>
      <c r="H190" s="86"/>
    </row>
    <row r="191">
      <c r="A191" s="49" t="s">
        <v>1067</v>
      </c>
      <c r="B191" s="80" t="s">
        <v>1001</v>
      </c>
      <c r="C191" s="80">
        <v>0.0</v>
      </c>
      <c r="D191" s="80" t="s">
        <v>5573</v>
      </c>
      <c r="E191" s="80">
        <v>1.0</v>
      </c>
      <c r="F191" s="80" t="s">
        <v>5576</v>
      </c>
      <c r="G191" s="86"/>
      <c r="H191" s="86"/>
    </row>
    <row r="192">
      <c r="A192" s="49" t="s">
        <v>1067</v>
      </c>
      <c r="B192" s="80" t="s">
        <v>1001</v>
      </c>
      <c r="C192" s="80">
        <v>0.0</v>
      </c>
      <c r="D192" s="80" t="s">
        <v>5573</v>
      </c>
      <c r="E192" s="80">
        <v>1.0</v>
      </c>
      <c r="F192" s="80" t="s">
        <v>5576</v>
      </c>
      <c r="G192" s="86"/>
      <c r="H192" s="86"/>
    </row>
    <row r="193">
      <c r="A193" s="49" t="s">
        <v>1067</v>
      </c>
      <c r="B193" s="80" t="s">
        <v>5574</v>
      </c>
      <c r="C193" s="80">
        <v>2.9</v>
      </c>
      <c r="D193" s="80" t="s">
        <v>5575</v>
      </c>
      <c r="E193" s="80">
        <v>1.0</v>
      </c>
      <c r="F193" s="80" t="s">
        <v>5576</v>
      </c>
      <c r="G193" s="86"/>
      <c r="H193" s="86"/>
    </row>
    <row r="194">
      <c r="A194" s="49" t="s">
        <v>1066</v>
      </c>
      <c r="B194" s="80" t="s">
        <v>5570</v>
      </c>
      <c r="C194" s="80">
        <v>1.049</v>
      </c>
      <c r="D194" s="80" t="s">
        <v>5571</v>
      </c>
      <c r="E194" s="80">
        <v>1.0</v>
      </c>
      <c r="F194" s="80" t="s">
        <v>5576</v>
      </c>
      <c r="G194" s="86"/>
      <c r="H194" s="86"/>
    </row>
    <row r="195">
      <c r="A195" s="49" t="s">
        <v>1066</v>
      </c>
      <c r="B195" s="80" t="s">
        <v>1001</v>
      </c>
      <c r="C195" s="80">
        <v>19.0</v>
      </c>
      <c r="D195" s="80" t="s">
        <v>5573</v>
      </c>
      <c r="E195" s="80">
        <v>1.0</v>
      </c>
      <c r="F195" s="80" t="s">
        <v>5576</v>
      </c>
      <c r="G195" s="86"/>
      <c r="H195" s="86"/>
    </row>
    <row r="196">
      <c r="A196" s="49" t="s">
        <v>1066</v>
      </c>
      <c r="B196" s="80" t="s">
        <v>5570</v>
      </c>
      <c r="C196" s="80">
        <v>1.016</v>
      </c>
      <c r="D196" s="80" t="s">
        <v>5571</v>
      </c>
      <c r="E196" s="80">
        <v>1.0</v>
      </c>
      <c r="F196" s="80" t="s">
        <v>5576</v>
      </c>
      <c r="G196" s="86"/>
      <c r="H196" s="86"/>
    </row>
    <row r="197">
      <c r="A197" s="49" t="s">
        <v>1066</v>
      </c>
      <c r="B197" s="80" t="s">
        <v>1001</v>
      </c>
      <c r="C197" s="80">
        <v>21.0</v>
      </c>
      <c r="D197" s="80" t="s">
        <v>5573</v>
      </c>
      <c r="E197" s="80">
        <v>1.0</v>
      </c>
      <c r="F197" s="80" t="s">
        <v>5576</v>
      </c>
      <c r="G197" s="86"/>
      <c r="H197" s="86"/>
    </row>
    <row r="198">
      <c r="A198" s="49" t="s">
        <v>1066</v>
      </c>
      <c r="B198" s="80" t="s">
        <v>5570</v>
      </c>
      <c r="C198" s="80">
        <v>1.009</v>
      </c>
      <c r="D198" s="80" t="s">
        <v>5571</v>
      </c>
      <c r="E198" s="80">
        <v>1.0</v>
      </c>
      <c r="F198" s="80" t="s">
        <v>5576</v>
      </c>
      <c r="G198" s="86"/>
      <c r="H198" s="86"/>
    </row>
    <row r="199">
      <c r="A199" s="49" t="s">
        <v>1066</v>
      </c>
      <c r="B199" s="80" t="s">
        <v>1001</v>
      </c>
      <c r="C199" s="80">
        <v>0.0</v>
      </c>
      <c r="D199" s="80" t="s">
        <v>5573</v>
      </c>
      <c r="E199" s="80">
        <v>1.0</v>
      </c>
      <c r="F199" s="80" t="s">
        <v>5576</v>
      </c>
      <c r="G199" s="86"/>
      <c r="H199" s="86"/>
    </row>
    <row r="200">
      <c r="A200" s="49" t="s">
        <v>1066</v>
      </c>
      <c r="B200" s="80" t="s">
        <v>5574</v>
      </c>
      <c r="C200" s="80">
        <v>2.56</v>
      </c>
      <c r="D200" s="80" t="s">
        <v>5575</v>
      </c>
      <c r="E200" s="80">
        <v>1.0</v>
      </c>
      <c r="F200" s="80" t="s">
        <v>5576</v>
      </c>
      <c r="G200" s="86"/>
      <c r="H200" s="86"/>
    </row>
    <row r="201">
      <c r="A201" s="49" t="s">
        <v>1065</v>
      </c>
      <c r="B201" s="80" t="s">
        <v>5570</v>
      </c>
      <c r="C201" s="80">
        <v>1.032</v>
      </c>
      <c r="D201" s="80" t="s">
        <v>5571</v>
      </c>
      <c r="E201" s="80">
        <v>1.0</v>
      </c>
      <c r="F201" s="80" t="s">
        <v>5576</v>
      </c>
      <c r="G201" s="86"/>
      <c r="H201" s="86"/>
    </row>
    <row r="202">
      <c r="A202" s="49" t="s">
        <v>1065</v>
      </c>
      <c r="B202" s="80" t="s">
        <v>1001</v>
      </c>
      <c r="C202" s="80">
        <v>0.0</v>
      </c>
      <c r="D202" s="80" t="s">
        <v>5573</v>
      </c>
      <c r="E202" s="80">
        <v>1.0</v>
      </c>
      <c r="F202" s="80" t="s">
        <v>5576</v>
      </c>
      <c r="G202" s="86"/>
      <c r="H202" s="86"/>
    </row>
    <row r="203">
      <c r="A203" s="49" t="s">
        <v>1065</v>
      </c>
      <c r="B203" s="80" t="s">
        <v>1001</v>
      </c>
      <c r="C203" s="80">
        <v>0.0</v>
      </c>
      <c r="D203" s="80" t="s">
        <v>5573</v>
      </c>
      <c r="E203" s="80">
        <v>1.0</v>
      </c>
      <c r="F203" s="80" t="s">
        <v>5576</v>
      </c>
      <c r="G203" s="86"/>
      <c r="H203" s="86"/>
    </row>
    <row r="204">
      <c r="A204" s="49" t="s">
        <v>1065</v>
      </c>
      <c r="B204" s="80" t="s">
        <v>5574</v>
      </c>
      <c r="C204" s="80">
        <v>2.9</v>
      </c>
      <c r="D204" s="80" t="s">
        <v>5575</v>
      </c>
      <c r="E204" s="80">
        <v>1.0</v>
      </c>
      <c r="F204" s="80" t="s">
        <v>5576</v>
      </c>
      <c r="G204" s="86"/>
      <c r="H204" s="86"/>
    </row>
    <row r="205">
      <c r="A205" s="49" t="s">
        <v>1064</v>
      </c>
      <c r="B205" s="80" t="s">
        <v>5570</v>
      </c>
      <c r="C205" s="80">
        <v>1.048</v>
      </c>
      <c r="D205" s="80" t="s">
        <v>5571</v>
      </c>
      <c r="E205" s="80">
        <v>1.0</v>
      </c>
      <c r="F205" s="80" t="s">
        <v>5576</v>
      </c>
      <c r="G205" s="86"/>
      <c r="H205" s="86"/>
    </row>
    <row r="206">
      <c r="A206" s="49" t="s">
        <v>1064</v>
      </c>
      <c r="B206" s="80" t="s">
        <v>1001</v>
      </c>
      <c r="C206" s="80">
        <v>19.0</v>
      </c>
      <c r="D206" s="80" t="s">
        <v>5573</v>
      </c>
      <c r="E206" s="80">
        <v>1.0</v>
      </c>
      <c r="F206" s="80" t="s">
        <v>5576</v>
      </c>
      <c r="G206" s="86"/>
      <c r="H206" s="86"/>
    </row>
    <row r="207">
      <c r="A207" s="49" t="s">
        <v>1064</v>
      </c>
      <c r="B207" s="80" t="s">
        <v>5570</v>
      </c>
      <c r="C207" s="80">
        <v>1.016</v>
      </c>
      <c r="D207" s="80" t="s">
        <v>5571</v>
      </c>
      <c r="E207" s="80">
        <v>1.0</v>
      </c>
      <c r="F207" s="80" t="s">
        <v>5576</v>
      </c>
      <c r="G207" s="86"/>
      <c r="H207" s="86"/>
    </row>
    <row r="208">
      <c r="A208" s="49" t="s">
        <v>1064</v>
      </c>
      <c r="B208" s="80" t="s">
        <v>1001</v>
      </c>
      <c r="C208" s="80">
        <v>21.0</v>
      </c>
      <c r="D208" s="80" t="s">
        <v>5573</v>
      </c>
      <c r="E208" s="80">
        <v>1.0</v>
      </c>
      <c r="F208" s="80" t="s">
        <v>5576</v>
      </c>
      <c r="G208" s="86"/>
      <c r="H208" s="86"/>
    </row>
    <row r="209">
      <c r="A209" s="49" t="s">
        <v>1064</v>
      </c>
      <c r="B209" s="80" t="s">
        <v>5570</v>
      </c>
      <c r="C209" s="80">
        <v>1.008</v>
      </c>
      <c r="D209" s="80" t="s">
        <v>5571</v>
      </c>
      <c r="E209" s="80">
        <v>1.0</v>
      </c>
      <c r="F209" s="80" t="s">
        <v>5576</v>
      </c>
      <c r="G209" s="86"/>
      <c r="H209" s="86"/>
    </row>
    <row r="210">
      <c r="A210" s="49" t="s">
        <v>1064</v>
      </c>
      <c r="B210" s="80" t="s">
        <v>1001</v>
      </c>
      <c r="C210" s="80">
        <v>0.0</v>
      </c>
      <c r="D210" s="80" t="s">
        <v>5573</v>
      </c>
      <c r="E210" s="80">
        <v>1.0</v>
      </c>
      <c r="F210" s="80" t="s">
        <v>5576</v>
      </c>
      <c r="G210" s="86"/>
      <c r="H210" s="86"/>
    </row>
    <row r="211">
      <c r="A211" s="49" t="s">
        <v>1064</v>
      </c>
      <c r="B211" s="80" t="s">
        <v>5574</v>
      </c>
      <c r="C211" s="80">
        <v>2.65</v>
      </c>
      <c r="D211" s="80" t="s">
        <v>5575</v>
      </c>
      <c r="E211" s="80">
        <v>1.0</v>
      </c>
      <c r="F211" s="80" t="s">
        <v>5576</v>
      </c>
      <c r="G211" s="86"/>
      <c r="H211" s="86"/>
    </row>
    <row r="212">
      <c r="A212" s="93" t="s">
        <v>1063</v>
      </c>
      <c r="B212" s="80" t="s">
        <v>5570</v>
      </c>
      <c r="C212" s="80">
        <v>1.041</v>
      </c>
      <c r="D212" s="80" t="s">
        <v>5571</v>
      </c>
      <c r="E212" s="80">
        <v>1.0</v>
      </c>
      <c r="F212" s="80" t="s">
        <v>5576</v>
      </c>
      <c r="G212" s="86"/>
      <c r="H212" s="86"/>
    </row>
    <row r="213">
      <c r="A213" s="93" t="s">
        <v>1063</v>
      </c>
      <c r="B213" s="80" t="s">
        <v>1001</v>
      </c>
      <c r="C213" s="80">
        <v>12.0</v>
      </c>
      <c r="D213" s="80" t="s">
        <v>5573</v>
      </c>
      <c r="E213" s="80">
        <v>1.0</v>
      </c>
      <c r="F213" s="80" t="s">
        <v>5576</v>
      </c>
      <c r="G213" s="86"/>
      <c r="H213" s="86"/>
    </row>
    <row r="214">
      <c r="A214" s="93" t="s">
        <v>1063</v>
      </c>
      <c r="B214" s="80" t="s">
        <v>5570</v>
      </c>
      <c r="C214" s="80">
        <v>1.012</v>
      </c>
      <c r="D214" s="80" t="s">
        <v>5571</v>
      </c>
      <c r="E214" s="80">
        <v>1.0</v>
      </c>
      <c r="F214" s="80" t="s">
        <v>5576</v>
      </c>
      <c r="G214" s="86"/>
      <c r="H214" s="86"/>
    </row>
    <row r="215">
      <c r="A215" s="93" t="s">
        <v>1063</v>
      </c>
      <c r="B215" s="80" t="s">
        <v>1001</v>
      </c>
      <c r="C215" s="80">
        <v>16.0</v>
      </c>
      <c r="D215" s="80" t="s">
        <v>5573</v>
      </c>
      <c r="E215" s="80">
        <v>1.0</v>
      </c>
      <c r="F215" s="80" t="s">
        <v>5576</v>
      </c>
      <c r="G215" s="86"/>
      <c r="H215" s="86"/>
    </row>
    <row r="216">
      <c r="A216" s="93" t="s">
        <v>1063</v>
      </c>
      <c r="B216" s="80" t="s">
        <v>5570</v>
      </c>
      <c r="C216" s="80">
        <v>1.008</v>
      </c>
      <c r="D216" s="80" t="s">
        <v>5571</v>
      </c>
      <c r="E216" s="80">
        <v>1.0</v>
      </c>
      <c r="F216" s="80" t="s">
        <v>5576</v>
      </c>
      <c r="G216" s="86"/>
      <c r="H216" s="86"/>
    </row>
    <row r="217">
      <c r="A217" s="93" t="s">
        <v>1063</v>
      </c>
      <c r="B217" s="80" t="s">
        <v>1001</v>
      </c>
      <c r="C217" s="80">
        <v>0.0</v>
      </c>
      <c r="D217" s="80" t="s">
        <v>5573</v>
      </c>
      <c r="E217" s="80">
        <v>1.0</v>
      </c>
      <c r="F217" s="80" t="s">
        <v>5576</v>
      </c>
      <c r="G217" s="86"/>
      <c r="H217" s="86"/>
    </row>
    <row r="218">
      <c r="A218" s="93" t="s">
        <v>1063</v>
      </c>
      <c r="B218" s="80" t="s">
        <v>5574</v>
      </c>
      <c r="C218" s="80">
        <v>2.6</v>
      </c>
      <c r="D218" s="80" t="s">
        <v>5573</v>
      </c>
      <c r="E218" s="80">
        <v>1.0</v>
      </c>
      <c r="F218" s="80" t="s">
        <v>5576</v>
      </c>
      <c r="G218" s="86"/>
      <c r="H218" s="86"/>
    </row>
    <row r="219">
      <c r="A219" s="49" t="s">
        <v>1071</v>
      </c>
      <c r="B219" s="80" t="s">
        <v>5570</v>
      </c>
      <c r="C219" s="80">
        <v>1.056</v>
      </c>
      <c r="D219" s="80" t="s">
        <v>5571</v>
      </c>
      <c r="E219" s="80">
        <v>1.0</v>
      </c>
      <c r="F219" s="80" t="s">
        <v>5576</v>
      </c>
      <c r="G219" s="86"/>
      <c r="H219" s="86"/>
    </row>
    <row r="220">
      <c r="A220" s="49" t="s">
        <v>1071</v>
      </c>
      <c r="B220" s="80" t="s">
        <v>1001</v>
      </c>
      <c r="C220" s="80">
        <v>19.0</v>
      </c>
      <c r="D220" s="80" t="s">
        <v>5573</v>
      </c>
      <c r="E220" s="80">
        <v>1.0</v>
      </c>
      <c r="F220" s="80" t="s">
        <v>5576</v>
      </c>
      <c r="G220" s="86"/>
      <c r="H220" s="86"/>
    </row>
    <row r="221">
      <c r="A221" s="49" t="s">
        <v>1071</v>
      </c>
      <c r="B221" s="80" t="s">
        <v>5570</v>
      </c>
      <c r="C221" s="80">
        <v>1.016</v>
      </c>
      <c r="D221" s="80" t="s">
        <v>5571</v>
      </c>
      <c r="E221" s="80">
        <v>1.0</v>
      </c>
      <c r="F221" s="80" t="s">
        <v>5576</v>
      </c>
      <c r="G221" s="86"/>
      <c r="H221" s="86"/>
    </row>
    <row r="222">
      <c r="A222" s="49" t="s">
        <v>1071</v>
      </c>
      <c r="B222" s="80" t="s">
        <v>1001</v>
      </c>
      <c r="C222" s="80">
        <v>21.0</v>
      </c>
      <c r="D222" s="80" t="s">
        <v>5573</v>
      </c>
      <c r="E222" s="80">
        <v>1.0</v>
      </c>
      <c r="F222" s="80" t="s">
        <v>5576</v>
      </c>
      <c r="G222" s="86"/>
      <c r="H222" s="86"/>
    </row>
    <row r="223">
      <c r="A223" s="49" t="s">
        <v>1071</v>
      </c>
      <c r="B223" s="80" t="s">
        <v>5570</v>
      </c>
      <c r="C223" s="80">
        <v>1.01</v>
      </c>
      <c r="D223" s="80" t="s">
        <v>5571</v>
      </c>
      <c r="E223" s="80">
        <v>1.0</v>
      </c>
      <c r="F223" s="80" t="s">
        <v>5576</v>
      </c>
      <c r="G223" s="86"/>
      <c r="H223" s="86"/>
    </row>
    <row r="224">
      <c r="A224" s="49" t="s">
        <v>1071</v>
      </c>
      <c r="B224" s="80" t="s">
        <v>1001</v>
      </c>
      <c r="C224" s="80">
        <v>0.0</v>
      </c>
      <c r="D224" s="80" t="s">
        <v>5573</v>
      </c>
      <c r="E224" s="80">
        <v>1.0</v>
      </c>
      <c r="F224" s="80" t="s">
        <v>5576</v>
      </c>
      <c r="G224" s="86"/>
      <c r="H224" s="86"/>
    </row>
    <row r="225">
      <c r="A225" s="49" t="s">
        <v>1071</v>
      </c>
      <c r="B225" s="80" t="s">
        <v>5574</v>
      </c>
      <c r="C225" s="80">
        <v>2.6</v>
      </c>
      <c r="D225" s="80" t="s">
        <v>5575</v>
      </c>
      <c r="E225" s="80">
        <v>1.0</v>
      </c>
      <c r="F225" s="80" t="s">
        <v>5576</v>
      </c>
      <c r="G225" s="86"/>
      <c r="H225" s="86"/>
    </row>
    <row r="226">
      <c r="A226" s="49" t="s">
        <v>1061</v>
      </c>
      <c r="B226" s="80" t="s">
        <v>5570</v>
      </c>
      <c r="C226" s="80">
        <v>1.049</v>
      </c>
      <c r="D226" s="80" t="s">
        <v>5571</v>
      </c>
      <c r="E226" s="80">
        <v>1.0</v>
      </c>
      <c r="F226" s="80" t="s">
        <v>5576</v>
      </c>
      <c r="G226" s="86"/>
      <c r="H226" s="86"/>
    </row>
    <row r="227">
      <c r="A227" s="49" t="s">
        <v>1061</v>
      </c>
      <c r="B227" s="80" t="s">
        <v>1001</v>
      </c>
      <c r="C227" s="80">
        <v>19.0</v>
      </c>
      <c r="D227" s="80" t="s">
        <v>5573</v>
      </c>
      <c r="E227" s="80">
        <v>1.0</v>
      </c>
      <c r="F227" s="80" t="s">
        <v>5576</v>
      </c>
      <c r="G227" s="86"/>
      <c r="H227" s="86"/>
    </row>
    <row r="228">
      <c r="A228" s="49" t="s">
        <v>1061</v>
      </c>
      <c r="B228" s="80" t="s">
        <v>5570</v>
      </c>
      <c r="C228" s="80">
        <v>1.016</v>
      </c>
      <c r="D228" s="80" t="s">
        <v>5571</v>
      </c>
      <c r="E228" s="80">
        <v>1.0</v>
      </c>
      <c r="F228" s="80" t="s">
        <v>5576</v>
      </c>
      <c r="G228" s="86"/>
      <c r="H228" s="86"/>
    </row>
    <row r="229">
      <c r="A229" s="49" t="s">
        <v>1061</v>
      </c>
      <c r="B229" s="80" t="s">
        <v>1001</v>
      </c>
      <c r="C229" s="80">
        <v>21.0</v>
      </c>
      <c r="D229" s="80" t="s">
        <v>5573</v>
      </c>
      <c r="E229" s="80">
        <v>1.0</v>
      </c>
      <c r="F229" s="80" t="s">
        <v>5576</v>
      </c>
      <c r="G229" s="86"/>
      <c r="H229" s="86"/>
    </row>
    <row r="230">
      <c r="A230" s="49" t="s">
        <v>1061</v>
      </c>
      <c r="B230" s="80" t="s">
        <v>5570</v>
      </c>
      <c r="C230" s="80">
        <v>1.009</v>
      </c>
      <c r="D230" s="80" t="s">
        <v>5571</v>
      </c>
      <c r="E230" s="80">
        <v>1.0</v>
      </c>
      <c r="F230" s="80" t="s">
        <v>5576</v>
      </c>
      <c r="G230" s="86"/>
      <c r="H230" s="86"/>
    </row>
    <row r="231">
      <c r="A231" s="49" t="s">
        <v>1061</v>
      </c>
      <c r="B231" s="80" t="s">
        <v>1001</v>
      </c>
      <c r="C231" s="80">
        <v>0.0</v>
      </c>
      <c r="D231" s="80" t="s">
        <v>5573</v>
      </c>
      <c r="E231" s="80">
        <v>1.0</v>
      </c>
      <c r="F231" s="80" t="s">
        <v>5576</v>
      </c>
      <c r="G231" s="86"/>
      <c r="H231" s="86"/>
    </row>
    <row r="232">
      <c r="A232" s="49" t="s">
        <v>1061</v>
      </c>
      <c r="B232" s="80" t="s">
        <v>5574</v>
      </c>
      <c r="C232" s="80">
        <v>2.65</v>
      </c>
      <c r="D232" s="80" t="s">
        <v>5575</v>
      </c>
      <c r="E232" s="80">
        <v>1.0</v>
      </c>
      <c r="F232" s="80" t="s">
        <v>5576</v>
      </c>
      <c r="G232" s="86"/>
      <c r="H232" s="86"/>
    </row>
    <row r="233">
      <c r="A233" s="49" t="s">
        <v>1062</v>
      </c>
      <c r="B233" s="80" t="s">
        <v>5570</v>
      </c>
      <c r="C233" s="80">
        <v>1.073</v>
      </c>
      <c r="D233" s="80" t="s">
        <v>5571</v>
      </c>
      <c r="E233" s="80">
        <v>1.0</v>
      </c>
      <c r="F233" s="80" t="s">
        <v>5576</v>
      </c>
      <c r="G233" s="86"/>
      <c r="H233" s="86"/>
    </row>
    <row r="234">
      <c r="A234" s="49" t="s">
        <v>1062</v>
      </c>
      <c r="B234" s="80" t="s">
        <v>1001</v>
      </c>
      <c r="C234" s="80">
        <v>19.0</v>
      </c>
      <c r="D234" s="80" t="s">
        <v>5573</v>
      </c>
      <c r="E234" s="80">
        <v>1.0</v>
      </c>
      <c r="F234" s="80" t="s">
        <v>5576</v>
      </c>
      <c r="G234" s="86"/>
      <c r="H234" s="86"/>
    </row>
    <row r="235">
      <c r="A235" s="49" t="s">
        <v>1062</v>
      </c>
      <c r="B235" s="80" t="s">
        <v>5570</v>
      </c>
      <c r="C235" s="80">
        <v>1.022</v>
      </c>
      <c r="D235" s="80" t="s">
        <v>5571</v>
      </c>
      <c r="E235" s="80">
        <v>1.0</v>
      </c>
      <c r="F235" s="80" t="s">
        <v>5576</v>
      </c>
      <c r="G235" s="86"/>
      <c r="H235" s="86"/>
    </row>
    <row r="236">
      <c r="A236" s="49" t="s">
        <v>1062</v>
      </c>
      <c r="B236" s="80" t="s">
        <v>1001</v>
      </c>
      <c r="C236" s="80">
        <v>21.0</v>
      </c>
      <c r="D236" s="80" t="s">
        <v>5573</v>
      </c>
      <c r="E236" s="80">
        <v>1.0</v>
      </c>
      <c r="F236" s="80" t="s">
        <v>5576</v>
      </c>
      <c r="G236" s="86"/>
      <c r="H236" s="86"/>
    </row>
    <row r="237">
      <c r="A237" s="49" t="s">
        <v>1062</v>
      </c>
      <c r="B237" s="80" t="s">
        <v>5570</v>
      </c>
      <c r="C237" s="80">
        <v>1.016</v>
      </c>
      <c r="D237" s="80" t="s">
        <v>5571</v>
      </c>
      <c r="E237" s="80">
        <v>1.0</v>
      </c>
      <c r="F237" s="80" t="s">
        <v>5576</v>
      </c>
      <c r="G237" s="86"/>
      <c r="H237" s="86"/>
    </row>
    <row r="238">
      <c r="A238" s="49" t="s">
        <v>1062</v>
      </c>
      <c r="B238" s="80" t="s">
        <v>1001</v>
      </c>
      <c r="C238" s="80">
        <v>0.0</v>
      </c>
      <c r="D238" s="80" t="s">
        <v>5573</v>
      </c>
      <c r="E238" s="80">
        <v>1.0</v>
      </c>
      <c r="F238" s="80" t="s">
        <v>5576</v>
      </c>
      <c r="G238" s="86"/>
      <c r="H238" s="86"/>
    </row>
    <row r="239">
      <c r="A239" s="49" t="s">
        <v>1062</v>
      </c>
      <c r="B239" s="80" t="s">
        <v>5574</v>
      </c>
      <c r="C239" s="80">
        <v>2.7</v>
      </c>
      <c r="D239" s="80" t="s">
        <v>5575</v>
      </c>
      <c r="E239" s="80">
        <v>1.0</v>
      </c>
      <c r="F239" s="80" t="s">
        <v>5576</v>
      </c>
      <c r="G239" s="86"/>
      <c r="H239" s="86"/>
    </row>
    <row r="240">
      <c r="A240" s="49" t="s">
        <v>1060</v>
      </c>
      <c r="B240" s="80" t="s">
        <v>5570</v>
      </c>
      <c r="C240" s="80">
        <v>1.063</v>
      </c>
      <c r="D240" s="80" t="s">
        <v>5571</v>
      </c>
      <c r="E240" s="80">
        <v>1.0</v>
      </c>
      <c r="F240" s="80" t="s">
        <v>5576</v>
      </c>
      <c r="G240" s="86"/>
      <c r="H240" s="86"/>
    </row>
    <row r="241">
      <c r="A241" s="49" t="s">
        <v>1060</v>
      </c>
      <c r="B241" s="80" t="s">
        <v>1001</v>
      </c>
      <c r="C241" s="80">
        <v>19.0</v>
      </c>
      <c r="D241" s="80" t="s">
        <v>5573</v>
      </c>
      <c r="E241" s="80">
        <v>1.0</v>
      </c>
      <c r="F241" s="80" t="s">
        <v>5576</v>
      </c>
      <c r="G241" s="86"/>
      <c r="H241" s="86"/>
    </row>
    <row r="242">
      <c r="A242" s="49" t="s">
        <v>1060</v>
      </c>
      <c r="B242" s="80" t="s">
        <v>5570</v>
      </c>
      <c r="C242" s="80">
        <v>1.018</v>
      </c>
      <c r="D242" s="80" t="s">
        <v>5571</v>
      </c>
      <c r="E242" s="80">
        <v>1.0</v>
      </c>
      <c r="F242" s="80" t="s">
        <v>5576</v>
      </c>
      <c r="G242" s="86"/>
      <c r="H242" s="86"/>
    </row>
    <row r="243">
      <c r="A243" s="49" t="s">
        <v>1060</v>
      </c>
      <c r="B243" s="80" t="s">
        <v>1001</v>
      </c>
      <c r="C243" s="80">
        <v>21.0</v>
      </c>
      <c r="D243" s="80" t="s">
        <v>5573</v>
      </c>
      <c r="E243" s="80">
        <v>1.0</v>
      </c>
      <c r="F243" s="80" t="s">
        <v>5576</v>
      </c>
      <c r="G243" s="86"/>
      <c r="H243" s="86"/>
    </row>
    <row r="244">
      <c r="A244" s="49" t="s">
        <v>1060</v>
      </c>
      <c r="B244" s="80" t="s">
        <v>5570</v>
      </c>
      <c r="C244" s="80">
        <v>1.012</v>
      </c>
      <c r="D244" s="80" t="s">
        <v>5571</v>
      </c>
      <c r="E244" s="80">
        <v>1.0</v>
      </c>
      <c r="F244" s="80" t="s">
        <v>5576</v>
      </c>
      <c r="G244" s="86"/>
      <c r="H244" s="86"/>
    </row>
    <row r="245">
      <c r="A245" s="49" t="s">
        <v>1060</v>
      </c>
      <c r="B245" s="80" t="s">
        <v>1001</v>
      </c>
      <c r="C245" s="80">
        <v>0.0</v>
      </c>
      <c r="D245" s="80" t="s">
        <v>5573</v>
      </c>
      <c r="E245" s="80">
        <v>1.0</v>
      </c>
      <c r="F245" s="80" t="s">
        <v>5576</v>
      </c>
      <c r="G245" s="86"/>
      <c r="H245" s="86"/>
    </row>
    <row r="246">
      <c r="A246" s="49" t="s">
        <v>1060</v>
      </c>
      <c r="B246" s="80" t="s">
        <v>5574</v>
      </c>
      <c r="C246" s="80">
        <v>2.7</v>
      </c>
      <c r="D246" s="80" t="s">
        <v>5575</v>
      </c>
      <c r="E246" s="80">
        <v>1.0</v>
      </c>
      <c r="F246" s="80" t="s">
        <v>5576</v>
      </c>
      <c r="G246" s="86"/>
      <c r="H246" s="86"/>
    </row>
    <row r="247">
      <c r="A247" s="93" t="s">
        <v>1059</v>
      </c>
      <c r="B247" s="80" t="s">
        <v>5570</v>
      </c>
      <c r="C247" s="80">
        <v>1.041</v>
      </c>
      <c r="D247" s="80" t="s">
        <v>5571</v>
      </c>
      <c r="E247" s="80">
        <v>1.0</v>
      </c>
      <c r="F247" s="80" t="s">
        <v>5576</v>
      </c>
      <c r="G247" s="86"/>
      <c r="H247" s="86"/>
    </row>
    <row r="248">
      <c r="A248" s="93" t="s">
        <v>1059</v>
      </c>
      <c r="B248" s="80" t="s">
        <v>1001</v>
      </c>
      <c r="C248" s="80">
        <v>12.0</v>
      </c>
      <c r="D248" s="80" t="s">
        <v>5573</v>
      </c>
      <c r="E248" s="80">
        <v>1.0</v>
      </c>
      <c r="F248" s="80" t="s">
        <v>5576</v>
      </c>
      <c r="G248" s="86"/>
      <c r="H248" s="86"/>
    </row>
    <row r="249">
      <c r="A249" s="93" t="s">
        <v>1059</v>
      </c>
      <c r="B249" s="80" t="s">
        <v>5570</v>
      </c>
      <c r="C249" s="80">
        <v>1.012</v>
      </c>
      <c r="D249" s="80" t="s">
        <v>5571</v>
      </c>
      <c r="E249" s="80">
        <v>1.0</v>
      </c>
      <c r="F249" s="80" t="s">
        <v>5576</v>
      </c>
      <c r="G249" s="86"/>
      <c r="H249" s="86"/>
    </row>
    <row r="250">
      <c r="A250" s="93" t="s">
        <v>1059</v>
      </c>
      <c r="B250" s="80" t="s">
        <v>1001</v>
      </c>
      <c r="C250" s="80">
        <v>16.0</v>
      </c>
      <c r="D250" s="80" t="s">
        <v>5573</v>
      </c>
      <c r="E250" s="80">
        <v>1.0</v>
      </c>
      <c r="F250" s="80" t="s">
        <v>5576</v>
      </c>
      <c r="G250" s="86"/>
      <c r="H250" s="86"/>
    </row>
    <row r="251">
      <c r="A251" s="93" t="s">
        <v>1059</v>
      </c>
      <c r="B251" s="80" t="s">
        <v>5570</v>
      </c>
      <c r="C251" s="80">
        <v>1.008</v>
      </c>
      <c r="D251" s="80" t="s">
        <v>5571</v>
      </c>
      <c r="E251" s="80">
        <v>1.0</v>
      </c>
      <c r="F251" s="80" t="s">
        <v>5576</v>
      </c>
      <c r="G251" s="86"/>
      <c r="H251" s="86"/>
    </row>
    <row r="252">
      <c r="A252" s="93" t="s">
        <v>1059</v>
      </c>
      <c r="B252" s="80" t="s">
        <v>1001</v>
      </c>
      <c r="C252" s="80">
        <v>0.0</v>
      </c>
      <c r="D252" s="80" t="s">
        <v>5573</v>
      </c>
      <c r="E252" s="80">
        <v>1.0</v>
      </c>
      <c r="F252" s="80" t="s">
        <v>5576</v>
      </c>
      <c r="G252" s="86"/>
      <c r="H252" s="86"/>
    </row>
    <row r="253">
      <c r="A253" s="93" t="s">
        <v>1059</v>
      </c>
      <c r="B253" s="80" t="s">
        <v>5574</v>
      </c>
      <c r="C253" s="80">
        <v>2.7</v>
      </c>
      <c r="D253" s="80" t="s">
        <v>5573</v>
      </c>
      <c r="E253" s="80">
        <v>1.0</v>
      </c>
      <c r="F253" s="80" t="s">
        <v>5576</v>
      </c>
      <c r="G253" s="86"/>
      <c r="H253" s="86"/>
    </row>
    <row r="254">
      <c r="A254" s="49" t="s">
        <v>1058</v>
      </c>
      <c r="B254" s="80" t="s">
        <v>5570</v>
      </c>
      <c r="C254" s="80">
        <v>1.032</v>
      </c>
      <c r="D254" s="80" t="s">
        <v>5571</v>
      </c>
      <c r="E254" s="80">
        <v>1.0</v>
      </c>
      <c r="F254" s="80" t="s">
        <v>5576</v>
      </c>
      <c r="G254" s="86"/>
      <c r="H254" s="86"/>
    </row>
    <row r="255">
      <c r="A255" s="49" t="s">
        <v>1058</v>
      </c>
      <c r="B255" s="80" t="s">
        <v>1001</v>
      </c>
      <c r="C255" s="80">
        <v>0.0</v>
      </c>
      <c r="D255" s="80" t="s">
        <v>5573</v>
      </c>
      <c r="E255" s="80">
        <v>1.0</v>
      </c>
      <c r="F255" s="80" t="s">
        <v>5576</v>
      </c>
      <c r="G255" s="86"/>
      <c r="H255" s="86"/>
    </row>
    <row r="256">
      <c r="A256" s="49" t="s">
        <v>1058</v>
      </c>
      <c r="B256" s="80" t="s">
        <v>1001</v>
      </c>
      <c r="C256" s="80">
        <v>0.0</v>
      </c>
      <c r="D256" s="80" t="s">
        <v>5573</v>
      </c>
      <c r="E256" s="80">
        <v>1.0</v>
      </c>
      <c r="F256" s="80" t="s">
        <v>5576</v>
      </c>
      <c r="G256" s="86"/>
      <c r="H256" s="86"/>
    </row>
    <row r="257">
      <c r="A257" s="49" t="s">
        <v>1058</v>
      </c>
      <c r="B257" s="80" t="s">
        <v>5574</v>
      </c>
      <c r="C257" s="80">
        <v>2.75</v>
      </c>
      <c r="D257" s="80" t="s">
        <v>5575</v>
      </c>
      <c r="E257" s="80">
        <v>1.0</v>
      </c>
      <c r="F257" s="80" t="s">
        <v>5576</v>
      </c>
      <c r="G257" s="86"/>
      <c r="H257" s="86"/>
    </row>
    <row r="258">
      <c r="A258" s="49" t="s">
        <v>1057</v>
      </c>
      <c r="B258" s="80" t="s">
        <v>5570</v>
      </c>
      <c r="C258" s="80">
        <v>1.063</v>
      </c>
      <c r="D258" s="80" t="s">
        <v>5571</v>
      </c>
      <c r="E258" s="80">
        <v>1.0</v>
      </c>
      <c r="F258" s="80" t="s">
        <v>5576</v>
      </c>
      <c r="G258" s="86"/>
      <c r="H258" s="86"/>
    </row>
    <row r="259">
      <c r="A259" s="49" t="s">
        <v>1057</v>
      </c>
      <c r="B259" s="80" t="s">
        <v>1001</v>
      </c>
      <c r="C259" s="80">
        <v>19.0</v>
      </c>
      <c r="D259" s="80" t="s">
        <v>5573</v>
      </c>
      <c r="E259" s="80">
        <v>1.0</v>
      </c>
      <c r="F259" s="80" t="s">
        <v>5576</v>
      </c>
      <c r="G259" s="86"/>
      <c r="H259" s="86"/>
    </row>
    <row r="260">
      <c r="A260" s="49" t="s">
        <v>1057</v>
      </c>
      <c r="B260" s="80" t="s">
        <v>5570</v>
      </c>
      <c r="C260" s="80">
        <v>1.018</v>
      </c>
      <c r="D260" s="80" t="s">
        <v>5571</v>
      </c>
      <c r="E260" s="80">
        <v>1.0</v>
      </c>
      <c r="F260" s="80" t="s">
        <v>5576</v>
      </c>
      <c r="G260" s="86"/>
      <c r="H260" s="86"/>
    </row>
    <row r="261">
      <c r="A261" s="49" t="s">
        <v>1057</v>
      </c>
      <c r="B261" s="80" t="s">
        <v>1001</v>
      </c>
      <c r="C261" s="80">
        <v>21.0</v>
      </c>
      <c r="D261" s="80" t="s">
        <v>5573</v>
      </c>
      <c r="E261" s="80">
        <v>1.0</v>
      </c>
      <c r="F261" s="80" t="s">
        <v>5576</v>
      </c>
      <c r="G261" s="86"/>
      <c r="H261" s="86"/>
    </row>
    <row r="262">
      <c r="A262" s="49" t="s">
        <v>1057</v>
      </c>
      <c r="B262" s="80" t="s">
        <v>5570</v>
      </c>
      <c r="C262" s="80">
        <v>1.012</v>
      </c>
      <c r="D262" s="80" t="s">
        <v>5571</v>
      </c>
      <c r="E262" s="80">
        <v>1.0</v>
      </c>
      <c r="F262" s="80" t="s">
        <v>5576</v>
      </c>
      <c r="G262" s="86"/>
      <c r="H262" s="86"/>
    </row>
    <row r="263">
      <c r="A263" s="49" t="s">
        <v>1057</v>
      </c>
      <c r="B263" s="80" t="s">
        <v>1001</v>
      </c>
      <c r="C263" s="80">
        <v>0.0</v>
      </c>
      <c r="D263" s="80" t="s">
        <v>5573</v>
      </c>
      <c r="E263" s="80">
        <v>1.0</v>
      </c>
      <c r="F263" s="80" t="s">
        <v>5576</v>
      </c>
      <c r="G263" s="86"/>
      <c r="H263" s="86"/>
    </row>
    <row r="264">
      <c r="A264" s="49" t="s">
        <v>1057</v>
      </c>
      <c r="B264" s="80" t="s">
        <v>5574</v>
      </c>
      <c r="C264" s="80">
        <v>2.75</v>
      </c>
      <c r="D264" s="80" t="s">
        <v>5575</v>
      </c>
      <c r="E264" s="80">
        <v>1.0</v>
      </c>
      <c r="F264" s="80" t="s">
        <v>5576</v>
      </c>
      <c r="G264" s="86"/>
      <c r="H264" s="86"/>
    </row>
    <row r="265">
      <c r="A265" s="49" t="s">
        <v>1056</v>
      </c>
      <c r="B265" s="80" t="s">
        <v>5570</v>
      </c>
      <c r="C265" s="80">
        <v>1.049</v>
      </c>
      <c r="D265" s="80" t="s">
        <v>5571</v>
      </c>
      <c r="E265" s="80">
        <v>1.0</v>
      </c>
      <c r="F265" s="80" t="s">
        <v>5576</v>
      </c>
      <c r="G265" s="86"/>
      <c r="H265" s="86"/>
    </row>
    <row r="266">
      <c r="A266" s="49" t="s">
        <v>1056</v>
      </c>
      <c r="B266" s="80" t="s">
        <v>1001</v>
      </c>
      <c r="C266" s="80">
        <v>19.0</v>
      </c>
      <c r="D266" s="80" t="s">
        <v>5573</v>
      </c>
      <c r="E266" s="80">
        <v>1.0</v>
      </c>
      <c r="F266" s="80" t="s">
        <v>5576</v>
      </c>
      <c r="G266" s="86"/>
      <c r="H266" s="86"/>
    </row>
    <row r="267">
      <c r="A267" s="49" t="s">
        <v>1056</v>
      </c>
      <c r="B267" s="80" t="s">
        <v>5570</v>
      </c>
      <c r="C267" s="80">
        <v>1.016</v>
      </c>
      <c r="D267" s="80" t="s">
        <v>5571</v>
      </c>
      <c r="E267" s="80">
        <v>1.0</v>
      </c>
      <c r="F267" s="80" t="s">
        <v>5576</v>
      </c>
      <c r="G267" s="86"/>
      <c r="H267" s="86"/>
    </row>
    <row r="268">
      <c r="A268" s="49" t="s">
        <v>1056</v>
      </c>
      <c r="B268" s="80" t="s">
        <v>1001</v>
      </c>
      <c r="C268" s="80">
        <v>21.0</v>
      </c>
      <c r="D268" s="80" t="s">
        <v>5573</v>
      </c>
      <c r="E268" s="80">
        <v>1.0</v>
      </c>
      <c r="F268" s="80" t="s">
        <v>5576</v>
      </c>
      <c r="G268" s="86"/>
      <c r="H268" s="86"/>
    </row>
    <row r="269">
      <c r="A269" s="49" t="s">
        <v>1056</v>
      </c>
      <c r="B269" s="80" t="s">
        <v>5570</v>
      </c>
      <c r="C269" s="80">
        <v>1.009</v>
      </c>
      <c r="D269" s="80" t="s">
        <v>5571</v>
      </c>
      <c r="E269" s="80">
        <v>1.0</v>
      </c>
      <c r="F269" s="80" t="s">
        <v>5576</v>
      </c>
      <c r="G269" s="86"/>
      <c r="H269" s="86"/>
    </row>
    <row r="270">
      <c r="A270" s="49" t="s">
        <v>1056</v>
      </c>
      <c r="B270" s="80" t="s">
        <v>1001</v>
      </c>
      <c r="C270" s="80">
        <v>0.0</v>
      </c>
      <c r="D270" s="80" t="s">
        <v>5573</v>
      </c>
      <c r="E270" s="80">
        <v>1.0</v>
      </c>
      <c r="F270" s="80" t="s">
        <v>5576</v>
      </c>
      <c r="G270" s="86"/>
      <c r="H270" s="86"/>
    </row>
    <row r="271">
      <c r="A271" s="49" t="s">
        <v>1056</v>
      </c>
      <c r="B271" s="80" t="s">
        <v>5574</v>
      </c>
      <c r="C271" s="80">
        <v>2.75</v>
      </c>
      <c r="D271" s="80" t="s">
        <v>5575</v>
      </c>
      <c r="E271" s="80">
        <v>1.0</v>
      </c>
      <c r="F271" s="80" t="s">
        <v>5576</v>
      </c>
      <c r="G271" s="86"/>
      <c r="H271" s="86"/>
    </row>
    <row r="272">
      <c r="A272" s="49" t="s">
        <v>1054</v>
      </c>
      <c r="B272" s="80" t="s">
        <v>5570</v>
      </c>
      <c r="C272" s="80">
        <v>1.058</v>
      </c>
      <c r="D272" s="80" t="s">
        <v>5571</v>
      </c>
      <c r="E272" s="80">
        <v>1.0</v>
      </c>
      <c r="F272" s="80" t="s">
        <v>5576</v>
      </c>
      <c r="G272" s="86"/>
      <c r="H272" s="86"/>
    </row>
    <row r="273">
      <c r="A273" s="49" t="s">
        <v>1054</v>
      </c>
      <c r="B273" s="80" t="s">
        <v>1001</v>
      </c>
      <c r="C273" s="80">
        <v>21.0</v>
      </c>
      <c r="D273" s="80" t="s">
        <v>5573</v>
      </c>
      <c r="E273" s="80">
        <v>1.0</v>
      </c>
      <c r="F273" s="80" t="s">
        <v>5576</v>
      </c>
      <c r="G273" s="86"/>
      <c r="H273" s="86"/>
    </row>
    <row r="274">
      <c r="A274" s="49" t="s">
        <v>1054</v>
      </c>
      <c r="B274" s="80" t="s">
        <v>5570</v>
      </c>
      <c r="C274" s="80">
        <v>1.018</v>
      </c>
      <c r="D274" s="80" t="s">
        <v>5571</v>
      </c>
      <c r="E274" s="80">
        <v>1.0</v>
      </c>
      <c r="F274" s="80" t="s">
        <v>5576</v>
      </c>
      <c r="G274" s="86"/>
      <c r="H274" s="86"/>
    </row>
    <row r="275">
      <c r="A275" s="49" t="s">
        <v>1054</v>
      </c>
      <c r="B275" s="80" t="s">
        <v>1001</v>
      </c>
      <c r="C275" s="80">
        <v>23.0</v>
      </c>
      <c r="D275" s="80" t="s">
        <v>5573</v>
      </c>
      <c r="E275" s="80">
        <v>1.0</v>
      </c>
      <c r="F275" s="80" t="s">
        <v>5576</v>
      </c>
      <c r="G275" s="86"/>
      <c r="H275" s="86"/>
    </row>
    <row r="276">
      <c r="A276" s="49" t="s">
        <v>1054</v>
      </c>
      <c r="B276" s="80" t="s">
        <v>5570</v>
      </c>
      <c r="C276" s="80">
        <v>1.014</v>
      </c>
      <c r="D276" s="80" t="s">
        <v>5571</v>
      </c>
      <c r="E276" s="80">
        <v>1.0</v>
      </c>
      <c r="F276" s="80" t="s">
        <v>5576</v>
      </c>
      <c r="G276" s="86"/>
      <c r="H276" s="86"/>
    </row>
    <row r="277">
      <c r="A277" s="49" t="s">
        <v>1054</v>
      </c>
      <c r="B277" s="80" t="s">
        <v>1001</v>
      </c>
      <c r="C277" s="80">
        <v>0.0</v>
      </c>
      <c r="D277" s="80" t="s">
        <v>5573</v>
      </c>
      <c r="E277" s="80">
        <v>1.0</v>
      </c>
      <c r="F277" s="80" t="s">
        <v>5576</v>
      </c>
      <c r="G277" s="86"/>
      <c r="H277" s="86"/>
    </row>
    <row r="278">
      <c r="A278" s="49" t="s">
        <v>1054</v>
      </c>
      <c r="B278" s="80" t="s">
        <v>5574</v>
      </c>
      <c r="C278" s="80">
        <v>2.8</v>
      </c>
      <c r="D278" s="80" t="s">
        <v>5575</v>
      </c>
      <c r="E278" s="80">
        <v>1.0</v>
      </c>
      <c r="F278" s="80" t="s">
        <v>5576</v>
      </c>
      <c r="G278" s="86"/>
      <c r="H278" s="86"/>
    </row>
    <row r="279">
      <c r="A279" s="49" t="s">
        <v>1053</v>
      </c>
      <c r="B279" s="80" t="s">
        <v>5570</v>
      </c>
      <c r="C279" s="80">
        <v>1.073</v>
      </c>
      <c r="D279" s="80" t="s">
        <v>5571</v>
      </c>
      <c r="E279" s="80">
        <v>1.0</v>
      </c>
      <c r="F279" s="80" t="s">
        <v>5576</v>
      </c>
      <c r="G279" s="86"/>
      <c r="H279" s="86"/>
    </row>
    <row r="280">
      <c r="A280" s="49" t="s">
        <v>1053</v>
      </c>
      <c r="B280" s="80" t="s">
        <v>1001</v>
      </c>
      <c r="C280" s="80">
        <v>19.0</v>
      </c>
      <c r="D280" s="80" t="s">
        <v>5573</v>
      </c>
      <c r="E280" s="80">
        <v>1.0</v>
      </c>
      <c r="F280" s="80" t="s">
        <v>5576</v>
      </c>
      <c r="G280" s="86"/>
      <c r="H280" s="86"/>
    </row>
    <row r="281">
      <c r="A281" s="49" t="s">
        <v>1053</v>
      </c>
      <c r="B281" s="80" t="s">
        <v>5570</v>
      </c>
      <c r="C281" s="80">
        <v>1.022</v>
      </c>
      <c r="D281" s="80" t="s">
        <v>5571</v>
      </c>
      <c r="E281" s="80">
        <v>1.0</v>
      </c>
      <c r="F281" s="80" t="s">
        <v>5576</v>
      </c>
      <c r="G281" s="86"/>
      <c r="H281" s="86"/>
    </row>
    <row r="282">
      <c r="A282" s="49" t="s">
        <v>1053</v>
      </c>
      <c r="B282" s="80" t="s">
        <v>1001</v>
      </c>
      <c r="C282" s="80">
        <v>21.0</v>
      </c>
      <c r="D282" s="80" t="s">
        <v>5573</v>
      </c>
      <c r="E282" s="80">
        <v>1.0</v>
      </c>
      <c r="F282" s="80" t="s">
        <v>5576</v>
      </c>
      <c r="G282" s="86"/>
      <c r="H282" s="86"/>
    </row>
    <row r="283">
      <c r="A283" s="49" t="s">
        <v>1053</v>
      </c>
      <c r="B283" s="80" t="s">
        <v>5570</v>
      </c>
      <c r="C283" s="80">
        <v>1.016</v>
      </c>
      <c r="D283" s="80" t="s">
        <v>5571</v>
      </c>
      <c r="E283" s="80">
        <v>1.0</v>
      </c>
      <c r="F283" s="80" t="s">
        <v>5576</v>
      </c>
      <c r="G283" s="86"/>
      <c r="H283" s="86"/>
    </row>
    <row r="284">
      <c r="A284" s="49" t="s">
        <v>1053</v>
      </c>
      <c r="B284" s="80" t="s">
        <v>1001</v>
      </c>
      <c r="C284" s="80">
        <v>0.0</v>
      </c>
      <c r="D284" s="80" t="s">
        <v>5573</v>
      </c>
      <c r="E284" s="80">
        <v>1.0</v>
      </c>
      <c r="F284" s="80" t="s">
        <v>5576</v>
      </c>
      <c r="G284" s="86"/>
      <c r="H284" s="86"/>
    </row>
    <row r="285">
      <c r="A285" s="49" t="s">
        <v>1053</v>
      </c>
      <c r="B285" s="80" t="s">
        <v>5574</v>
      </c>
      <c r="C285" s="80">
        <v>2.6</v>
      </c>
      <c r="D285" s="80" t="s">
        <v>5575</v>
      </c>
      <c r="E285" s="80">
        <v>1.0</v>
      </c>
      <c r="F285" s="80" t="s">
        <v>5576</v>
      </c>
      <c r="G285" s="86"/>
      <c r="H285" s="86"/>
    </row>
    <row r="286">
      <c r="A286" s="49" t="s">
        <v>1052</v>
      </c>
      <c r="B286" s="80" t="s">
        <v>5570</v>
      </c>
      <c r="C286" s="80">
        <v>1.032</v>
      </c>
      <c r="D286" s="80" t="s">
        <v>5571</v>
      </c>
      <c r="E286" s="80">
        <v>1.0</v>
      </c>
      <c r="F286" s="80" t="s">
        <v>5576</v>
      </c>
      <c r="G286" s="86"/>
      <c r="H286" s="86"/>
    </row>
    <row r="287">
      <c r="A287" s="49" t="s">
        <v>1052</v>
      </c>
      <c r="B287" s="80" t="s">
        <v>1001</v>
      </c>
      <c r="C287" s="80">
        <v>0.0</v>
      </c>
      <c r="D287" s="80" t="s">
        <v>5573</v>
      </c>
      <c r="E287" s="80">
        <v>1.0</v>
      </c>
      <c r="F287" s="80" t="s">
        <v>5576</v>
      </c>
      <c r="G287" s="86"/>
      <c r="H287" s="86"/>
    </row>
    <row r="288">
      <c r="A288" s="49" t="s">
        <v>1052</v>
      </c>
      <c r="B288" s="80" t="s">
        <v>1001</v>
      </c>
      <c r="C288" s="80">
        <v>0.0</v>
      </c>
      <c r="D288" s="80" t="s">
        <v>5573</v>
      </c>
      <c r="E288" s="80">
        <v>1.0</v>
      </c>
      <c r="F288" s="80" t="s">
        <v>5576</v>
      </c>
      <c r="G288" s="86"/>
      <c r="H288" s="86"/>
    </row>
    <row r="289">
      <c r="A289" s="49" t="s">
        <v>1052</v>
      </c>
      <c r="B289" s="80" t="s">
        <v>5574</v>
      </c>
      <c r="C289" s="80">
        <v>2.9</v>
      </c>
      <c r="D289" s="80" t="s">
        <v>5575</v>
      </c>
      <c r="E289" s="80">
        <v>1.0</v>
      </c>
      <c r="F289" s="80" t="s">
        <v>5576</v>
      </c>
      <c r="G289" s="86"/>
      <c r="H289" s="86"/>
    </row>
    <row r="290">
      <c r="A290" s="49" t="s">
        <v>1050</v>
      </c>
      <c r="B290" s="80" t="s">
        <v>5570</v>
      </c>
      <c r="C290" s="80">
        <v>1.048</v>
      </c>
      <c r="D290" s="80" t="s">
        <v>5571</v>
      </c>
      <c r="E290" s="80">
        <v>1.0</v>
      </c>
      <c r="F290" s="80" t="s">
        <v>5576</v>
      </c>
      <c r="G290" s="86"/>
      <c r="H290" s="86"/>
    </row>
    <row r="291">
      <c r="A291" s="49" t="s">
        <v>1050</v>
      </c>
      <c r="B291" s="80" t="s">
        <v>1001</v>
      </c>
      <c r="C291" s="80">
        <v>19.0</v>
      </c>
      <c r="D291" s="80" t="s">
        <v>5573</v>
      </c>
      <c r="E291" s="80">
        <v>1.0</v>
      </c>
      <c r="F291" s="80" t="s">
        <v>5576</v>
      </c>
      <c r="G291" s="86"/>
      <c r="H291" s="86"/>
    </row>
    <row r="292">
      <c r="A292" s="49" t="s">
        <v>1050</v>
      </c>
      <c r="B292" s="80" t="s">
        <v>5570</v>
      </c>
      <c r="C292" s="80">
        <v>1.016</v>
      </c>
      <c r="D292" s="80" t="s">
        <v>5571</v>
      </c>
      <c r="E292" s="80">
        <v>1.0</v>
      </c>
      <c r="F292" s="80" t="s">
        <v>5576</v>
      </c>
      <c r="G292" s="86"/>
      <c r="H292" s="86"/>
    </row>
    <row r="293">
      <c r="A293" s="49" t="s">
        <v>1050</v>
      </c>
      <c r="B293" s="80" t="s">
        <v>1001</v>
      </c>
      <c r="C293" s="80">
        <v>21.0</v>
      </c>
      <c r="D293" s="80" t="s">
        <v>5573</v>
      </c>
      <c r="E293" s="80">
        <v>1.0</v>
      </c>
      <c r="F293" s="80" t="s">
        <v>5576</v>
      </c>
      <c r="G293" s="86"/>
      <c r="H293" s="86"/>
    </row>
    <row r="294">
      <c r="A294" s="49" t="s">
        <v>1050</v>
      </c>
      <c r="B294" s="80" t="s">
        <v>5570</v>
      </c>
      <c r="C294" s="80">
        <v>1.008</v>
      </c>
      <c r="D294" s="80" t="s">
        <v>5571</v>
      </c>
      <c r="E294" s="80">
        <v>1.0</v>
      </c>
      <c r="F294" s="80" t="s">
        <v>5576</v>
      </c>
      <c r="G294" s="86"/>
      <c r="H294" s="86"/>
    </row>
    <row r="295">
      <c r="A295" s="49" t="s">
        <v>1050</v>
      </c>
      <c r="B295" s="80" t="s">
        <v>1001</v>
      </c>
      <c r="C295" s="80">
        <v>0.0</v>
      </c>
      <c r="D295" s="80" t="s">
        <v>5573</v>
      </c>
      <c r="E295" s="80">
        <v>1.0</v>
      </c>
      <c r="F295" s="80" t="s">
        <v>5576</v>
      </c>
      <c r="G295" s="86"/>
      <c r="H295" s="86"/>
    </row>
    <row r="296">
      <c r="A296" s="49" t="s">
        <v>1050</v>
      </c>
      <c r="B296" s="80" t="s">
        <v>5574</v>
      </c>
      <c r="C296" s="80">
        <v>2.7</v>
      </c>
      <c r="D296" s="80" t="s">
        <v>5575</v>
      </c>
      <c r="E296" s="80">
        <v>1.0</v>
      </c>
      <c r="F296" s="80" t="s">
        <v>5576</v>
      </c>
      <c r="G296" s="86"/>
      <c r="H296" s="86"/>
    </row>
    <row r="297">
      <c r="A297" s="49" t="s">
        <v>1049</v>
      </c>
      <c r="B297" s="80" t="s">
        <v>5570</v>
      </c>
      <c r="C297" s="80">
        <v>1.041</v>
      </c>
      <c r="D297" s="80" t="s">
        <v>5571</v>
      </c>
      <c r="E297" s="80">
        <v>1.0</v>
      </c>
      <c r="F297" s="80" t="s">
        <v>5576</v>
      </c>
      <c r="G297" s="86"/>
      <c r="H297" s="86"/>
    </row>
    <row r="298">
      <c r="A298" s="49" t="s">
        <v>1049</v>
      </c>
      <c r="B298" s="80" t="s">
        <v>1001</v>
      </c>
      <c r="C298" s="80">
        <v>12.0</v>
      </c>
      <c r="D298" s="80" t="s">
        <v>5573</v>
      </c>
      <c r="E298" s="80">
        <v>1.0</v>
      </c>
      <c r="F298" s="80" t="s">
        <v>5576</v>
      </c>
      <c r="G298" s="86"/>
      <c r="H298" s="86"/>
    </row>
    <row r="299">
      <c r="A299" s="49" t="s">
        <v>1049</v>
      </c>
      <c r="B299" s="80" t="s">
        <v>5570</v>
      </c>
      <c r="C299" s="80">
        <v>1.012</v>
      </c>
      <c r="D299" s="80" t="s">
        <v>5571</v>
      </c>
      <c r="E299" s="80">
        <v>1.0</v>
      </c>
      <c r="F299" s="80" t="s">
        <v>5576</v>
      </c>
      <c r="G299" s="86"/>
      <c r="H299" s="86"/>
    </row>
    <row r="300">
      <c r="A300" s="49" t="s">
        <v>1049</v>
      </c>
      <c r="B300" s="80" t="s">
        <v>1001</v>
      </c>
      <c r="C300" s="80">
        <v>16.0</v>
      </c>
      <c r="D300" s="80" t="s">
        <v>5573</v>
      </c>
      <c r="E300" s="80">
        <v>1.0</v>
      </c>
      <c r="F300" s="80" t="s">
        <v>5576</v>
      </c>
      <c r="G300" s="86"/>
      <c r="H300" s="86"/>
    </row>
    <row r="301">
      <c r="A301" s="49" t="s">
        <v>1049</v>
      </c>
      <c r="B301" s="80" t="s">
        <v>5570</v>
      </c>
      <c r="C301" s="80">
        <v>1.008</v>
      </c>
      <c r="D301" s="80" t="s">
        <v>5571</v>
      </c>
      <c r="E301" s="80">
        <v>1.0</v>
      </c>
      <c r="F301" s="80" t="s">
        <v>5576</v>
      </c>
      <c r="G301" s="86"/>
      <c r="H301" s="86"/>
    </row>
    <row r="302">
      <c r="A302" s="49" t="s">
        <v>1049</v>
      </c>
      <c r="B302" s="80" t="s">
        <v>1001</v>
      </c>
      <c r="C302" s="80">
        <v>0.0</v>
      </c>
      <c r="D302" s="80" t="s">
        <v>5573</v>
      </c>
      <c r="E302" s="80">
        <v>1.0</v>
      </c>
      <c r="F302" s="80" t="s">
        <v>5576</v>
      </c>
      <c r="G302" s="86"/>
      <c r="H302" s="86"/>
    </row>
    <row r="303">
      <c r="A303" s="49" t="s">
        <v>1049</v>
      </c>
      <c r="B303" s="80" t="s">
        <v>5574</v>
      </c>
      <c r="C303" s="80">
        <v>2.6</v>
      </c>
      <c r="D303" s="80" t="s">
        <v>5573</v>
      </c>
      <c r="E303" s="80">
        <v>1.0</v>
      </c>
      <c r="F303" s="80" t="s">
        <v>5576</v>
      </c>
      <c r="G303" s="86"/>
      <c r="H303" s="86"/>
    </row>
    <row r="304">
      <c r="A304" s="49" t="s">
        <v>1043</v>
      </c>
      <c r="B304" s="80" t="s">
        <v>5570</v>
      </c>
      <c r="C304" s="80">
        <v>1.032</v>
      </c>
      <c r="D304" s="80" t="s">
        <v>5571</v>
      </c>
      <c r="E304" s="80">
        <v>1.0</v>
      </c>
      <c r="F304" s="80" t="s">
        <v>5576</v>
      </c>
      <c r="G304" s="86"/>
      <c r="H304" s="86"/>
    </row>
    <row r="305">
      <c r="A305" s="49" t="s">
        <v>1043</v>
      </c>
      <c r="B305" s="80" t="s">
        <v>1001</v>
      </c>
      <c r="C305" s="80">
        <v>0.0</v>
      </c>
      <c r="D305" s="80" t="s">
        <v>5573</v>
      </c>
      <c r="E305" s="80">
        <v>1.0</v>
      </c>
      <c r="F305" s="80" t="s">
        <v>5576</v>
      </c>
      <c r="G305" s="86"/>
      <c r="H305" s="86"/>
    </row>
    <row r="306">
      <c r="A306" s="49" t="s">
        <v>1043</v>
      </c>
      <c r="B306" s="80" t="s">
        <v>1001</v>
      </c>
      <c r="C306" s="80">
        <v>0.0</v>
      </c>
      <c r="D306" s="80" t="s">
        <v>5573</v>
      </c>
      <c r="E306" s="80">
        <v>1.0</v>
      </c>
      <c r="F306" s="80" t="s">
        <v>5576</v>
      </c>
      <c r="G306" s="86"/>
      <c r="H306" s="86"/>
    </row>
    <row r="307">
      <c r="A307" s="49" t="s">
        <v>1043</v>
      </c>
      <c r="B307" s="80" t="s">
        <v>5574</v>
      </c>
      <c r="C307" s="80">
        <v>2.85</v>
      </c>
      <c r="D307" s="80" t="s">
        <v>5575</v>
      </c>
      <c r="E307" s="80">
        <v>1.0</v>
      </c>
      <c r="F307" s="80" t="s">
        <v>5576</v>
      </c>
      <c r="G307" s="86"/>
      <c r="H307" s="86"/>
    </row>
    <row r="308">
      <c r="A308" s="93" t="s">
        <v>1046</v>
      </c>
      <c r="B308" s="80" t="s">
        <v>5570</v>
      </c>
      <c r="C308" s="80">
        <v>1.049</v>
      </c>
      <c r="D308" s="80" t="s">
        <v>5571</v>
      </c>
      <c r="E308" s="80">
        <v>1.0</v>
      </c>
      <c r="F308" s="80" t="s">
        <v>5576</v>
      </c>
      <c r="G308" s="86"/>
      <c r="H308" s="86"/>
    </row>
    <row r="309">
      <c r="A309" s="93" t="s">
        <v>1046</v>
      </c>
      <c r="B309" s="80" t="s">
        <v>1001</v>
      </c>
      <c r="C309" s="80">
        <v>19.0</v>
      </c>
      <c r="D309" s="80" t="s">
        <v>5573</v>
      </c>
      <c r="E309" s="80">
        <v>1.0</v>
      </c>
      <c r="F309" s="80" t="s">
        <v>5576</v>
      </c>
      <c r="G309" s="86"/>
      <c r="H309" s="86"/>
    </row>
    <row r="310">
      <c r="A310" s="93" t="s">
        <v>1046</v>
      </c>
      <c r="B310" s="80" t="s">
        <v>5570</v>
      </c>
      <c r="C310" s="80">
        <v>1.016</v>
      </c>
      <c r="D310" s="80" t="s">
        <v>5571</v>
      </c>
      <c r="E310" s="80">
        <v>1.0</v>
      </c>
      <c r="F310" s="80" t="s">
        <v>5576</v>
      </c>
      <c r="G310" s="86"/>
      <c r="H310" s="86"/>
    </row>
    <row r="311">
      <c r="A311" s="93" t="s">
        <v>1046</v>
      </c>
      <c r="B311" s="80" t="s">
        <v>1001</v>
      </c>
      <c r="C311" s="80">
        <v>21.0</v>
      </c>
      <c r="D311" s="80" t="s">
        <v>5573</v>
      </c>
      <c r="E311" s="80">
        <v>1.0</v>
      </c>
      <c r="F311" s="80" t="s">
        <v>5576</v>
      </c>
      <c r="G311" s="86"/>
      <c r="H311" s="86"/>
    </row>
    <row r="312">
      <c r="A312" s="93" t="s">
        <v>1046</v>
      </c>
      <c r="B312" s="80" t="s">
        <v>5570</v>
      </c>
      <c r="C312" s="80">
        <v>1.009</v>
      </c>
      <c r="D312" s="80" t="s">
        <v>5571</v>
      </c>
      <c r="E312" s="80">
        <v>1.0</v>
      </c>
      <c r="F312" s="80" t="s">
        <v>5576</v>
      </c>
      <c r="G312" s="86"/>
      <c r="H312" s="86"/>
    </row>
    <row r="313">
      <c r="A313" s="93" t="s">
        <v>1046</v>
      </c>
      <c r="B313" s="80" t="s">
        <v>1001</v>
      </c>
      <c r="C313" s="80">
        <v>0.0</v>
      </c>
      <c r="D313" s="80" t="s">
        <v>5573</v>
      </c>
      <c r="E313" s="80">
        <v>1.0</v>
      </c>
      <c r="F313" s="80" t="s">
        <v>5576</v>
      </c>
      <c r="G313" s="86"/>
      <c r="H313" s="86"/>
    </row>
    <row r="314">
      <c r="A314" s="93" t="s">
        <v>1046</v>
      </c>
      <c r="B314" s="80" t="s">
        <v>5574</v>
      </c>
      <c r="C314" s="80">
        <v>2.75</v>
      </c>
      <c r="D314" s="80" t="s">
        <v>5575</v>
      </c>
      <c r="E314" s="80">
        <v>1.0</v>
      </c>
      <c r="F314" s="80" t="s">
        <v>5576</v>
      </c>
      <c r="G314" s="86"/>
      <c r="H314" s="86"/>
    </row>
    <row r="315">
      <c r="A315" s="93" t="s">
        <v>1044</v>
      </c>
      <c r="B315" s="80" t="s">
        <v>5570</v>
      </c>
      <c r="C315" s="80">
        <v>1.063</v>
      </c>
      <c r="D315" s="80" t="s">
        <v>5571</v>
      </c>
      <c r="E315" s="80">
        <v>1.0</v>
      </c>
      <c r="F315" s="80" t="s">
        <v>5576</v>
      </c>
      <c r="G315" s="86"/>
      <c r="H315" s="86"/>
    </row>
    <row r="316">
      <c r="A316" s="93" t="s">
        <v>1044</v>
      </c>
      <c r="B316" s="80" t="s">
        <v>1001</v>
      </c>
      <c r="C316" s="80">
        <v>19.0</v>
      </c>
      <c r="D316" s="80" t="s">
        <v>5573</v>
      </c>
      <c r="E316" s="80">
        <v>1.0</v>
      </c>
      <c r="F316" s="80" t="s">
        <v>5576</v>
      </c>
      <c r="G316" s="86"/>
      <c r="H316" s="86"/>
    </row>
    <row r="317">
      <c r="A317" s="93" t="s">
        <v>1044</v>
      </c>
      <c r="B317" s="80" t="s">
        <v>5570</v>
      </c>
      <c r="C317" s="80">
        <v>1.018</v>
      </c>
      <c r="D317" s="80" t="s">
        <v>5571</v>
      </c>
      <c r="E317" s="80">
        <v>1.0</v>
      </c>
      <c r="F317" s="80" t="s">
        <v>5576</v>
      </c>
      <c r="G317" s="86"/>
      <c r="H317" s="86"/>
    </row>
    <row r="318">
      <c r="A318" s="93" t="s">
        <v>1044</v>
      </c>
      <c r="B318" s="80" t="s">
        <v>1001</v>
      </c>
      <c r="C318" s="80">
        <v>21.0</v>
      </c>
      <c r="D318" s="80" t="s">
        <v>5573</v>
      </c>
      <c r="E318" s="80">
        <v>1.0</v>
      </c>
      <c r="F318" s="80" t="s">
        <v>5576</v>
      </c>
      <c r="G318" s="86"/>
      <c r="H318" s="86"/>
    </row>
    <row r="319">
      <c r="A319" s="93" t="s">
        <v>1044</v>
      </c>
      <c r="B319" s="80" t="s">
        <v>5570</v>
      </c>
      <c r="C319" s="80">
        <v>1.012</v>
      </c>
      <c r="D319" s="80" t="s">
        <v>5571</v>
      </c>
      <c r="E319" s="80">
        <v>1.0</v>
      </c>
      <c r="F319" s="80" t="s">
        <v>5576</v>
      </c>
      <c r="G319" s="86"/>
      <c r="H319" s="86"/>
    </row>
    <row r="320">
      <c r="A320" s="93" t="s">
        <v>1044</v>
      </c>
      <c r="B320" s="80" t="s">
        <v>1001</v>
      </c>
      <c r="C320" s="80">
        <v>0.0</v>
      </c>
      <c r="D320" s="80" t="s">
        <v>5573</v>
      </c>
      <c r="E320" s="80">
        <v>1.0</v>
      </c>
      <c r="F320" s="80" t="s">
        <v>5576</v>
      </c>
      <c r="G320" s="86"/>
      <c r="H320" s="86"/>
    </row>
    <row r="321">
      <c r="A321" s="93" t="s">
        <v>1044</v>
      </c>
      <c r="B321" s="80" t="s">
        <v>5574</v>
      </c>
      <c r="C321" s="80">
        <v>2.7</v>
      </c>
      <c r="D321" s="80" t="s">
        <v>5575</v>
      </c>
      <c r="E321" s="80">
        <v>1.0</v>
      </c>
      <c r="F321" s="80" t="s">
        <v>5576</v>
      </c>
      <c r="G321" s="86"/>
      <c r="H321" s="86"/>
    </row>
    <row r="322">
      <c r="A322" s="49" t="s">
        <v>1038</v>
      </c>
      <c r="B322" s="80" t="s">
        <v>5570</v>
      </c>
      <c r="C322" s="80">
        <v>1.046</v>
      </c>
      <c r="D322" s="80" t="s">
        <v>5571</v>
      </c>
      <c r="E322" s="80">
        <v>1.0</v>
      </c>
      <c r="F322" s="80" t="s">
        <v>5576</v>
      </c>
      <c r="G322" s="86"/>
      <c r="H322" s="86"/>
    </row>
    <row r="323">
      <c r="A323" s="49" t="s">
        <v>1038</v>
      </c>
      <c r="B323" s="80" t="s">
        <v>1001</v>
      </c>
      <c r="C323" s="80">
        <v>18.0</v>
      </c>
      <c r="D323" s="80" t="s">
        <v>5573</v>
      </c>
      <c r="E323" s="80">
        <v>1.0</v>
      </c>
      <c r="F323" s="80" t="s">
        <v>5576</v>
      </c>
      <c r="G323" s="86"/>
      <c r="H323" s="86"/>
    </row>
    <row r="324">
      <c r="A324" s="49" t="s">
        <v>1038</v>
      </c>
      <c r="B324" s="80" t="s">
        <v>5570</v>
      </c>
      <c r="C324" s="80">
        <v>1.016</v>
      </c>
      <c r="D324" s="80" t="s">
        <v>5571</v>
      </c>
      <c r="E324" s="80">
        <v>1.0</v>
      </c>
      <c r="F324" s="80" t="s">
        <v>5576</v>
      </c>
      <c r="G324" s="86"/>
      <c r="H324" s="86"/>
    </row>
    <row r="325">
      <c r="A325" s="49" t="s">
        <v>1038</v>
      </c>
      <c r="B325" s="80" t="s">
        <v>1001</v>
      </c>
      <c r="C325" s="80">
        <v>21.0</v>
      </c>
      <c r="D325" s="80" t="s">
        <v>5573</v>
      </c>
      <c r="E325" s="80">
        <v>1.0</v>
      </c>
      <c r="F325" s="80" t="s">
        <v>5576</v>
      </c>
      <c r="G325" s="86"/>
      <c r="H325" s="86"/>
    </row>
    <row r="326">
      <c r="A326" s="49" t="s">
        <v>1038</v>
      </c>
      <c r="B326" s="80" t="s">
        <v>5570</v>
      </c>
      <c r="C326" s="80">
        <v>1.012</v>
      </c>
      <c r="D326" s="80" t="s">
        <v>5571</v>
      </c>
      <c r="E326" s="80">
        <v>1.0</v>
      </c>
      <c r="F326" s="80" t="s">
        <v>5576</v>
      </c>
      <c r="G326" s="86"/>
      <c r="H326" s="86"/>
    </row>
    <row r="327">
      <c r="A327" s="49" t="s">
        <v>1038</v>
      </c>
      <c r="B327" s="80" t="s">
        <v>1001</v>
      </c>
      <c r="C327" s="80">
        <v>0.0</v>
      </c>
      <c r="D327" s="80" t="s">
        <v>5573</v>
      </c>
      <c r="E327" s="80">
        <v>1.0</v>
      </c>
      <c r="F327" s="80" t="s">
        <v>5576</v>
      </c>
      <c r="G327" s="86"/>
      <c r="H327" s="86"/>
    </row>
    <row r="328">
      <c r="A328" s="49" t="s">
        <v>1038</v>
      </c>
      <c r="B328" s="80" t="s">
        <v>5574</v>
      </c>
      <c r="C328" s="80">
        <v>2.7</v>
      </c>
      <c r="D328" s="80" t="s">
        <v>5575</v>
      </c>
      <c r="E328" s="80">
        <v>1.0</v>
      </c>
      <c r="F328" s="80" t="s">
        <v>5576</v>
      </c>
      <c r="G328" s="86"/>
      <c r="H328" s="86"/>
    </row>
    <row r="329">
      <c r="A329" s="49" t="s">
        <v>1047</v>
      </c>
      <c r="B329" s="80" t="s">
        <v>5570</v>
      </c>
      <c r="C329" s="80">
        <v>1.074</v>
      </c>
      <c r="D329" s="80" t="s">
        <v>5571</v>
      </c>
      <c r="E329" s="80">
        <v>1.0</v>
      </c>
      <c r="F329" s="80" t="s">
        <v>5576</v>
      </c>
      <c r="G329" s="86"/>
      <c r="H329" s="86"/>
    </row>
    <row r="330">
      <c r="A330" s="49" t="s">
        <v>1047</v>
      </c>
      <c r="B330" s="80" t="s">
        <v>1001</v>
      </c>
      <c r="C330" s="80">
        <v>25.0</v>
      </c>
      <c r="D330" s="80" t="s">
        <v>5573</v>
      </c>
      <c r="E330" s="80">
        <v>1.0</v>
      </c>
      <c r="F330" s="80" t="s">
        <v>5576</v>
      </c>
      <c r="G330" s="86"/>
      <c r="H330" s="86"/>
    </row>
    <row r="331">
      <c r="A331" s="49" t="s">
        <v>1047</v>
      </c>
      <c r="B331" s="80" t="s">
        <v>5570</v>
      </c>
      <c r="C331" s="80">
        <v>1.022</v>
      </c>
      <c r="D331" s="80" t="s">
        <v>5571</v>
      </c>
      <c r="E331" s="80">
        <v>1.0</v>
      </c>
      <c r="F331" s="80" t="s">
        <v>5576</v>
      </c>
      <c r="G331" s="86"/>
      <c r="H331" s="86"/>
    </row>
    <row r="332">
      <c r="A332" s="49" t="s">
        <v>1047</v>
      </c>
      <c r="B332" s="80" t="s">
        <v>1001</v>
      </c>
      <c r="C332" s="80">
        <v>25.0</v>
      </c>
      <c r="D332" s="80" t="s">
        <v>5573</v>
      </c>
      <c r="E332" s="80">
        <v>1.0</v>
      </c>
      <c r="F332" s="80" t="s">
        <v>5576</v>
      </c>
      <c r="G332" s="86"/>
      <c r="H332" s="86"/>
    </row>
    <row r="333">
      <c r="A333" s="49" t="s">
        <v>1047</v>
      </c>
      <c r="B333" s="80" t="s">
        <v>5570</v>
      </c>
      <c r="C333" s="80">
        <v>1.016</v>
      </c>
      <c r="D333" s="80" t="s">
        <v>5571</v>
      </c>
      <c r="E333" s="80">
        <v>1.0</v>
      </c>
      <c r="F333" s="80" t="s">
        <v>5576</v>
      </c>
      <c r="G333" s="86"/>
      <c r="H333" s="86"/>
    </row>
    <row r="334">
      <c r="A334" s="49" t="s">
        <v>1047</v>
      </c>
      <c r="B334" s="80" t="s">
        <v>1001</v>
      </c>
      <c r="C334" s="80">
        <v>0.0</v>
      </c>
      <c r="D334" s="80" t="s">
        <v>5573</v>
      </c>
      <c r="E334" s="80">
        <v>1.0</v>
      </c>
      <c r="F334" s="80" t="s">
        <v>5576</v>
      </c>
      <c r="G334" s="86"/>
      <c r="H334" s="86"/>
    </row>
    <row r="335">
      <c r="A335" s="49" t="s">
        <v>1047</v>
      </c>
      <c r="B335" s="80" t="s">
        <v>5574</v>
      </c>
      <c r="C335" s="80">
        <v>2.6</v>
      </c>
      <c r="D335" s="80" t="s">
        <v>5575</v>
      </c>
      <c r="E335" s="80">
        <v>1.0</v>
      </c>
      <c r="F335" s="80" t="s">
        <v>5576</v>
      </c>
      <c r="G335" s="86"/>
      <c r="H335" s="86"/>
    </row>
    <row r="336">
      <c r="A336" s="49" t="s">
        <v>1040</v>
      </c>
      <c r="B336" s="80" t="s">
        <v>5570</v>
      </c>
      <c r="C336" s="80">
        <v>1.046</v>
      </c>
      <c r="D336" s="80" t="s">
        <v>5571</v>
      </c>
      <c r="E336" s="80">
        <v>1.0</v>
      </c>
      <c r="F336" s="80" t="s">
        <v>5576</v>
      </c>
      <c r="G336" s="86"/>
      <c r="H336" s="86"/>
    </row>
    <row r="337">
      <c r="A337" s="49" t="s">
        <v>1040</v>
      </c>
      <c r="B337" s="80" t="s">
        <v>1001</v>
      </c>
      <c r="C337" s="80">
        <v>10.0</v>
      </c>
      <c r="D337" s="80" t="s">
        <v>5573</v>
      </c>
      <c r="E337" s="80">
        <v>1.0</v>
      </c>
      <c r="F337" s="80" t="s">
        <v>5576</v>
      </c>
      <c r="G337" s="86"/>
      <c r="H337" s="86"/>
    </row>
    <row r="338">
      <c r="A338" s="49" t="s">
        <v>1040</v>
      </c>
      <c r="B338" s="80" t="s">
        <v>5570</v>
      </c>
      <c r="C338" s="80">
        <v>1.2</v>
      </c>
      <c r="D338" s="80" t="s">
        <v>5571</v>
      </c>
      <c r="E338" s="80">
        <v>1.0</v>
      </c>
      <c r="F338" s="80" t="s">
        <v>5576</v>
      </c>
      <c r="G338" s="86"/>
      <c r="H338" s="86"/>
    </row>
    <row r="339">
      <c r="A339" s="49" t="s">
        <v>1040</v>
      </c>
      <c r="B339" s="80" t="s">
        <v>1001</v>
      </c>
      <c r="C339" s="80">
        <v>16.0</v>
      </c>
      <c r="D339" s="80" t="s">
        <v>5573</v>
      </c>
      <c r="E339" s="80">
        <v>1.0</v>
      </c>
      <c r="F339" s="80" t="s">
        <v>5576</v>
      </c>
      <c r="G339" s="86"/>
      <c r="H339" s="86"/>
    </row>
    <row r="340">
      <c r="A340" s="49" t="s">
        <v>1040</v>
      </c>
      <c r="B340" s="80" t="s">
        <v>5570</v>
      </c>
      <c r="C340" s="80">
        <v>1.012</v>
      </c>
      <c r="D340" s="80" t="s">
        <v>5571</v>
      </c>
      <c r="E340" s="80">
        <v>1.0</v>
      </c>
      <c r="F340" s="80" t="s">
        <v>5576</v>
      </c>
      <c r="G340" s="86"/>
      <c r="H340" s="86"/>
    </row>
    <row r="341">
      <c r="A341" s="49" t="s">
        <v>1040</v>
      </c>
      <c r="B341" s="80" t="s">
        <v>1001</v>
      </c>
      <c r="C341" s="80">
        <v>0.0</v>
      </c>
      <c r="D341" s="80" t="s">
        <v>5573</v>
      </c>
      <c r="E341" s="80">
        <v>1.0</v>
      </c>
      <c r="F341" s="80" t="s">
        <v>5576</v>
      </c>
      <c r="G341" s="86"/>
      <c r="H341" s="86"/>
    </row>
    <row r="342">
      <c r="A342" s="49" t="s">
        <v>1040</v>
      </c>
      <c r="B342" s="80" t="s">
        <v>5574</v>
      </c>
      <c r="C342" s="80">
        <v>2.7</v>
      </c>
      <c r="D342" s="80" t="s">
        <v>5575</v>
      </c>
      <c r="E342" s="80">
        <v>1.0</v>
      </c>
      <c r="F342" s="80" t="s">
        <v>5576</v>
      </c>
      <c r="G342" s="86"/>
      <c r="H342" s="86"/>
    </row>
    <row r="343">
      <c r="A343" s="49" t="s">
        <v>1033</v>
      </c>
      <c r="B343" s="80" t="s">
        <v>5570</v>
      </c>
      <c r="C343" s="80">
        <v>1.032</v>
      </c>
      <c r="D343" s="80" t="s">
        <v>5571</v>
      </c>
      <c r="E343" s="80">
        <v>1.0</v>
      </c>
      <c r="F343" s="80" t="s">
        <v>5576</v>
      </c>
      <c r="G343" s="86"/>
      <c r="H343" s="86"/>
    </row>
    <row r="344">
      <c r="A344" s="49" t="s">
        <v>1033</v>
      </c>
      <c r="B344" s="80" t="s">
        <v>1001</v>
      </c>
      <c r="C344" s="80">
        <v>0.0</v>
      </c>
      <c r="D344" s="80" t="s">
        <v>5573</v>
      </c>
      <c r="E344" s="80">
        <v>1.0</v>
      </c>
      <c r="F344" s="80" t="s">
        <v>5576</v>
      </c>
      <c r="G344" s="86"/>
      <c r="H344" s="86"/>
    </row>
    <row r="345">
      <c r="A345" s="49" t="s">
        <v>1033</v>
      </c>
      <c r="B345" s="80" t="s">
        <v>1001</v>
      </c>
      <c r="C345" s="80">
        <v>0.0</v>
      </c>
      <c r="D345" s="80" t="s">
        <v>5573</v>
      </c>
      <c r="E345" s="80">
        <v>1.0</v>
      </c>
      <c r="F345" s="80" t="s">
        <v>5576</v>
      </c>
      <c r="G345" s="86"/>
      <c r="H345" s="86"/>
    </row>
    <row r="346">
      <c r="A346" s="49" t="s">
        <v>1033</v>
      </c>
      <c r="B346" s="80" t="s">
        <v>5574</v>
      </c>
      <c r="C346" s="80">
        <v>2.8</v>
      </c>
      <c r="D346" s="80" t="s">
        <v>5575</v>
      </c>
      <c r="E346" s="80">
        <v>1.0</v>
      </c>
      <c r="F346" s="80" t="s">
        <v>5576</v>
      </c>
      <c r="G346" s="86"/>
      <c r="H346" s="86"/>
    </row>
    <row r="347">
      <c r="A347" s="49" t="s">
        <v>1035</v>
      </c>
      <c r="B347" s="80" t="s">
        <v>5570</v>
      </c>
      <c r="C347" s="80">
        <v>1.073</v>
      </c>
      <c r="D347" s="80" t="s">
        <v>5571</v>
      </c>
      <c r="E347" s="80">
        <v>1.0</v>
      </c>
      <c r="F347" s="80" t="s">
        <v>5576</v>
      </c>
      <c r="G347" s="86"/>
      <c r="H347" s="86"/>
    </row>
    <row r="348">
      <c r="A348" s="49" t="s">
        <v>1035</v>
      </c>
      <c r="B348" s="80" t="s">
        <v>1001</v>
      </c>
      <c r="C348" s="80">
        <v>19.0</v>
      </c>
      <c r="D348" s="80" t="s">
        <v>5573</v>
      </c>
      <c r="E348" s="80">
        <v>1.0</v>
      </c>
      <c r="F348" s="80" t="s">
        <v>5576</v>
      </c>
      <c r="G348" s="86"/>
      <c r="H348" s="86"/>
    </row>
    <row r="349">
      <c r="A349" s="49" t="s">
        <v>1035</v>
      </c>
      <c r="B349" s="80" t="s">
        <v>5570</v>
      </c>
      <c r="C349" s="80">
        <v>1.022</v>
      </c>
      <c r="D349" s="80" t="s">
        <v>5571</v>
      </c>
      <c r="E349" s="80">
        <v>1.0</v>
      </c>
      <c r="F349" s="80" t="s">
        <v>5576</v>
      </c>
      <c r="G349" s="86"/>
      <c r="H349" s="86"/>
    </row>
    <row r="350">
      <c r="A350" s="49" t="s">
        <v>1035</v>
      </c>
      <c r="B350" s="80" t="s">
        <v>1001</v>
      </c>
      <c r="C350" s="80">
        <v>21.0</v>
      </c>
      <c r="D350" s="80" t="s">
        <v>5573</v>
      </c>
      <c r="E350" s="80">
        <v>1.0</v>
      </c>
      <c r="F350" s="80" t="s">
        <v>5576</v>
      </c>
      <c r="G350" s="86"/>
      <c r="H350" s="86"/>
    </row>
    <row r="351">
      <c r="A351" s="49" t="s">
        <v>1035</v>
      </c>
      <c r="B351" s="80" t="s">
        <v>5570</v>
      </c>
      <c r="C351" s="80">
        <v>1.016</v>
      </c>
      <c r="D351" s="80" t="s">
        <v>5571</v>
      </c>
      <c r="E351" s="80">
        <v>1.0</v>
      </c>
      <c r="F351" s="80" t="s">
        <v>5576</v>
      </c>
      <c r="G351" s="86"/>
      <c r="H351" s="86"/>
    </row>
    <row r="352">
      <c r="A352" s="49" t="s">
        <v>1035</v>
      </c>
      <c r="B352" s="80" t="s">
        <v>1001</v>
      </c>
      <c r="C352" s="80">
        <v>0.0</v>
      </c>
      <c r="D352" s="80" t="s">
        <v>5573</v>
      </c>
      <c r="E352" s="80">
        <v>1.0</v>
      </c>
      <c r="F352" s="80" t="s">
        <v>5576</v>
      </c>
      <c r="G352" s="86"/>
      <c r="H352" s="86"/>
    </row>
    <row r="353">
      <c r="A353" s="49" t="s">
        <v>1035</v>
      </c>
      <c r="B353" s="80" t="s">
        <v>5574</v>
      </c>
      <c r="C353" s="80">
        <v>2.5</v>
      </c>
      <c r="D353" s="80" t="s">
        <v>5575</v>
      </c>
      <c r="E353" s="80">
        <v>1.0</v>
      </c>
      <c r="F353" s="80" t="s">
        <v>5576</v>
      </c>
      <c r="G353" s="86"/>
      <c r="H353" s="86"/>
    </row>
    <row r="354">
      <c r="A354" s="93" t="s">
        <v>1030</v>
      </c>
      <c r="B354" s="80" t="s">
        <v>5570</v>
      </c>
      <c r="C354" s="80">
        <v>1.041</v>
      </c>
      <c r="D354" s="80" t="s">
        <v>5571</v>
      </c>
      <c r="E354" s="80">
        <v>1.0</v>
      </c>
      <c r="F354" s="80" t="s">
        <v>5576</v>
      </c>
      <c r="G354" s="86"/>
      <c r="H354" s="86"/>
    </row>
    <row r="355">
      <c r="A355" s="93" t="s">
        <v>1030</v>
      </c>
      <c r="B355" s="80" t="s">
        <v>1001</v>
      </c>
      <c r="C355" s="80">
        <v>12.0</v>
      </c>
      <c r="D355" s="80" t="s">
        <v>5573</v>
      </c>
      <c r="E355" s="80">
        <v>1.0</v>
      </c>
      <c r="F355" s="80" t="s">
        <v>5576</v>
      </c>
      <c r="G355" s="86"/>
      <c r="H355" s="86"/>
    </row>
    <row r="356">
      <c r="A356" s="93" t="s">
        <v>1030</v>
      </c>
      <c r="B356" s="80" t="s">
        <v>5570</v>
      </c>
      <c r="C356" s="80">
        <v>1.012</v>
      </c>
      <c r="D356" s="80" t="s">
        <v>5571</v>
      </c>
      <c r="E356" s="80">
        <v>1.0</v>
      </c>
      <c r="F356" s="80" t="s">
        <v>5576</v>
      </c>
      <c r="G356" s="86"/>
      <c r="H356" s="86"/>
    </row>
    <row r="357">
      <c r="A357" s="93" t="s">
        <v>1030</v>
      </c>
      <c r="B357" s="80" t="s">
        <v>1001</v>
      </c>
      <c r="C357" s="80">
        <v>16.0</v>
      </c>
      <c r="D357" s="80" t="s">
        <v>5573</v>
      </c>
      <c r="E357" s="80">
        <v>1.0</v>
      </c>
      <c r="F357" s="80" t="s">
        <v>5576</v>
      </c>
      <c r="G357" s="86"/>
      <c r="H357" s="86"/>
    </row>
    <row r="358">
      <c r="A358" s="93" t="s">
        <v>1030</v>
      </c>
      <c r="B358" s="80" t="s">
        <v>5570</v>
      </c>
      <c r="C358" s="80">
        <v>1.008</v>
      </c>
      <c r="D358" s="80" t="s">
        <v>5571</v>
      </c>
      <c r="E358" s="80">
        <v>1.0</v>
      </c>
      <c r="F358" s="80" t="s">
        <v>5576</v>
      </c>
      <c r="G358" s="86"/>
      <c r="H358" s="86"/>
    </row>
    <row r="359">
      <c r="A359" s="93" t="s">
        <v>1030</v>
      </c>
      <c r="B359" s="80" t="s">
        <v>1001</v>
      </c>
      <c r="C359" s="80">
        <v>0.0</v>
      </c>
      <c r="D359" s="80" t="s">
        <v>5573</v>
      </c>
      <c r="E359" s="80">
        <v>1.0</v>
      </c>
      <c r="F359" s="80" t="s">
        <v>5576</v>
      </c>
      <c r="G359" s="86"/>
      <c r="H359" s="86"/>
    </row>
    <row r="360">
      <c r="A360" s="93" t="s">
        <v>1030</v>
      </c>
      <c r="B360" s="80" t="s">
        <v>5574</v>
      </c>
      <c r="C360" s="80">
        <v>2.7</v>
      </c>
      <c r="D360" s="80" t="s">
        <v>5573</v>
      </c>
      <c r="E360" s="80">
        <v>1.0</v>
      </c>
      <c r="F360" s="80" t="s">
        <v>5576</v>
      </c>
      <c r="G360" s="86"/>
      <c r="H360" s="86"/>
    </row>
  </sheetData>
  <mergeCells count="1">
    <mergeCell ref="A1:G1"/>
  </mergeCells>
  <dataValidations>
    <dataValidation type="list" allowBlank="1" sqref="D5:D360">
      <formula1>"SG,pH,C,SRM,NTU,vols,CFU/mL"</formula1>
    </dataValidation>
    <dataValidation type="list" allowBlank="1" sqref="E5:E360">
      <formula1>"1,0"</formula1>
    </dataValidation>
    <dataValidation type="list" allowBlank="1" sqref="B5:B360">
      <formula1>"gravity,ph,temperature,color,turbidity,taste,aroma,clarity,carbonation,microbiological"</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42.63"/>
    <col customWidth="1" min="2" max="2" width="10.0"/>
    <col customWidth="1" min="3" max="3" width="7.5"/>
    <col customWidth="1" min="4" max="4" width="18.38"/>
    <col customWidth="1" min="5" max="5" width="10.25"/>
    <col customWidth="1" min="6" max="6" width="28.38"/>
    <col customWidth="1" min="7" max="7" width="23.13"/>
    <col customWidth="1" min="8" max="8" width="14.25"/>
  </cols>
  <sheetData>
    <row r="1">
      <c r="A1" s="21" t="s">
        <v>5577</v>
      </c>
    </row>
    <row r="2">
      <c r="A2" s="22" t="s">
        <v>992</v>
      </c>
      <c r="B2" s="22" t="s">
        <v>5578</v>
      </c>
      <c r="C2" s="22" t="s">
        <v>91</v>
      </c>
      <c r="D2" s="22" t="s">
        <v>90</v>
      </c>
      <c r="E2" s="22" t="s">
        <v>5579</v>
      </c>
      <c r="F2" s="22" t="s">
        <v>5580</v>
      </c>
      <c r="G2" s="22" t="s">
        <v>96</v>
      </c>
      <c r="H2" s="22" t="s">
        <v>97</v>
      </c>
    </row>
    <row r="3">
      <c r="A3" s="23" t="s">
        <v>49</v>
      </c>
      <c r="B3" s="24"/>
      <c r="C3" s="23" t="s">
        <v>49</v>
      </c>
      <c r="D3" s="24"/>
      <c r="E3" s="24"/>
      <c r="F3" s="24"/>
      <c r="G3" s="24"/>
      <c r="H3" s="24"/>
    </row>
    <row r="4">
      <c r="A4" s="25" t="s">
        <v>50</v>
      </c>
      <c r="B4" s="25" t="s">
        <v>50</v>
      </c>
      <c r="C4" s="25" t="s">
        <v>101</v>
      </c>
      <c r="D4" s="25" t="s">
        <v>5581</v>
      </c>
      <c r="E4" s="25" t="s">
        <v>50</v>
      </c>
      <c r="F4" s="25" t="s">
        <v>102</v>
      </c>
      <c r="G4" s="25" t="s">
        <v>102</v>
      </c>
      <c r="H4" s="25" t="s">
        <v>50</v>
      </c>
    </row>
    <row r="5">
      <c r="A5" s="26" t="s">
        <v>896</v>
      </c>
      <c r="B5" s="26" t="s">
        <v>5582</v>
      </c>
      <c r="C5" s="26">
        <v>0.5</v>
      </c>
      <c r="D5" s="26" t="s">
        <v>105</v>
      </c>
      <c r="E5" s="26">
        <v>95.0</v>
      </c>
      <c r="F5" s="27"/>
      <c r="G5" s="27"/>
      <c r="H5" s="26" t="s">
        <v>5583</v>
      </c>
    </row>
    <row r="6">
      <c r="A6" s="26" t="s">
        <v>903</v>
      </c>
      <c r="C6" s="26">
        <v>1.5</v>
      </c>
      <c r="D6" s="26" t="s">
        <v>105</v>
      </c>
      <c r="E6" s="26">
        <v>95.0</v>
      </c>
      <c r="H6" s="26" t="s">
        <v>5583</v>
      </c>
    </row>
    <row r="7">
      <c r="A7" s="26" t="s">
        <v>5584</v>
      </c>
      <c r="C7" s="26">
        <v>0.25</v>
      </c>
      <c r="D7" s="26" t="s">
        <v>105</v>
      </c>
      <c r="E7" s="26">
        <v>95.0</v>
      </c>
      <c r="H7" s="26" t="s">
        <v>5583</v>
      </c>
    </row>
    <row r="8">
      <c r="A8" s="26" t="s">
        <v>917</v>
      </c>
      <c r="C8" s="26">
        <v>0.25</v>
      </c>
      <c r="D8" s="26" t="s">
        <v>105</v>
      </c>
      <c r="E8" s="26">
        <v>95.0</v>
      </c>
      <c r="H8" s="26" t="s">
        <v>5583</v>
      </c>
    </row>
  </sheetData>
  <mergeCells count="1">
    <mergeCell ref="A1:H1"/>
  </mergeCells>
  <dataValidations>
    <dataValidation type="list" allowBlank="1" sqref="D5:D8">
      <formula1>"packs,vials,mL,L,kg"</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4.88"/>
    <col customWidth="1" min="2" max="2" width="27.13"/>
    <col customWidth="1" min="3" max="3" width="35.75"/>
    <col customWidth="1" min="4" max="4" width="17.75"/>
    <col customWidth="1" min="5" max="5" width="17.13"/>
    <col customWidth="1" min="6" max="6" width="5.88"/>
  </cols>
  <sheetData>
    <row r="1">
      <c r="A1" s="21" t="s">
        <v>5585</v>
      </c>
    </row>
    <row r="2">
      <c r="A2" s="22" t="s">
        <v>5586</v>
      </c>
      <c r="B2" s="121" t="s">
        <v>5587</v>
      </c>
      <c r="C2" s="22" t="s">
        <v>5588</v>
      </c>
      <c r="D2" s="22" t="s">
        <v>5589</v>
      </c>
      <c r="E2" s="22" t="s">
        <v>5590</v>
      </c>
      <c r="F2" s="22" t="s">
        <v>98</v>
      </c>
    </row>
    <row r="3">
      <c r="A3" s="23" t="s">
        <v>49</v>
      </c>
      <c r="B3" s="122" t="s">
        <v>49</v>
      </c>
      <c r="C3" s="23" t="s">
        <v>49</v>
      </c>
      <c r="D3" s="24"/>
      <c r="E3" s="24"/>
      <c r="F3" s="24"/>
    </row>
    <row r="4">
      <c r="A4" s="25" t="s">
        <v>50</v>
      </c>
      <c r="B4" s="123" t="s">
        <v>102</v>
      </c>
      <c r="C4" s="25" t="s">
        <v>5591</v>
      </c>
      <c r="D4" s="25" t="s">
        <v>944</v>
      </c>
      <c r="E4" s="25" t="s">
        <v>944</v>
      </c>
      <c r="F4" s="25" t="s">
        <v>50</v>
      </c>
    </row>
    <row r="5">
      <c r="A5" s="26" t="s">
        <v>243</v>
      </c>
      <c r="B5" s="124">
        <v>46157.0</v>
      </c>
      <c r="C5" s="26" t="s">
        <v>5592</v>
      </c>
      <c r="D5" s="125">
        <v>0.3333333333333333</v>
      </c>
      <c r="E5" s="125">
        <v>0.6666666666666666</v>
      </c>
    </row>
    <row r="6">
      <c r="A6" s="26" t="s">
        <v>248</v>
      </c>
      <c r="B6" s="124">
        <v>46157.0</v>
      </c>
      <c r="C6" s="26" t="s">
        <v>5592</v>
      </c>
      <c r="D6" s="125">
        <v>0.3333333333333333</v>
      </c>
      <c r="E6" s="125">
        <v>0.6666666666666666</v>
      </c>
    </row>
    <row r="7">
      <c r="A7" s="26" t="s">
        <v>253</v>
      </c>
      <c r="B7" s="124">
        <v>46157.0</v>
      </c>
      <c r="C7" s="26" t="s">
        <v>5592</v>
      </c>
      <c r="D7" s="125">
        <v>0.4166666666666667</v>
      </c>
      <c r="E7" s="125">
        <v>0.75</v>
      </c>
    </row>
    <row r="8">
      <c r="A8" s="26" t="s">
        <v>258</v>
      </c>
      <c r="B8" s="124">
        <v>46157.0</v>
      </c>
      <c r="C8" s="26" t="s">
        <v>5592</v>
      </c>
      <c r="D8" s="125">
        <v>0.3333333333333333</v>
      </c>
      <c r="E8" s="125">
        <v>0.6666666666666666</v>
      </c>
    </row>
    <row r="9">
      <c r="A9" s="26" t="s">
        <v>261</v>
      </c>
      <c r="B9" s="124">
        <v>46157.0</v>
      </c>
      <c r="C9" s="26" t="s">
        <v>5592</v>
      </c>
      <c r="D9" s="125">
        <v>0.4166666666666667</v>
      </c>
      <c r="E9" s="125">
        <v>0.75</v>
      </c>
    </row>
    <row r="10">
      <c r="A10" s="26" t="s">
        <v>265</v>
      </c>
      <c r="B10" s="124">
        <v>46157.0</v>
      </c>
      <c r="C10" s="26" t="s">
        <v>5592</v>
      </c>
      <c r="D10" s="125">
        <v>0.3333333333333333</v>
      </c>
      <c r="E10" s="125">
        <v>0.6666666666666666</v>
      </c>
    </row>
    <row r="11">
      <c r="A11" s="26" t="s">
        <v>269</v>
      </c>
      <c r="B11" s="124">
        <v>46157.0</v>
      </c>
      <c r="C11" s="26" t="s">
        <v>5592</v>
      </c>
      <c r="D11" s="125">
        <v>0.3333333333333333</v>
      </c>
      <c r="E11" s="125">
        <v>0.6666666666666666</v>
      </c>
    </row>
    <row r="12">
      <c r="A12" s="26" t="s">
        <v>243</v>
      </c>
      <c r="B12" s="124">
        <v>46156.0</v>
      </c>
      <c r="C12" s="26" t="s">
        <v>5592</v>
      </c>
      <c r="D12" s="125">
        <v>0.3333333333333333</v>
      </c>
      <c r="E12" s="125">
        <v>0.6666666666666666</v>
      </c>
    </row>
    <row r="13">
      <c r="A13" s="26" t="s">
        <v>248</v>
      </c>
      <c r="B13" s="124">
        <v>46156.0</v>
      </c>
      <c r="C13" s="26" t="s">
        <v>5592</v>
      </c>
      <c r="D13" s="125">
        <v>0.3333333333333333</v>
      </c>
      <c r="E13" s="125">
        <v>0.6666666666666666</v>
      </c>
    </row>
    <row r="14">
      <c r="A14" s="26" t="s">
        <v>253</v>
      </c>
      <c r="B14" s="124">
        <v>46156.0</v>
      </c>
      <c r="C14" s="26" t="s">
        <v>5592</v>
      </c>
      <c r="D14" s="125">
        <v>0.4166666666666667</v>
      </c>
      <c r="E14" s="125">
        <v>0.75</v>
      </c>
    </row>
    <row r="15">
      <c r="A15" s="26" t="s">
        <v>258</v>
      </c>
      <c r="B15" s="124">
        <v>46156.0</v>
      </c>
      <c r="C15" s="26" t="s">
        <v>5592</v>
      </c>
      <c r="D15" s="125">
        <v>0.3333333333333333</v>
      </c>
      <c r="E15" s="125">
        <v>0.6666666666666666</v>
      </c>
    </row>
    <row r="16">
      <c r="A16" s="26" t="s">
        <v>261</v>
      </c>
      <c r="B16" s="124">
        <v>46156.0</v>
      </c>
      <c r="C16" s="26" t="s">
        <v>5592</v>
      </c>
      <c r="D16" s="125">
        <v>0.4166666666666667</v>
      </c>
      <c r="E16" s="125">
        <v>0.75</v>
      </c>
    </row>
    <row r="17">
      <c r="A17" s="26" t="s">
        <v>265</v>
      </c>
      <c r="B17" s="124">
        <v>46156.0</v>
      </c>
      <c r="C17" s="26" t="s">
        <v>5592</v>
      </c>
      <c r="D17" s="125">
        <v>0.3333333333333333</v>
      </c>
      <c r="E17" s="125">
        <v>0.6666666666666666</v>
      </c>
    </row>
    <row r="18">
      <c r="A18" s="26" t="s">
        <v>269</v>
      </c>
      <c r="B18" s="124">
        <v>46156.0</v>
      </c>
      <c r="C18" s="26" t="s">
        <v>5592</v>
      </c>
      <c r="D18" s="125">
        <v>0.3333333333333333</v>
      </c>
      <c r="E18" s="125">
        <v>0.6666666666666666</v>
      </c>
    </row>
    <row r="19">
      <c r="A19" s="26" t="s">
        <v>243</v>
      </c>
      <c r="B19" s="124">
        <v>46155.0</v>
      </c>
      <c r="C19" s="26" t="s">
        <v>5592</v>
      </c>
      <c r="D19" s="125">
        <v>0.3333333333333333</v>
      </c>
      <c r="E19" s="125">
        <v>0.6666666666666666</v>
      </c>
    </row>
    <row r="20">
      <c r="A20" s="26" t="s">
        <v>248</v>
      </c>
      <c r="B20" s="124">
        <v>46155.0</v>
      </c>
      <c r="C20" s="26" t="s">
        <v>5592</v>
      </c>
      <c r="D20" s="125">
        <v>0.3333333333333333</v>
      </c>
      <c r="E20" s="125">
        <v>0.6666666666666666</v>
      </c>
    </row>
    <row r="21">
      <c r="A21" s="26" t="s">
        <v>253</v>
      </c>
      <c r="B21" s="124">
        <v>46155.0</v>
      </c>
      <c r="C21" s="26" t="s">
        <v>5592</v>
      </c>
      <c r="D21" s="125">
        <v>0.4166666666666667</v>
      </c>
      <c r="E21" s="125">
        <v>0.75</v>
      </c>
    </row>
    <row r="22">
      <c r="A22" s="26" t="s">
        <v>258</v>
      </c>
      <c r="B22" s="124">
        <v>46155.0</v>
      </c>
      <c r="C22" s="26" t="s">
        <v>5592</v>
      </c>
      <c r="D22" s="125">
        <v>0.3333333333333333</v>
      </c>
      <c r="E22" s="125">
        <v>0.6666666666666666</v>
      </c>
    </row>
    <row r="23">
      <c r="A23" s="26" t="s">
        <v>261</v>
      </c>
      <c r="B23" s="124">
        <v>46155.0</v>
      </c>
      <c r="C23" s="26" t="s">
        <v>5592</v>
      </c>
      <c r="D23" s="125">
        <v>0.4166666666666667</v>
      </c>
      <c r="E23" s="125">
        <v>0.75</v>
      </c>
    </row>
    <row r="24">
      <c r="A24" s="26" t="s">
        <v>265</v>
      </c>
      <c r="B24" s="124">
        <v>46155.0</v>
      </c>
      <c r="C24" s="26" t="s">
        <v>5592</v>
      </c>
      <c r="D24" s="125">
        <v>0.3333333333333333</v>
      </c>
      <c r="E24" s="125">
        <v>0.6666666666666666</v>
      </c>
    </row>
    <row r="25">
      <c r="A25" s="26" t="s">
        <v>269</v>
      </c>
      <c r="B25" s="124">
        <v>46155.0</v>
      </c>
      <c r="C25" s="26" t="s">
        <v>5592</v>
      </c>
      <c r="D25" s="125">
        <v>0.3333333333333333</v>
      </c>
      <c r="E25" s="125">
        <v>0.6666666666666666</v>
      </c>
    </row>
    <row r="26">
      <c r="A26" s="26" t="s">
        <v>243</v>
      </c>
      <c r="B26" s="124">
        <v>46154.0</v>
      </c>
      <c r="C26" s="26" t="s">
        <v>5592</v>
      </c>
      <c r="D26" s="125">
        <v>0.3333333333333333</v>
      </c>
      <c r="E26" s="125">
        <v>0.6666666666666666</v>
      </c>
    </row>
    <row r="27">
      <c r="A27" s="26" t="s">
        <v>248</v>
      </c>
      <c r="B27" s="124">
        <v>46154.0</v>
      </c>
      <c r="C27" s="26" t="s">
        <v>5592</v>
      </c>
      <c r="D27" s="125">
        <v>0.3333333333333333</v>
      </c>
      <c r="E27" s="125">
        <v>0.6666666666666666</v>
      </c>
    </row>
    <row r="28">
      <c r="A28" s="26" t="s">
        <v>253</v>
      </c>
      <c r="B28" s="124">
        <v>46154.0</v>
      </c>
      <c r="C28" s="26" t="s">
        <v>5592</v>
      </c>
      <c r="D28" s="125">
        <v>0.4166666666666667</v>
      </c>
      <c r="E28" s="125">
        <v>0.75</v>
      </c>
    </row>
    <row r="29">
      <c r="A29" s="26" t="s">
        <v>258</v>
      </c>
      <c r="B29" s="124">
        <v>46154.0</v>
      </c>
      <c r="C29" s="26" t="s">
        <v>5592</v>
      </c>
      <c r="D29" s="125">
        <v>0.3333333333333333</v>
      </c>
      <c r="E29" s="125">
        <v>0.6666666666666666</v>
      </c>
    </row>
    <row r="30">
      <c r="A30" s="26" t="s">
        <v>261</v>
      </c>
      <c r="B30" s="124">
        <v>46154.0</v>
      </c>
      <c r="C30" s="26" t="s">
        <v>5592</v>
      </c>
      <c r="D30" s="125">
        <v>0.4166666666666667</v>
      </c>
      <c r="E30" s="125">
        <v>0.75</v>
      </c>
    </row>
    <row r="31">
      <c r="A31" s="26" t="s">
        <v>265</v>
      </c>
      <c r="B31" s="124">
        <v>46154.0</v>
      </c>
      <c r="C31" s="26" t="s">
        <v>5592</v>
      </c>
      <c r="D31" s="125">
        <v>0.3333333333333333</v>
      </c>
      <c r="E31" s="125">
        <v>0.6666666666666666</v>
      </c>
    </row>
    <row r="32">
      <c r="A32" s="26" t="s">
        <v>269</v>
      </c>
      <c r="B32" s="124">
        <v>46154.0</v>
      </c>
      <c r="C32" s="26" t="s">
        <v>5592</v>
      </c>
      <c r="D32" s="125">
        <v>0.3333333333333333</v>
      </c>
      <c r="E32" s="125">
        <v>0.6666666666666666</v>
      </c>
    </row>
    <row r="33">
      <c r="A33" s="26" t="s">
        <v>243</v>
      </c>
      <c r="B33" s="124">
        <v>46153.0</v>
      </c>
      <c r="C33" s="26" t="s">
        <v>5592</v>
      </c>
      <c r="D33" s="125">
        <v>0.3333333333333333</v>
      </c>
      <c r="E33" s="125">
        <v>0.6666666666666666</v>
      </c>
    </row>
    <row r="34">
      <c r="A34" s="26" t="s">
        <v>248</v>
      </c>
      <c r="B34" s="124">
        <v>46153.0</v>
      </c>
      <c r="C34" s="26" t="s">
        <v>5592</v>
      </c>
      <c r="D34" s="125">
        <v>0.3333333333333333</v>
      </c>
      <c r="E34" s="125">
        <v>0.6666666666666666</v>
      </c>
    </row>
    <row r="35">
      <c r="A35" s="26" t="s">
        <v>253</v>
      </c>
      <c r="B35" s="124">
        <v>46153.0</v>
      </c>
      <c r="C35" s="26" t="s">
        <v>5592</v>
      </c>
      <c r="D35" s="125">
        <v>0.4166666666666667</v>
      </c>
      <c r="E35" s="125">
        <v>0.75</v>
      </c>
    </row>
    <row r="36">
      <c r="A36" s="26" t="s">
        <v>258</v>
      </c>
      <c r="B36" s="124">
        <v>46153.0</v>
      </c>
      <c r="C36" s="26" t="s">
        <v>5592</v>
      </c>
      <c r="D36" s="125">
        <v>0.3333333333333333</v>
      </c>
      <c r="E36" s="125">
        <v>0.6666666666666666</v>
      </c>
    </row>
    <row r="37">
      <c r="A37" s="26" t="s">
        <v>261</v>
      </c>
      <c r="B37" s="124">
        <v>46153.0</v>
      </c>
      <c r="C37" s="26" t="s">
        <v>5592</v>
      </c>
      <c r="D37" s="125">
        <v>0.4166666666666667</v>
      </c>
      <c r="E37" s="125">
        <v>0.75</v>
      </c>
    </row>
    <row r="38">
      <c r="A38" s="26" t="s">
        <v>265</v>
      </c>
      <c r="B38" s="124">
        <v>46153.0</v>
      </c>
      <c r="C38" s="26" t="s">
        <v>5592</v>
      </c>
      <c r="D38" s="125">
        <v>0.3333333333333333</v>
      </c>
      <c r="E38" s="125">
        <v>0.6666666666666666</v>
      </c>
    </row>
    <row r="39">
      <c r="A39" s="26" t="s">
        <v>269</v>
      </c>
      <c r="B39" s="124">
        <v>46153.0</v>
      </c>
      <c r="C39" s="26" t="s">
        <v>5592</v>
      </c>
      <c r="D39" s="125">
        <v>0.3333333333333333</v>
      </c>
      <c r="E39" s="125">
        <v>0.6666666666666666</v>
      </c>
    </row>
    <row r="40">
      <c r="A40" s="26" t="s">
        <v>243</v>
      </c>
      <c r="B40" s="124">
        <v>46151.0</v>
      </c>
      <c r="C40" s="26" t="s">
        <v>5592</v>
      </c>
      <c r="D40" s="125">
        <v>0.3333333333333333</v>
      </c>
      <c r="E40" s="125">
        <v>0.6666666666666666</v>
      </c>
    </row>
    <row r="41">
      <c r="A41" s="26" t="s">
        <v>248</v>
      </c>
      <c r="B41" s="124">
        <v>46151.0</v>
      </c>
      <c r="C41" s="26" t="s">
        <v>5592</v>
      </c>
      <c r="D41" s="125">
        <v>0.3333333333333333</v>
      </c>
      <c r="E41" s="125">
        <v>0.6666666666666666</v>
      </c>
    </row>
    <row r="42">
      <c r="A42" s="26" t="s">
        <v>253</v>
      </c>
      <c r="B42" s="124">
        <v>46151.0</v>
      </c>
      <c r="C42" s="26" t="s">
        <v>5592</v>
      </c>
      <c r="D42" s="125">
        <v>0.4166666666666667</v>
      </c>
      <c r="E42" s="125">
        <v>0.75</v>
      </c>
    </row>
    <row r="43">
      <c r="A43" s="26" t="s">
        <v>258</v>
      </c>
      <c r="B43" s="124">
        <v>46151.0</v>
      </c>
      <c r="C43" s="26" t="s">
        <v>5592</v>
      </c>
      <c r="D43" s="125">
        <v>0.3333333333333333</v>
      </c>
      <c r="E43" s="125">
        <v>0.6666666666666666</v>
      </c>
    </row>
    <row r="44">
      <c r="A44" s="26" t="s">
        <v>261</v>
      </c>
      <c r="B44" s="124">
        <v>46151.0</v>
      </c>
      <c r="C44" s="26" t="s">
        <v>5592</v>
      </c>
      <c r="D44" s="125">
        <v>0.4166666666666667</v>
      </c>
      <c r="E44" s="125">
        <v>0.75</v>
      </c>
    </row>
    <row r="45">
      <c r="A45" s="26" t="s">
        <v>265</v>
      </c>
      <c r="B45" s="124">
        <v>46151.0</v>
      </c>
      <c r="C45" s="26" t="s">
        <v>5592</v>
      </c>
      <c r="D45" s="125">
        <v>0.3333333333333333</v>
      </c>
      <c r="E45" s="125">
        <v>0.6666666666666666</v>
      </c>
    </row>
    <row r="46">
      <c r="A46" s="26" t="s">
        <v>269</v>
      </c>
      <c r="B46" s="124">
        <v>46151.0</v>
      </c>
      <c r="C46" s="26" t="s">
        <v>5592</v>
      </c>
      <c r="D46" s="125">
        <v>0.3333333333333333</v>
      </c>
      <c r="E46" s="125">
        <v>0.6666666666666666</v>
      </c>
    </row>
    <row r="47">
      <c r="A47" s="26" t="s">
        <v>243</v>
      </c>
      <c r="B47" s="124">
        <v>46150.0</v>
      </c>
      <c r="C47" s="26" t="s">
        <v>5592</v>
      </c>
      <c r="D47" s="125">
        <v>0.3333333333333333</v>
      </c>
      <c r="E47" s="125">
        <v>0.6666666666666666</v>
      </c>
    </row>
    <row r="48">
      <c r="A48" s="26" t="s">
        <v>248</v>
      </c>
      <c r="B48" s="124">
        <v>46150.0</v>
      </c>
      <c r="C48" s="26" t="s">
        <v>5592</v>
      </c>
      <c r="D48" s="125">
        <v>0.3333333333333333</v>
      </c>
      <c r="E48" s="125">
        <v>0.6666666666666666</v>
      </c>
    </row>
    <row r="49">
      <c r="A49" s="26" t="s">
        <v>253</v>
      </c>
      <c r="B49" s="124">
        <v>46150.0</v>
      </c>
      <c r="C49" s="26" t="s">
        <v>5592</v>
      </c>
      <c r="D49" s="125">
        <v>0.4166666666666667</v>
      </c>
      <c r="E49" s="125">
        <v>0.75</v>
      </c>
    </row>
    <row r="50">
      <c r="A50" s="26" t="s">
        <v>258</v>
      </c>
      <c r="B50" s="124">
        <v>46150.0</v>
      </c>
      <c r="C50" s="26" t="s">
        <v>5592</v>
      </c>
      <c r="D50" s="125">
        <v>0.3333333333333333</v>
      </c>
      <c r="E50" s="125">
        <v>0.6666666666666666</v>
      </c>
    </row>
    <row r="51">
      <c r="A51" s="26" t="s">
        <v>261</v>
      </c>
      <c r="B51" s="124">
        <v>46150.0</v>
      </c>
      <c r="C51" s="26" t="s">
        <v>5592</v>
      </c>
      <c r="D51" s="125">
        <v>0.4166666666666667</v>
      </c>
      <c r="E51" s="125">
        <v>0.75</v>
      </c>
    </row>
    <row r="52">
      <c r="A52" s="26" t="s">
        <v>265</v>
      </c>
      <c r="B52" s="124">
        <v>46150.0</v>
      </c>
      <c r="C52" s="26" t="s">
        <v>5592</v>
      </c>
      <c r="D52" s="125">
        <v>0.3333333333333333</v>
      </c>
      <c r="E52" s="125">
        <v>0.6666666666666666</v>
      </c>
    </row>
    <row r="53">
      <c r="A53" s="26" t="s">
        <v>269</v>
      </c>
      <c r="B53" s="124">
        <v>46150.0</v>
      </c>
      <c r="C53" s="26" t="s">
        <v>5592</v>
      </c>
      <c r="D53" s="125">
        <v>0.3333333333333333</v>
      </c>
      <c r="E53" s="125">
        <v>0.6666666666666666</v>
      </c>
    </row>
    <row r="54">
      <c r="A54" s="26" t="s">
        <v>243</v>
      </c>
      <c r="B54" s="124">
        <v>46149.0</v>
      </c>
      <c r="C54" s="26" t="s">
        <v>5592</v>
      </c>
      <c r="D54" s="125">
        <v>0.3333333333333333</v>
      </c>
      <c r="E54" s="125">
        <v>0.6666666666666666</v>
      </c>
    </row>
    <row r="55">
      <c r="A55" s="26" t="s">
        <v>248</v>
      </c>
      <c r="B55" s="124">
        <v>46149.0</v>
      </c>
      <c r="C55" s="26" t="s">
        <v>5592</v>
      </c>
      <c r="D55" s="125">
        <v>0.3333333333333333</v>
      </c>
      <c r="E55" s="125">
        <v>0.6666666666666666</v>
      </c>
    </row>
    <row r="56">
      <c r="A56" s="26" t="s">
        <v>253</v>
      </c>
      <c r="B56" s="124">
        <v>46149.0</v>
      </c>
      <c r="C56" s="26" t="s">
        <v>5592</v>
      </c>
      <c r="D56" s="125">
        <v>0.4166666666666667</v>
      </c>
      <c r="E56" s="125">
        <v>0.75</v>
      </c>
    </row>
    <row r="57">
      <c r="A57" s="26" t="s">
        <v>258</v>
      </c>
      <c r="B57" s="124">
        <v>46149.0</v>
      </c>
      <c r="C57" s="26" t="s">
        <v>5592</v>
      </c>
      <c r="D57" s="125">
        <v>0.3333333333333333</v>
      </c>
      <c r="E57" s="125">
        <v>0.6666666666666666</v>
      </c>
    </row>
    <row r="58">
      <c r="A58" s="26" t="s">
        <v>261</v>
      </c>
      <c r="B58" s="124">
        <v>46149.0</v>
      </c>
      <c r="C58" s="26" t="s">
        <v>5592</v>
      </c>
      <c r="D58" s="125">
        <v>0.4166666666666667</v>
      </c>
      <c r="E58" s="125">
        <v>0.75</v>
      </c>
    </row>
    <row r="59">
      <c r="A59" s="26" t="s">
        <v>265</v>
      </c>
      <c r="B59" s="124">
        <v>46149.0</v>
      </c>
      <c r="C59" s="26" t="s">
        <v>5592</v>
      </c>
      <c r="D59" s="125">
        <v>0.3333333333333333</v>
      </c>
      <c r="E59" s="125">
        <v>0.6666666666666666</v>
      </c>
    </row>
    <row r="60">
      <c r="A60" s="26" t="s">
        <v>269</v>
      </c>
      <c r="B60" s="124">
        <v>46149.0</v>
      </c>
      <c r="C60" s="26" t="s">
        <v>5592</v>
      </c>
      <c r="D60" s="125">
        <v>0.3333333333333333</v>
      </c>
      <c r="E60" s="125">
        <v>0.6666666666666666</v>
      </c>
    </row>
    <row r="61">
      <c r="A61" s="26" t="s">
        <v>243</v>
      </c>
      <c r="B61" s="124">
        <v>46148.0</v>
      </c>
      <c r="C61" s="26" t="s">
        <v>5592</v>
      </c>
      <c r="D61" s="125">
        <v>0.3333333333333333</v>
      </c>
      <c r="E61" s="125">
        <v>0.6666666666666666</v>
      </c>
    </row>
    <row r="62">
      <c r="A62" s="26" t="s">
        <v>248</v>
      </c>
      <c r="B62" s="124">
        <v>46148.0</v>
      </c>
      <c r="C62" s="26" t="s">
        <v>5592</v>
      </c>
      <c r="D62" s="125">
        <v>0.3333333333333333</v>
      </c>
      <c r="E62" s="125">
        <v>0.6666666666666666</v>
      </c>
    </row>
    <row r="63">
      <c r="A63" s="26" t="s">
        <v>253</v>
      </c>
      <c r="B63" s="124">
        <v>46148.0</v>
      </c>
      <c r="C63" s="26" t="s">
        <v>5592</v>
      </c>
      <c r="D63" s="125">
        <v>0.4166666666666667</v>
      </c>
      <c r="E63" s="125">
        <v>0.75</v>
      </c>
    </row>
    <row r="64">
      <c r="A64" s="26" t="s">
        <v>258</v>
      </c>
      <c r="B64" s="124">
        <v>46148.0</v>
      </c>
      <c r="C64" s="26" t="s">
        <v>5592</v>
      </c>
      <c r="D64" s="125">
        <v>0.3333333333333333</v>
      </c>
      <c r="E64" s="125">
        <v>0.6666666666666666</v>
      </c>
    </row>
    <row r="65">
      <c r="A65" s="26" t="s">
        <v>261</v>
      </c>
      <c r="B65" s="124">
        <v>46148.0</v>
      </c>
      <c r="C65" s="26" t="s">
        <v>5592</v>
      </c>
      <c r="D65" s="125">
        <v>0.4166666666666667</v>
      </c>
      <c r="E65" s="125">
        <v>0.75</v>
      </c>
    </row>
    <row r="66">
      <c r="A66" s="26" t="s">
        <v>265</v>
      </c>
      <c r="B66" s="124">
        <v>46148.0</v>
      </c>
      <c r="C66" s="26" t="s">
        <v>5592</v>
      </c>
      <c r="D66" s="125">
        <v>0.3333333333333333</v>
      </c>
      <c r="E66" s="125">
        <v>0.6666666666666666</v>
      </c>
    </row>
    <row r="67">
      <c r="A67" s="26" t="s">
        <v>269</v>
      </c>
      <c r="B67" s="124">
        <v>46148.0</v>
      </c>
      <c r="C67" s="26" t="s">
        <v>5592</v>
      </c>
      <c r="D67" s="125">
        <v>0.3333333333333333</v>
      </c>
      <c r="E67" s="125">
        <v>0.6666666666666666</v>
      </c>
    </row>
    <row r="68">
      <c r="A68" s="26" t="s">
        <v>243</v>
      </c>
      <c r="B68" s="124">
        <v>46147.0</v>
      </c>
      <c r="C68" s="26" t="s">
        <v>5592</v>
      </c>
      <c r="D68" s="125">
        <v>0.3333333333333333</v>
      </c>
      <c r="E68" s="125">
        <v>0.6666666666666666</v>
      </c>
    </row>
    <row r="69">
      <c r="A69" s="26" t="s">
        <v>248</v>
      </c>
      <c r="B69" s="124">
        <v>46147.0</v>
      </c>
      <c r="C69" s="26" t="s">
        <v>5592</v>
      </c>
      <c r="D69" s="125">
        <v>0.3333333333333333</v>
      </c>
      <c r="E69" s="125">
        <v>0.6666666666666666</v>
      </c>
    </row>
    <row r="70">
      <c r="A70" s="26" t="s">
        <v>253</v>
      </c>
      <c r="B70" s="124">
        <v>46147.0</v>
      </c>
      <c r="C70" s="26" t="s">
        <v>5592</v>
      </c>
      <c r="D70" s="125">
        <v>0.4166666666666667</v>
      </c>
      <c r="E70" s="125">
        <v>0.75</v>
      </c>
    </row>
    <row r="71">
      <c r="A71" s="26" t="s">
        <v>258</v>
      </c>
      <c r="B71" s="124">
        <v>46147.0</v>
      </c>
      <c r="C71" s="26" t="s">
        <v>5592</v>
      </c>
      <c r="D71" s="125">
        <v>0.3333333333333333</v>
      </c>
      <c r="E71" s="125">
        <v>0.6666666666666666</v>
      </c>
    </row>
    <row r="72">
      <c r="A72" s="26" t="s">
        <v>261</v>
      </c>
      <c r="B72" s="124">
        <v>46147.0</v>
      </c>
      <c r="C72" s="26" t="s">
        <v>5592</v>
      </c>
      <c r="D72" s="125">
        <v>0.4166666666666667</v>
      </c>
      <c r="E72" s="125">
        <v>0.75</v>
      </c>
    </row>
    <row r="73">
      <c r="A73" s="26" t="s">
        <v>265</v>
      </c>
      <c r="B73" s="124">
        <v>46147.0</v>
      </c>
      <c r="C73" s="26" t="s">
        <v>5592</v>
      </c>
      <c r="D73" s="125">
        <v>0.3333333333333333</v>
      </c>
      <c r="E73" s="125">
        <v>0.6666666666666666</v>
      </c>
    </row>
    <row r="74">
      <c r="A74" s="26" t="s">
        <v>269</v>
      </c>
      <c r="B74" s="124">
        <v>46147.0</v>
      </c>
      <c r="C74" s="26" t="s">
        <v>5592</v>
      </c>
      <c r="D74" s="125">
        <v>0.3333333333333333</v>
      </c>
      <c r="E74" s="125">
        <v>0.6666666666666666</v>
      </c>
    </row>
    <row r="75">
      <c r="A75" s="26" t="s">
        <v>243</v>
      </c>
      <c r="B75" s="124">
        <v>46146.0</v>
      </c>
      <c r="C75" s="26" t="s">
        <v>5592</v>
      </c>
      <c r="D75" s="125">
        <v>0.3333333333333333</v>
      </c>
      <c r="E75" s="125">
        <v>0.6666666666666666</v>
      </c>
    </row>
    <row r="76">
      <c r="A76" s="26" t="s">
        <v>248</v>
      </c>
      <c r="B76" s="124">
        <v>46146.0</v>
      </c>
      <c r="C76" s="26" t="s">
        <v>5592</v>
      </c>
      <c r="D76" s="125">
        <v>0.3333333333333333</v>
      </c>
      <c r="E76" s="125">
        <v>0.6666666666666666</v>
      </c>
    </row>
    <row r="77">
      <c r="A77" s="26" t="s">
        <v>253</v>
      </c>
      <c r="B77" s="124">
        <v>46146.0</v>
      </c>
      <c r="C77" s="26" t="s">
        <v>5592</v>
      </c>
      <c r="D77" s="125">
        <v>0.4166666666666667</v>
      </c>
      <c r="E77" s="125">
        <v>0.75</v>
      </c>
    </row>
    <row r="78">
      <c r="A78" s="26" t="s">
        <v>258</v>
      </c>
      <c r="B78" s="124">
        <v>46146.0</v>
      </c>
      <c r="C78" s="26" t="s">
        <v>5592</v>
      </c>
      <c r="D78" s="125">
        <v>0.3333333333333333</v>
      </c>
      <c r="E78" s="125">
        <v>0.6666666666666666</v>
      </c>
    </row>
    <row r="79">
      <c r="A79" s="26" t="s">
        <v>261</v>
      </c>
      <c r="B79" s="124">
        <v>46146.0</v>
      </c>
      <c r="C79" s="26" t="s">
        <v>5592</v>
      </c>
      <c r="D79" s="125">
        <v>0.4166666666666667</v>
      </c>
      <c r="E79" s="125">
        <v>0.75</v>
      </c>
    </row>
    <row r="80">
      <c r="A80" s="26" t="s">
        <v>265</v>
      </c>
      <c r="B80" s="124">
        <v>46146.0</v>
      </c>
      <c r="C80" s="26" t="s">
        <v>5592</v>
      </c>
      <c r="D80" s="125">
        <v>0.3333333333333333</v>
      </c>
      <c r="E80" s="125">
        <v>0.6666666666666666</v>
      </c>
    </row>
    <row r="81">
      <c r="A81" s="26" t="s">
        <v>269</v>
      </c>
      <c r="B81" s="124">
        <v>46146.0</v>
      </c>
      <c r="C81" s="26" t="s">
        <v>5592</v>
      </c>
      <c r="D81" s="125">
        <v>0.3333333333333333</v>
      </c>
      <c r="E81" s="125">
        <v>0.6666666666666666</v>
      </c>
    </row>
    <row r="82">
      <c r="A82" s="26" t="s">
        <v>243</v>
      </c>
      <c r="B82" s="124">
        <v>46144.0</v>
      </c>
      <c r="C82" s="26" t="s">
        <v>5592</v>
      </c>
      <c r="D82" s="125">
        <v>0.3333333333333333</v>
      </c>
      <c r="E82" s="125">
        <v>0.6666666666666666</v>
      </c>
    </row>
    <row r="83">
      <c r="A83" s="26" t="s">
        <v>248</v>
      </c>
      <c r="B83" s="124">
        <v>46144.0</v>
      </c>
      <c r="C83" s="26" t="s">
        <v>5592</v>
      </c>
      <c r="D83" s="125">
        <v>0.3333333333333333</v>
      </c>
      <c r="E83" s="125">
        <v>0.6666666666666666</v>
      </c>
    </row>
    <row r="84">
      <c r="A84" s="26" t="s">
        <v>253</v>
      </c>
      <c r="B84" s="124">
        <v>46144.0</v>
      </c>
      <c r="C84" s="26" t="s">
        <v>5592</v>
      </c>
      <c r="D84" s="125">
        <v>0.4166666666666667</v>
      </c>
      <c r="E84" s="125">
        <v>0.75</v>
      </c>
    </row>
    <row r="85">
      <c r="A85" s="26" t="s">
        <v>258</v>
      </c>
      <c r="B85" s="124">
        <v>46144.0</v>
      </c>
      <c r="C85" s="26" t="s">
        <v>5592</v>
      </c>
      <c r="D85" s="125">
        <v>0.3333333333333333</v>
      </c>
      <c r="E85" s="125">
        <v>0.6666666666666666</v>
      </c>
    </row>
    <row r="86">
      <c r="A86" s="26" t="s">
        <v>261</v>
      </c>
      <c r="B86" s="124">
        <v>46144.0</v>
      </c>
      <c r="C86" s="26" t="s">
        <v>5592</v>
      </c>
      <c r="D86" s="125">
        <v>0.4166666666666667</v>
      </c>
      <c r="E86" s="125">
        <v>0.75</v>
      </c>
    </row>
    <row r="87">
      <c r="A87" s="26" t="s">
        <v>265</v>
      </c>
      <c r="B87" s="124">
        <v>46144.0</v>
      </c>
      <c r="C87" s="26" t="s">
        <v>5592</v>
      </c>
      <c r="D87" s="125">
        <v>0.3333333333333333</v>
      </c>
      <c r="E87" s="125">
        <v>0.6666666666666666</v>
      </c>
    </row>
    <row r="88">
      <c r="A88" s="26" t="s">
        <v>269</v>
      </c>
      <c r="B88" s="124">
        <v>46144.0</v>
      </c>
      <c r="C88" s="26" t="s">
        <v>5592</v>
      </c>
      <c r="D88" s="125">
        <v>0.3333333333333333</v>
      </c>
      <c r="E88" s="125">
        <v>0.6666666666666666</v>
      </c>
    </row>
    <row r="89">
      <c r="A89" s="26" t="s">
        <v>243</v>
      </c>
      <c r="B89" s="124">
        <v>46141.0</v>
      </c>
      <c r="C89" s="26" t="s">
        <v>5592</v>
      </c>
      <c r="D89" s="125">
        <v>0.3333333333333333</v>
      </c>
      <c r="E89" s="125">
        <v>0.6666666666666666</v>
      </c>
    </row>
    <row r="90">
      <c r="A90" s="26" t="s">
        <v>248</v>
      </c>
      <c r="B90" s="124">
        <v>46141.0</v>
      </c>
      <c r="C90" s="26" t="s">
        <v>5592</v>
      </c>
      <c r="D90" s="125">
        <v>0.3333333333333333</v>
      </c>
      <c r="E90" s="125">
        <v>0.6666666666666666</v>
      </c>
    </row>
    <row r="91">
      <c r="A91" s="26" t="s">
        <v>253</v>
      </c>
      <c r="B91" s="124">
        <v>46141.0</v>
      </c>
      <c r="C91" s="26" t="s">
        <v>5592</v>
      </c>
      <c r="D91" s="125">
        <v>0.4166666666666667</v>
      </c>
      <c r="E91" s="125">
        <v>0.75</v>
      </c>
    </row>
    <row r="92">
      <c r="A92" s="26" t="s">
        <v>258</v>
      </c>
      <c r="B92" s="124">
        <v>46141.0</v>
      </c>
      <c r="C92" s="26" t="s">
        <v>5592</v>
      </c>
      <c r="D92" s="125">
        <v>0.3333333333333333</v>
      </c>
      <c r="E92" s="125">
        <v>0.6666666666666666</v>
      </c>
    </row>
    <row r="93">
      <c r="A93" s="26" t="s">
        <v>261</v>
      </c>
      <c r="B93" s="124">
        <v>46141.0</v>
      </c>
      <c r="C93" s="26" t="s">
        <v>5592</v>
      </c>
      <c r="D93" s="125">
        <v>0.4166666666666667</v>
      </c>
      <c r="E93" s="125">
        <v>0.75</v>
      </c>
    </row>
    <row r="94">
      <c r="A94" s="26" t="s">
        <v>265</v>
      </c>
      <c r="B94" s="124">
        <v>46141.0</v>
      </c>
      <c r="C94" s="26" t="s">
        <v>5592</v>
      </c>
      <c r="D94" s="125">
        <v>0.3333333333333333</v>
      </c>
      <c r="E94" s="125">
        <v>0.6666666666666666</v>
      </c>
    </row>
    <row r="95">
      <c r="A95" s="26" t="s">
        <v>269</v>
      </c>
      <c r="B95" s="124">
        <v>46141.0</v>
      </c>
      <c r="C95" s="26" t="s">
        <v>5592</v>
      </c>
      <c r="D95" s="125">
        <v>0.3333333333333333</v>
      </c>
      <c r="E95" s="125">
        <v>0.6666666666666666</v>
      </c>
    </row>
    <row r="96">
      <c r="A96" s="26" t="s">
        <v>243</v>
      </c>
      <c r="B96" s="124">
        <v>46140.0</v>
      </c>
      <c r="C96" s="26" t="s">
        <v>5592</v>
      </c>
      <c r="D96" s="125">
        <v>0.3333333333333333</v>
      </c>
      <c r="E96" s="125">
        <v>0.6666666666666666</v>
      </c>
    </row>
    <row r="97">
      <c r="A97" s="26" t="s">
        <v>248</v>
      </c>
      <c r="B97" s="124">
        <v>46140.0</v>
      </c>
      <c r="C97" s="26" t="s">
        <v>5592</v>
      </c>
      <c r="D97" s="125">
        <v>0.3333333333333333</v>
      </c>
      <c r="E97" s="125">
        <v>0.6666666666666666</v>
      </c>
    </row>
    <row r="98">
      <c r="A98" s="26" t="s">
        <v>253</v>
      </c>
      <c r="B98" s="124">
        <v>46140.0</v>
      </c>
      <c r="C98" s="26" t="s">
        <v>5592</v>
      </c>
      <c r="D98" s="125">
        <v>0.4166666666666667</v>
      </c>
      <c r="E98" s="125">
        <v>0.75</v>
      </c>
    </row>
    <row r="99">
      <c r="A99" s="26" t="s">
        <v>258</v>
      </c>
      <c r="B99" s="124">
        <v>46140.0</v>
      </c>
      <c r="C99" s="26" t="s">
        <v>5592</v>
      </c>
      <c r="D99" s="125">
        <v>0.3333333333333333</v>
      </c>
      <c r="E99" s="125">
        <v>0.6666666666666666</v>
      </c>
    </row>
    <row r="100">
      <c r="A100" s="26" t="s">
        <v>261</v>
      </c>
      <c r="B100" s="124">
        <v>46140.0</v>
      </c>
      <c r="C100" s="26" t="s">
        <v>5592</v>
      </c>
      <c r="D100" s="125">
        <v>0.4166666666666667</v>
      </c>
      <c r="E100" s="125">
        <v>0.75</v>
      </c>
    </row>
    <row r="101">
      <c r="A101" s="26" t="s">
        <v>265</v>
      </c>
      <c r="B101" s="124">
        <v>46140.0</v>
      </c>
      <c r="C101" s="26" t="s">
        <v>5592</v>
      </c>
      <c r="D101" s="125">
        <v>0.3333333333333333</v>
      </c>
      <c r="E101" s="125">
        <v>0.6666666666666666</v>
      </c>
    </row>
    <row r="102">
      <c r="A102" s="26" t="s">
        <v>269</v>
      </c>
      <c r="B102" s="124">
        <v>46140.0</v>
      </c>
      <c r="C102" s="26" t="s">
        <v>5592</v>
      </c>
      <c r="D102" s="125">
        <v>0.3333333333333333</v>
      </c>
      <c r="E102" s="125">
        <v>0.6666666666666666</v>
      </c>
    </row>
    <row r="103">
      <c r="A103" s="26" t="s">
        <v>243</v>
      </c>
      <c r="B103" s="124">
        <v>46139.0</v>
      </c>
      <c r="C103" s="26" t="s">
        <v>5592</v>
      </c>
      <c r="D103" s="125">
        <v>0.3333333333333333</v>
      </c>
      <c r="E103" s="125">
        <v>0.6666666666666666</v>
      </c>
    </row>
    <row r="104">
      <c r="A104" s="26" t="s">
        <v>248</v>
      </c>
      <c r="B104" s="124">
        <v>46139.0</v>
      </c>
      <c r="C104" s="26" t="s">
        <v>5592</v>
      </c>
      <c r="D104" s="125">
        <v>0.3333333333333333</v>
      </c>
      <c r="E104" s="125">
        <v>0.6666666666666666</v>
      </c>
    </row>
    <row r="105">
      <c r="A105" s="26" t="s">
        <v>253</v>
      </c>
      <c r="B105" s="124">
        <v>46139.0</v>
      </c>
      <c r="C105" s="26" t="s">
        <v>5592</v>
      </c>
      <c r="D105" s="125">
        <v>0.4166666666666667</v>
      </c>
      <c r="E105" s="125">
        <v>0.75</v>
      </c>
    </row>
    <row r="106">
      <c r="A106" s="26" t="s">
        <v>258</v>
      </c>
      <c r="B106" s="124">
        <v>46139.0</v>
      </c>
      <c r="C106" s="26" t="s">
        <v>5592</v>
      </c>
      <c r="D106" s="125">
        <v>0.3333333333333333</v>
      </c>
      <c r="E106" s="125">
        <v>0.6666666666666666</v>
      </c>
    </row>
    <row r="107">
      <c r="A107" s="26" t="s">
        <v>261</v>
      </c>
      <c r="B107" s="124">
        <v>46139.0</v>
      </c>
      <c r="C107" s="26" t="s">
        <v>5592</v>
      </c>
      <c r="D107" s="125">
        <v>0.4166666666666667</v>
      </c>
      <c r="E107" s="125">
        <v>0.75</v>
      </c>
    </row>
    <row r="108">
      <c r="A108" s="26" t="s">
        <v>265</v>
      </c>
      <c r="B108" s="124">
        <v>46139.0</v>
      </c>
      <c r="C108" s="26" t="s">
        <v>5592</v>
      </c>
      <c r="D108" s="125">
        <v>0.3333333333333333</v>
      </c>
      <c r="E108" s="125">
        <v>0.6666666666666666</v>
      </c>
    </row>
    <row r="109">
      <c r="A109" s="26" t="s">
        <v>269</v>
      </c>
      <c r="B109" s="124">
        <v>46139.0</v>
      </c>
      <c r="C109" s="26" t="s">
        <v>5592</v>
      </c>
      <c r="D109" s="125">
        <v>0.3333333333333333</v>
      </c>
      <c r="E109" s="125">
        <v>0.6666666666666666</v>
      </c>
    </row>
    <row r="110">
      <c r="A110" s="26" t="s">
        <v>243</v>
      </c>
      <c r="B110" s="124">
        <v>46137.0</v>
      </c>
      <c r="C110" s="26" t="s">
        <v>5592</v>
      </c>
      <c r="D110" s="125">
        <v>0.3333333333333333</v>
      </c>
      <c r="E110" s="125">
        <v>0.6666666666666666</v>
      </c>
    </row>
    <row r="111">
      <c r="A111" s="26" t="s">
        <v>248</v>
      </c>
      <c r="B111" s="124">
        <v>46137.0</v>
      </c>
      <c r="C111" s="26" t="s">
        <v>5592</v>
      </c>
      <c r="D111" s="125">
        <v>0.3333333333333333</v>
      </c>
      <c r="E111" s="125">
        <v>0.6666666666666666</v>
      </c>
    </row>
    <row r="112">
      <c r="A112" s="26" t="s">
        <v>253</v>
      </c>
      <c r="B112" s="124">
        <v>46137.0</v>
      </c>
      <c r="C112" s="26" t="s">
        <v>5592</v>
      </c>
      <c r="D112" s="125">
        <v>0.4166666666666667</v>
      </c>
      <c r="E112" s="125">
        <v>0.75</v>
      </c>
    </row>
    <row r="113">
      <c r="A113" s="26" t="s">
        <v>258</v>
      </c>
      <c r="B113" s="124">
        <v>46137.0</v>
      </c>
      <c r="C113" s="26" t="s">
        <v>5592</v>
      </c>
      <c r="D113" s="125">
        <v>0.3333333333333333</v>
      </c>
      <c r="E113" s="125">
        <v>0.6666666666666666</v>
      </c>
    </row>
    <row r="114">
      <c r="A114" s="26" t="s">
        <v>261</v>
      </c>
      <c r="B114" s="124">
        <v>46137.0</v>
      </c>
      <c r="C114" s="26" t="s">
        <v>5592</v>
      </c>
      <c r="D114" s="125">
        <v>0.4166666666666667</v>
      </c>
      <c r="E114" s="125">
        <v>0.75</v>
      </c>
    </row>
    <row r="115">
      <c r="A115" s="26" t="s">
        <v>265</v>
      </c>
      <c r="B115" s="124">
        <v>46137.0</v>
      </c>
      <c r="C115" s="26" t="s">
        <v>5592</v>
      </c>
      <c r="D115" s="125">
        <v>0.3333333333333333</v>
      </c>
      <c r="E115" s="125">
        <v>0.6666666666666666</v>
      </c>
    </row>
    <row r="116">
      <c r="A116" s="26" t="s">
        <v>269</v>
      </c>
      <c r="B116" s="124">
        <v>46137.0</v>
      </c>
      <c r="C116" s="26" t="s">
        <v>5592</v>
      </c>
      <c r="D116" s="125">
        <v>0.3333333333333333</v>
      </c>
      <c r="E116" s="125">
        <v>0.6666666666666666</v>
      </c>
    </row>
    <row r="117">
      <c r="A117" s="26" t="s">
        <v>243</v>
      </c>
      <c r="B117" s="124">
        <v>46136.0</v>
      </c>
      <c r="C117" s="26" t="s">
        <v>5592</v>
      </c>
      <c r="D117" s="125">
        <v>0.3333333333333333</v>
      </c>
      <c r="E117" s="125">
        <v>0.6666666666666666</v>
      </c>
    </row>
    <row r="118">
      <c r="A118" s="26" t="s">
        <v>248</v>
      </c>
      <c r="B118" s="124">
        <v>46136.0</v>
      </c>
      <c r="C118" s="26" t="s">
        <v>5592</v>
      </c>
      <c r="D118" s="125">
        <v>0.3333333333333333</v>
      </c>
      <c r="E118" s="125">
        <v>0.6666666666666666</v>
      </c>
    </row>
    <row r="119">
      <c r="A119" s="26" t="s">
        <v>253</v>
      </c>
      <c r="B119" s="124">
        <v>46136.0</v>
      </c>
      <c r="C119" s="26" t="s">
        <v>5592</v>
      </c>
      <c r="D119" s="125">
        <v>0.4166666666666667</v>
      </c>
      <c r="E119" s="125">
        <v>0.75</v>
      </c>
    </row>
    <row r="120">
      <c r="A120" s="26" t="s">
        <v>258</v>
      </c>
      <c r="B120" s="124">
        <v>46136.0</v>
      </c>
      <c r="C120" s="26" t="s">
        <v>5592</v>
      </c>
      <c r="D120" s="125">
        <v>0.3333333333333333</v>
      </c>
      <c r="E120" s="125">
        <v>0.6666666666666666</v>
      </c>
    </row>
    <row r="121">
      <c r="A121" s="26" t="s">
        <v>261</v>
      </c>
      <c r="B121" s="124">
        <v>46136.0</v>
      </c>
      <c r="C121" s="26" t="s">
        <v>5592</v>
      </c>
      <c r="D121" s="125">
        <v>0.4166666666666667</v>
      </c>
      <c r="E121" s="125">
        <v>0.75</v>
      </c>
    </row>
    <row r="122">
      <c r="A122" s="26" t="s">
        <v>265</v>
      </c>
      <c r="B122" s="124">
        <v>46136.0</v>
      </c>
      <c r="C122" s="26" t="s">
        <v>5592</v>
      </c>
      <c r="D122" s="125">
        <v>0.3333333333333333</v>
      </c>
      <c r="E122" s="125">
        <v>0.6666666666666666</v>
      </c>
    </row>
    <row r="123">
      <c r="A123" s="26" t="s">
        <v>269</v>
      </c>
      <c r="B123" s="124">
        <v>46136.0</v>
      </c>
      <c r="C123" s="26" t="s">
        <v>5592</v>
      </c>
      <c r="D123" s="125">
        <v>0.3333333333333333</v>
      </c>
      <c r="E123" s="125">
        <v>0.6666666666666666</v>
      </c>
    </row>
    <row r="124">
      <c r="A124" s="26" t="s">
        <v>243</v>
      </c>
      <c r="B124" s="124">
        <v>46135.0</v>
      </c>
      <c r="C124" s="26" t="s">
        <v>5592</v>
      </c>
      <c r="D124" s="125">
        <v>0.3333333333333333</v>
      </c>
      <c r="E124" s="125">
        <v>0.6666666666666666</v>
      </c>
    </row>
    <row r="125">
      <c r="A125" s="26" t="s">
        <v>248</v>
      </c>
      <c r="B125" s="124">
        <v>46135.0</v>
      </c>
      <c r="C125" s="26" t="s">
        <v>5592</v>
      </c>
      <c r="D125" s="125">
        <v>0.3333333333333333</v>
      </c>
      <c r="E125" s="125">
        <v>0.6666666666666666</v>
      </c>
    </row>
    <row r="126">
      <c r="A126" s="26" t="s">
        <v>253</v>
      </c>
      <c r="B126" s="124">
        <v>46135.0</v>
      </c>
      <c r="C126" s="26" t="s">
        <v>5592</v>
      </c>
      <c r="D126" s="125">
        <v>0.4166666666666667</v>
      </c>
      <c r="E126" s="125">
        <v>0.75</v>
      </c>
    </row>
    <row r="127">
      <c r="A127" s="26" t="s">
        <v>258</v>
      </c>
      <c r="B127" s="124">
        <v>46135.0</v>
      </c>
      <c r="C127" s="26" t="s">
        <v>5592</v>
      </c>
      <c r="D127" s="125">
        <v>0.3333333333333333</v>
      </c>
      <c r="E127" s="125">
        <v>0.6666666666666666</v>
      </c>
    </row>
    <row r="128">
      <c r="A128" s="26" t="s">
        <v>261</v>
      </c>
      <c r="B128" s="124">
        <v>46135.0</v>
      </c>
      <c r="C128" s="26" t="s">
        <v>5592</v>
      </c>
      <c r="D128" s="125">
        <v>0.4166666666666667</v>
      </c>
      <c r="E128" s="125">
        <v>0.75</v>
      </c>
    </row>
    <row r="129">
      <c r="A129" s="26" t="s">
        <v>265</v>
      </c>
      <c r="B129" s="124">
        <v>46135.0</v>
      </c>
      <c r="C129" s="26" t="s">
        <v>5592</v>
      </c>
      <c r="D129" s="125">
        <v>0.3333333333333333</v>
      </c>
      <c r="E129" s="125">
        <v>0.6666666666666666</v>
      </c>
    </row>
    <row r="130">
      <c r="A130" s="26" t="s">
        <v>269</v>
      </c>
      <c r="B130" s="124">
        <v>46135.0</v>
      </c>
      <c r="C130" s="26" t="s">
        <v>5592</v>
      </c>
      <c r="D130" s="125">
        <v>0.3333333333333333</v>
      </c>
      <c r="E130" s="125">
        <v>0.6666666666666666</v>
      </c>
    </row>
    <row r="131">
      <c r="A131" s="26" t="s">
        <v>243</v>
      </c>
      <c r="B131" s="124">
        <v>46134.0</v>
      </c>
      <c r="C131" s="26" t="s">
        <v>5592</v>
      </c>
      <c r="D131" s="125">
        <v>0.3333333333333333</v>
      </c>
      <c r="E131" s="125">
        <v>0.6666666666666666</v>
      </c>
    </row>
    <row r="132">
      <c r="A132" s="26" t="s">
        <v>248</v>
      </c>
      <c r="B132" s="124">
        <v>46134.0</v>
      </c>
      <c r="C132" s="26" t="s">
        <v>5592</v>
      </c>
      <c r="D132" s="125">
        <v>0.3333333333333333</v>
      </c>
      <c r="E132" s="125">
        <v>0.6666666666666666</v>
      </c>
    </row>
    <row r="133">
      <c r="A133" s="26" t="s">
        <v>253</v>
      </c>
      <c r="B133" s="124">
        <v>46134.0</v>
      </c>
      <c r="C133" s="26" t="s">
        <v>5592</v>
      </c>
      <c r="D133" s="125">
        <v>0.4166666666666667</v>
      </c>
      <c r="E133" s="125">
        <v>0.75</v>
      </c>
    </row>
    <row r="134">
      <c r="A134" s="26" t="s">
        <v>258</v>
      </c>
      <c r="B134" s="124">
        <v>46134.0</v>
      </c>
      <c r="C134" s="26" t="s">
        <v>5592</v>
      </c>
      <c r="D134" s="125">
        <v>0.3333333333333333</v>
      </c>
      <c r="E134" s="125">
        <v>0.6666666666666666</v>
      </c>
    </row>
    <row r="135">
      <c r="A135" s="26" t="s">
        <v>261</v>
      </c>
      <c r="B135" s="124">
        <v>46134.0</v>
      </c>
      <c r="C135" s="26" t="s">
        <v>5592</v>
      </c>
      <c r="D135" s="125">
        <v>0.4166666666666667</v>
      </c>
      <c r="E135" s="125">
        <v>0.75</v>
      </c>
    </row>
    <row r="136">
      <c r="A136" s="26" t="s">
        <v>265</v>
      </c>
      <c r="B136" s="124">
        <v>46134.0</v>
      </c>
      <c r="C136" s="26" t="s">
        <v>5592</v>
      </c>
      <c r="D136" s="125">
        <v>0.3333333333333333</v>
      </c>
      <c r="E136" s="125">
        <v>0.6666666666666666</v>
      </c>
    </row>
    <row r="137">
      <c r="A137" s="26" t="s">
        <v>269</v>
      </c>
      <c r="B137" s="124">
        <v>46134.0</v>
      </c>
      <c r="C137" s="26" t="s">
        <v>5592</v>
      </c>
      <c r="D137" s="125">
        <v>0.3333333333333333</v>
      </c>
      <c r="E137" s="125">
        <v>0.6666666666666666</v>
      </c>
    </row>
    <row r="138">
      <c r="A138" s="26" t="s">
        <v>243</v>
      </c>
      <c r="B138" s="124">
        <v>46133.0</v>
      </c>
      <c r="C138" s="26" t="s">
        <v>5592</v>
      </c>
      <c r="D138" s="125">
        <v>0.3333333333333333</v>
      </c>
      <c r="E138" s="125">
        <v>0.6666666666666666</v>
      </c>
    </row>
    <row r="139">
      <c r="A139" s="26" t="s">
        <v>248</v>
      </c>
      <c r="B139" s="124">
        <v>46133.0</v>
      </c>
      <c r="C139" s="26" t="s">
        <v>5592</v>
      </c>
      <c r="D139" s="125">
        <v>0.3333333333333333</v>
      </c>
      <c r="E139" s="125">
        <v>0.6666666666666666</v>
      </c>
    </row>
    <row r="140">
      <c r="A140" s="26" t="s">
        <v>253</v>
      </c>
      <c r="B140" s="124">
        <v>46133.0</v>
      </c>
      <c r="C140" s="26" t="s">
        <v>5592</v>
      </c>
      <c r="D140" s="125">
        <v>0.4166666666666667</v>
      </c>
      <c r="E140" s="125">
        <v>0.75</v>
      </c>
    </row>
    <row r="141">
      <c r="A141" s="26" t="s">
        <v>258</v>
      </c>
      <c r="B141" s="124">
        <v>46133.0</v>
      </c>
      <c r="C141" s="26" t="s">
        <v>5592</v>
      </c>
      <c r="D141" s="125">
        <v>0.3333333333333333</v>
      </c>
      <c r="E141" s="125">
        <v>0.6666666666666666</v>
      </c>
    </row>
    <row r="142">
      <c r="A142" s="26" t="s">
        <v>261</v>
      </c>
      <c r="B142" s="124">
        <v>46133.0</v>
      </c>
      <c r="C142" s="26" t="s">
        <v>5592</v>
      </c>
      <c r="D142" s="125">
        <v>0.4166666666666667</v>
      </c>
      <c r="E142" s="125">
        <v>0.75</v>
      </c>
    </row>
    <row r="143">
      <c r="A143" s="26" t="s">
        <v>265</v>
      </c>
      <c r="B143" s="124">
        <v>46133.0</v>
      </c>
      <c r="C143" s="26" t="s">
        <v>5592</v>
      </c>
      <c r="D143" s="125">
        <v>0.3333333333333333</v>
      </c>
      <c r="E143" s="125">
        <v>0.6666666666666666</v>
      </c>
    </row>
    <row r="144">
      <c r="A144" s="26" t="s">
        <v>269</v>
      </c>
      <c r="B144" s="124">
        <v>46133.0</v>
      </c>
      <c r="C144" s="26" t="s">
        <v>5592</v>
      </c>
      <c r="D144" s="125">
        <v>0.3333333333333333</v>
      </c>
      <c r="E144" s="125">
        <v>0.6666666666666666</v>
      </c>
    </row>
    <row r="145">
      <c r="A145" s="26" t="s">
        <v>243</v>
      </c>
      <c r="B145" s="124">
        <v>46132.0</v>
      </c>
      <c r="C145" s="26" t="s">
        <v>5592</v>
      </c>
      <c r="D145" s="125">
        <v>0.3333333333333333</v>
      </c>
      <c r="E145" s="125">
        <v>0.6666666666666666</v>
      </c>
    </row>
    <row r="146">
      <c r="A146" s="26" t="s">
        <v>248</v>
      </c>
      <c r="B146" s="124">
        <v>46132.0</v>
      </c>
      <c r="C146" s="26" t="s">
        <v>5592</v>
      </c>
      <c r="D146" s="125">
        <v>0.3333333333333333</v>
      </c>
      <c r="E146" s="125">
        <v>0.6666666666666666</v>
      </c>
    </row>
    <row r="147">
      <c r="A147" s="26" t="s">
        <v>253</v>
      </c>
      <c r="B147" s="124">
        <v>46132.0</v>
      </c>
      <c r="C147" s="26" t="s">
        <v>5592</v>
      </c>
      <c r="D147" s="125">
        <v>0.4166666666666667</v>
      </c>
      <c r="E147" s="125">
        <v>0.75</v>
      </c>
    </row>
    <row r="148">
      <c r="A148" s="26" t="s">
        <v>258</v>
      </c>
      <c r="B148" s="124">
        <v>46132.0</v>
      </c>
      <c r="C148" s="26" t="s">
        <v>5592</v>
      </c>
      <c r="D148" s="125">
        <v>0.3333333333333333</v>
      </c>
      <c r="E148" s="125">
        <v>0.6666666666666666</v>
      </c>
    </row>
    <row r="149">
      <c r="A149" s="26" t="s">
        <v>261</v>
      </c>
      <c r="B149" s="124">
        <v>46132.0</v>
      </c>
      <c r="C149" s="26" t="s">
        <v>5592</v>
      </c>
      <c r="D149" s="125">
        <v>0.4166666666666667</v>
      </c>
      <c r="E149" s="125">
        <v>0.75</v>
      </c>
    </row>
    <row r="150">
      <c r="A150" s="26" t="s">
        <v>265</v>
      </c>
      <c r="B150" s="124">
        <v>46132.0</v>
      </c>
      <c r="C150" s="26" t="s">
        <v>5592</v>
      </c>
      <c r="D150" s="125">
        <v>0.3333333333333333</v>
      </c>
      <c r="E150" s="125">
        <v>0.6666666666666666</v>
      </c>
    </row>
    <row r="151">
      <c r="A151" s="26" t="s">
        <v>269</v>
      </c>
      <c r="B151" s="124">
        <v>46132.0</v>
      </c>
      <c r="C151" s="26" t="s">
        <v>5592</v>
      </c>
      <c r="D151" s="125">
        <v>0.3333333333333333</v>
      </c>
      <c r="E151" s="125">
        <v>0.6666666666666666</v>
      </c>
    </row>
    <row r="152">
      <c r="A152" s="26" t="s">
        <v>243</v>
      </c>
      <c r="B152" s="124">
        <v>46130.0</v>
      </c>
      <c r="C152" s="26" t="s">
        <v>5592</v>
      </c>
      <c r="D152" s="125">
        <v>0.3333333333333333</v>
      </c>
      <c r="E152" s="125">
        <v>0.6666666666666666</v>
      </c>
    </row>
    <row r="153">
      <c r="A153" s="26" t="s">
        <v>248</v>
      </c>
      <c r="B153" s="124">
        <v>46130.0</v>
      </c>
      <c r="C153" s="26" t="s">
        <v>5592</v>
      </c>
      <c r="D153" s="125">
        <v>0.3333333333333333</v>
      </c>
      <c r="E153" s="125">
        <v>0.6666666666666666</v>
      </c>
    </row>
    <row r="154">
      <c r="A154" s="26" t="s">
        <v>253</v>
      </c>
      <c r="B154" s="124">
        <v>46130.0</v>
      </c>
      <c r="C154" s="26" t="s">
        <v>5592</v>
      </c>
      <c r="D154" s="125">
        <v>0.4166666666666667</v>
      </c>
      <c r="E154" s="125">
        <v>0.75</v>
      </c>
    </row>
    <row r="155">
      <c r="A155" s="26" t="s">
        <v>258</v>
      </c>
      <c r="B155" s="124">
        <v>46130.0</v>
      </c>
      <c r="C155" s="26" t="s">
        <v>5592</v>
      </c>
      <c r="D155" s="125">
        <v>0.3333333333333333</v>
      </c>
      <c r="E155" s="125">
        <v>0.6666666666666666</v>
      </c>
    </row>
    <row r="156">
      <c r="A156" s="26" t="s">
        <v>261</v>
      </c>
      <c r="B156" s="124">
        <v>46130.0</v>
      </c>
      <c r="C156" s="26" t="s">
        <v>5592</v>
      </c>
      <c r="D156" s="125">
        <v>0.4166666666666667</v>
      </c>
      <c r="E156" s="125">
        <v>0.75</v>
      </c>
    </row>
    <row r="157">
      <c r="A157" s="26" t="s">
        <v>265</v>
      </c>
      <c r="B157" s="124">
        <v>46130.0</v>
      </c>
      <c r="C157" s="26" t="s">
        <v>5592</v>
      </c>
      <c r="D157" s="125">
        <v>0.3333333333333333</v>
      </c>
      <c r="E157" s="125">
        <v>0.6666666666666666</v>
      </c>
    </row>
    <row r="158">
      <c r="A158" s="26" t="s">
        <v>269</v>
      </c>
      <c r="B158" s="124">
        <v>46130.0</v>
      </c>
      <c r="C158" s="26" t="s">
        <v>5592</v>
      </c>
      <c r="D158" s="125">
        <v>0.3333333333333333</v>
      </c>
      <c r="E158" s="125">
        <v>0.6666666666666666</v>
      </c>
    </row>
    <row r="159">
      <c r="A159" s="26" t="s">
        <v>243</v>
      </c>
      <c r="B159" s="124">
        <v>46129.0</v>
      </c>
      <c r="C159" s="26" t="s">
        <v>5592</v>
      </c>
      <c r="D159" s="125">
        <v>0.3333333333333333</v>
      </c>
      <c r="E159" s="125">
        <v>0.6666666666666666</v>
      </c>
    </row>
    <row r="160">
      <c r="A160" s="26" t="s">
        <v>248</v>
      </c>
      <c r="B160" s="124">
        <v>46129.0</v>
      </c>
      <c r="C160" s="26" t="s">
        <v>5592</v>
      </c>
      <c r="D160" s="125">
        <v>0.3333333333333333</v>
      </c>
      <c r="E160" s="125">
        <v>0.6666666666666666</v>
      </c>
    </row>
    <row r="161">
      <c r="A161" s="26" t="s">
        <v>253</v>
      </c>
      <c r="B161" s="124">
        <v>46129.0</v>
      </c>
      <c r="C161" s="26" t="s">
        <v>5592</v>
      </c>
      <c r="D161" s="125">
        <v>0.4166666666666667</v>
      </c>
      <c r="E161" s="125">
        <v>0.75</v>
      </c>
    </row>
    <row r="162">
      <c r="A162" s="26" t="s">
        <v>258</v>
      </c>
      <c r="B162" s="124">
        <v>46129.0</v>
      </c>
      <c r="C162" s="26" t="s">
        <v>5592</v>
      </c>
      <c r="D162" s="125">
        <v>0.3333333333333333</v>
      </c>
      <c r="E162" s="125">
        <v>0.6666666666666666</v>
      </c>
    </row>
    <row r="163">
      <c r="A163" s="26" t="s">
        <v>261</v>
      </c>
      <c r="B163" s="124">
        <v>46129.0</v>
      </c>
      <c r="C163" s="26" t="s">
        <v>5592</v>
      </c>
      <c r="D163" s="125">
        <v>0.4166666666666667</v>
      </c>
      <c r="E163" s="125">
        <v>0.75</v>
      </c>
    </row>
    <row r="164">
      <c r="A164" s="26" t="s">
        <v>265</v>
      </c>
      <c r="B164" s="124">
        <v>46129.0</v>
      </c>
      <c r="C164" s="26" t="s">
        <v>5592</v>
      </c>
      <c r="D164" s="125">
        <v>0.3333333333333333</v>
      </c>
      <c r="E164" s="125">
        <v>0.6666666666666666</v>
      </c>
    </row>
    <row r="165">
      <c r="A165" s="26" t="s">
        <v>269</v>
      </c>
      <c r="B165" s="124">
        <v>46129.0</v>
      </c>
      <c r="C165" s="26" t="s">
        <v>5592</v>
      </c>
      <c r="D165" s="125">
        <v>0.3333333333333333</v>
      </c>
      <c r="E165" s="125">
        <v>0.6666666666666666</v>
      </c>
    </row>
    <row r="166">
      <c r="A166" s="26" t="s">
        <v>243</v>
      </c>
      <c r="B166" s="124">
        <v>46128.0</v>
      </c>
      <c r="C166" s="26" t="s">
        <v>5592</v>
      </c>
      <c r="D166" s="125">
        <v>0.3333333333333333</v>
      </c>
      <c r="E166" s="125">
        <v>0.6666666666666666</v>
      </c>
    </row>
    <row r="167">
      <c r="A167" s="26" t="s">
        <v>248</v>
      </c>
      <c r="B167" s="124">
        <v>46128.0</v>
      </c>
      <c r="C167" s="26" t="s">
        <v>5592</v>
      </c>
      <c r="D167" s="125">
        <v>0.3333333333333333</v>
      </c>
      <c r="E167" s="125">
        <v>0.6666666666666666</v>
      </c>
    </row>
    <row r="168">
      <c r="A168" s="26" t="s">
        <v>253</v>
      </c>
      <c r="B168" s="124">
        <v>46128.0</v>
      </c>
      <c r="C168" s="26" t="s">
        <v>5592</v>
      </c>
      <c r="D168" s="125">
        <v>0.4166666666666667</v>
      </c>
      <c r="E168" s="125">
        <v>0.75</v>
      </c>
    </row>
    <row r="169">
      <c r="A169" s="26" t="s">
        <v>258</v>
      </c>
      <c r="B169" s="124">
        <v>46128.0</v>
      </c>
      <c r="C169" s="26" t="s">
        <v>5592</v>
      </c>
      <c r="D169" s="125">
        <v>0.3333333333333333</v>
      </c>
      <c r="E169" s="125">
        <v>0.6666666666666666</v>
      </c>
    </row>
    <row r="170">
      <c r="A170" s="26" t="s">
        <v>261</v>
      </c>
      <c r="B170" s="124">
        <v>46128.0</v>
      </c>
      <c r="C170" s="26" t="s">
        <v>5592</v>
      </c>
      <c r="D170" s="125">
        <v>0.4166666666666667</v>
      </c>
      <c r="E170" s="125">
        <v>0.75</v>
      </c>
    </row>
    <row r="171">
      <c r="A171" s="26" t="s">
        <v>265</v>
      </c>
      <c r="B171" s="124">
        <v>46128.0</v>
      </c>
      <c r="C171" s="26" t="s">
        <v>5592</v>
      </c>
      <c r="D171" s="125">
        <v>0.3333333333333333</v>
      </c>
      <c r="E171" s="125">
        <v>0.6666666666666666</v>
      </c>
    </row>
    <row r="172">
      <c r="A172" s="26" t="s">
        <v>269</v>
      </c>
      <c r="B172" s="124">
        <v>46128.0</v>
      </c>
      <c r="C172" s="26" t="s">
        <v>5592</v>
      </c>
      <c r="D172" s="125">
        <v>0.3333333333333333</v>
      </c>
      <c r="E172" s="125">
        <v>0.6666666666666666</v>
      </c>
    </row>
    <row r="173">
      <c r="A173" s="26" t="s">
        <v>243</v>
      </c>
      <c r="B173" s="124">
        <v>46127.0</v>
      </c>
      <c r="C173" s="26" t="s">
        <v>5592</v>
      </c>
      <c r="D173" s="125">
        <v>0.3333333333333333</v>
      </c>
      <c r="E173" s="125">
        <v>0.6666666666666666</v>
      </c>
    </row>
    <row r="174">
      <c r="A174" s="26" t="s">
        <v>248</v>
      </c>
      <c r="B174" s="124">
        <v>46127.0</v>
      </c>
      <c r="C174" s="26" t="s">
        <v>5592</v>
      </c>
      <c r="D174" s="125">
        <v>0.3333333333333333</v>
      </c>
      <c r="E174" s="125">
        <v>0.6666666666666666</v>
      </c>
    </row>
    <row r="175">
      <c r="A175" s="26" t="s">
        <v>253</v>
      </c>
      <c r="B175" s="124">
        <v>46127.0</v>
      </c>
      <c r="C175" s="26" t="s">
        <v>5592</v>
      </c>
      <c r="D175" s="125">
        <v>0.4166666666666667</v>
      </c>
      <c r="E175" s="125">
        <v>0.75</v>
      </c>
    </row>
    <row r="176">
      <c r="A176" s="26" t="s">
        <v>258</v>
      </c>
      <c r="B176" s="124">
        <v>46127.0</v>
      </c>
      <c r="C176" s="26" t="s">
        <v>5592</v>
      </c>
      <c r="D176" s="125">
        <v>0.3333333333333333</v>
      </c>
      <c r="E176" s="125">
        <v>0.6666666666666666</v>
      </c>
    </row>
    <row r="177">
      <c r="A177" s="26" t="s">
        <v>261</v>
      </c>
      <c r="B177" s="124">
        <v>46127.0</v>
      </c>
      <c r="C177" s="26" t="s">
        <v>5592</v>
      </c>
      <c r="D177" s="125">
        <v>0.4166666666666667</v>
      </c>
      <c r="E177" s="125">
        <v>0.75</v>
      </c>
    </row>
    <row r="178">
      <c r="A178" s="26" t="s">
        <v>265</v>
      </c>
      <c r="B178" s="124">
        <v>46127.0</v>
      </c>
      <c r="C178" s="26" t="s">
        <v>5592</v>
      </c>
      <c r="D178" s="125">
        <v>0.3333333333333333</v>
      </c>
      <c r="E178" s="125">
        <v>0.6666666666666666</v>
      </c>
    </row>
    <row r="179">
      <c r="A179" s="26" t="s">
        <v>269</v>
      </c>
      <c r="B179" s="124">
        <v>46127.0</v>
      </c>
      <c r="C179" s="26" t="s">
        <v>5592</v>
      </c>
      <c r="D179" s="125">
        <v>0.3333333333333333</v>
      </c>
      <c r="E179" s="125">
        <v>0.6666666666666666</v>
      </c>
    </row>
    <row r="180">
      <c r="A180" s="26" t="s">
        <v>243</v>
      </c>
      <c r="B180" s="124">
        <v>46126.0</v>
      </c>
      <c r="C180" s="26" t="s">
        <v>5592</v>
      </c>
      <c r="D180" s="125">
        <v>0.3333333333333333</v>
      </c>
      <c r="E180" s="125">
        <v>0.6666666666666666</v>
      </c>
    </row>
    <row r="181">
      <c r="A181" s="26" t="s">
        <v>248</v>
      </c>
      <c r="B181" s="124">
        <v>46126.0</v>
      </c>
      <c r="C181" s="26" t="s">
        <v>5592</v>
      </c>
      <c r="D181" s="125">
        <v>0.3333333333333333</v>
      </c>
      <c r="E181" s="125">
        <v>0.6666666666666666</v>
      </c>
    </row>
    <row r="182">
      <c r="A182" s="26" t="s">
        <v>253</v>
      </c>
      <c r="B182" s="124">
        <v>46126.0</v>
      </c>
      <c r="C182" s="26" t="s">
        <v>5592</v>
      </c>
      <c r="D182" s="125">
        <v>0.4166666666666667</v>
      </c>
      <c r="E182" s="125">
        <v>0.75</v>
      </c>
    </row>
    <row r="183">
      <c r="A183" s="26" t="s">
        <v>258</v>
      </c>
      <c r="B183" s="124">
        <v>46126.0</v>
      </c>
      <c r="C183" s="26" t="s">
        <v>5592</v>
      </c>
      <c r="D183" s="125">
        <v>0.3333333333333333</v>
      </c>
      <c r="E183" s="125">
        <v>0.6666666666666666</v>
      </c>
    </row>
    <row r="184">
      <c r="A184" s="26" t="s">
        <v>261</v>
      </c>
      <c r="B184" s="124">
        <v>46126.0</v>
      </c>
      <c r="C184" s="26" t="s">
        <v>5592</v>
      </c>
      <c r="D184" s="125">
        <v>0.4166666666666667</v>
      </c>
      <c r="E184" s="125">
        <v>0.75</v>
      </c>
    </row>
    <row r="185">
      <c r="A185" s="26" t="s">
        <v>265</v>
      </c>
      <c r="B185" s="124">
        <v>46126.0</v>
      </c>
      <c r="C185" s="26" t="s">
        <v>5592</v>
      </c>
      <c r="D185" s="125">
        <v>0.3333333333333333</v>
      </c>
      <c r="E185" s="125">
        <v>0.6666666666666666</v>
      </c>
    </row>
    <row r="186">
      <c r="A186" s="26" t="s">
        <v>269</v>
      </c>
      <c r="B186" s="124">
        <v>46126.0</v>
      </c>
      <c r="C186" s="26" t="s">
        <v>5592</v>
      </c>
      <c r="D186" s="125">
        <v>0.3333333333333333</v>
      </c>
      <c r="E186" s="125">
        <v>0.6666666666666666</v>
      </c>
    </row>
    <row r="187">
      <c r="A187" s="26" t="s">
        <v>243</v>
      </c>
      <c r="B187" s="124">
        <v>46125.0</v>
      </c>
      <c r="C187" s="26" t="s">
        <v>5592</v>
      </c>
      <c r="D187" s="125">
        <v>0.3333333333333333</v>
      </c>
      <c r="E187" s="125">
        <v>0.6666666666666666</v>
      </c>
    </row>
    <row r="188">
      <c r="A188" s="26" t="s">
        <v>248</v>
      </c>
      <c r="B188" s="124">
        <v>46125.0</v>
      </c>
      <c r="C188" s="26" t="s">
        <v>5592</v>
      </c>
      <c r="D188" s="125">
        <v>0.3333333333333333</v>
      </c>
      <c r="E188" s="125">
        <v>0.6666666666666666</v>
      </c>
    </row>
    <row r="189">
      <c r="A189" s="26" t="s">
        <v>253</v>
      </c>
      <c r="B189" s="124">
        <v>46125.0</v>
      </c>
      <c r="C189" s="26" t="s">
        <v>5592</v>
      </c>
      <c r="D189" s="125">
        <v>0.4166666666666667</v>
      </c>
      <c r="E189" s="125">
        <v>0.75</v>
      </c>
    </row>
    <row r="190">
      <c r="A190" s="26" t="s">
        <v>258</v>
      </c>
      <c r="B190" s="124">
        <v>46125.0</v>
      </c>
      <c r="C190" s="26" t="s">
        <v>5592</v>
      </c>
      <c r="D190" s="125">
        <v>0.3333333333333333</v>
      </c>
      <c r="E190" s="125">
        <v>0.6666666666666666</v>
      </c>
    </row>
    <row r="191">
      <c r="A191" s="26" t="s">
        <v>261</v>
      </c>
      <c r="B191" s="124">
        <v>46125.0</v>
      </c>
      <c r="C191" s="26" t="s">
        <v>5592</v>
      </c>
      <c r="D191" s="125">
        <v>0.4166666666666667</v>
      </c>
      <c r="E191" s="125">
        <v>0.75</v>
      </c>
    </row>
    <row r="192">
      <c r="A192" s="26" t="s">
        <v>265</v>
      </c>
      <c r="B192" s="124">
        <v>46125.0</v>
      </c>
      <c r="C192" s="26" t="s">
        <v>5592</v>
      </c>
      <c r="D192" s="125">
        <v>0.3333333333333333</v>
      </c>
      <c r="E192" s="125">
        <v>0.6666666666666666</v>
      </c>
    </row>
    <row r="193">
      <c r="A193" s="26" t="s">
        <v>269</v>
      </c>
      <c r="B193" s="124">
        <v>46125.0</v>
      </c>
      <c r="C193" s="26" t="s">
        <v>5592</v>
      </c>
      <c r="D193" s="125">
        <v>0.3333333333333333</v>
      </c>
      <c r="E193" s="125">
        <v>0.6666666666666666</v>
      </c>
    </row>
    <row r="194">
      <c r="A194" s="26" t="s">
        <v>243</v>
      </c>
      <c r="B194" s="124">
        <v>46123.0</v>
      </c>
      <c r="C194" s="26" t="s">
        <v>5592</v>
      </c>
      <c r="D194" s="125">
        <v>0.3333333333333333</v>
      </c>
      <c r="E194" s="125">
        <v>0.6666666666666666</v>
      </c>
    </row>
    <row r="195">
      <c r="A195" s="26" t="s">
        <v>248</v>
      </c>
      <c r="B195" s="124">
        <v>46123.0</v>
      </c>
      <c r="C195" s="26" t="s">
        <v>5592</v>
      </c>
      <c r="D195" s="125">
        <v>0.3333333333333333</v>
      </c>
      <c r="E195" s="125">
        <v>0.6666666666666666</v>
      </c>
    </row>
    <row r="196">
      <c r="A196" s="26" t="s">
        <v>253</v>
      </c>
      <c r="B196" s="124">
        <v>46123.0</v>
      </c>
      <c r="C196" s="26" t="s">
        <v>5592</v>
      </c>
      <c r="D196" s="125">
        <v>0.4166666666666667</v>
      </c>
      <c r="E196" s="125">
        <v>0.75</v>
      </c>
    </row>
    <row r="197">
      <c r="A197" s="26" t="s">
        <v>258</v>
      </c>
      <c r="B197" s="124">
        <v>46123.0</v>
      </c>
      <c r="C197" s="26" t="s">
        <v>5592</v>
      </c>
      <c r="D197" s="125">
        <v>0.3333333333333333</v>
      </c>
      <c r="E197" s="125">
        <v>0.6666666666666666</v>
      </c>
    </row>
    <row r="198">
      <c r="A198" s="26" t="s">
        <v>261</v>
      </c>
      <c r="B198" s="124">
        <v>46123.0</v>
      </c>
      <c r="C198" s="26" t="s">
        <v>5592</v>
      </c>
      <c r="D198" s="125">
        <v>0.4166666666666667</v>
      </c>
      <c r="E198" s="125">
        <v>0.75</v>
      </c>
    </row>
    <row r="199">
      <c r="A199" s="26" t="s">
        <v>265</v>
      </c>
      <c r="B199" s="124">
        <v>46123.0</v>
      </c>
      <c r="C199" s="26" t="s">
        <v>5592</v>
      </c>
      <c r="D199" s="125">
        <v>0.3333333333333333</v>
      </c>
      <c r="E199" s="125">
        <v>0.6666666666666666</v>
      </c>
    </row>
    <row r="200">
      <c r="A200" s="26" t="s">
        <v>269</v>
      </c>
      <c r="B200" s="124">
        <v>46123.0</v>
      </c>
      <c r="C200" s="26" t="s">
        <v>5592</v>
      </c>
      <c r="D200" s="125">
        <v>0.3333333333333333</v>
      </c>
      <c r="E200" s="125">
        <v>0.6666666666666666</v>
      </c>
    </row>
    <row r="201">
      <c r="A201" s="26" t="s">
        <v>243</v>
      </c>
      <c r="B201" s="124">
        <v>46122.0</v>
      </c>
      <c r="C201" s="26" t="s">
        <v>5592</v>
      </c>
      <c r="D201" s="125">
        <v>0.3333333333333333</v>
      </c>
      <c r="E201" s="125">
        <v>0.6666666666666666</v>
      </c>
    </row>
    <row r="202">
      <c r="A202" s="26" t="s">
        <v>248</v>
      </c>
      <c r="B202" s="124">
        <v>46122.0</v>
      </c>
      <c r="C202" s="26" t="s">
        <v>5592</v>
      </c>
      <c r="D202" s="125">
        <v>0.3333333333333333</v>
      </c>
      <c r="E202" s="125">
        <v>0.6666666666666666</v>
      </c>
    </row>
    <row r="203">
      <c r="A203" s="26" t="s">
        <v>253</v>
      </c>
      <c r="B203" s="124">
        <v>46122.0</v>
      </c>
      <c r="C203" s="26" t="s">
        <v>5592</v>
      </c>
      <c r="D203" s="125">
        <v>0.4166666666666667</v>
      </c>
      <c r="E203" s="125">
        <v>0.75</v>
      </c>
    </row>
    <row r="204">
      <c r="A204" s="26" t="s">
        <v>258</v>
      </c>
      <c r="B204" s="124">
        <v>46122.0</v>
      </c>
      <c r="C204" s="26" t="s">
        <v>5592</v>
      </c>
      <c r="D204" s="125">
        <v>0.3333333333333333</v>
      </c>
      <c r="E204" s="125">
        <v>0.6666666666666666</v>
      </c>
    </row>
    <row r="205">
      <c r="A205" s="26" t="s">
        <v>261</v>
      </c>
      <c r="B205" s="124">
        <v>46122.0</v>
      </c>
      <c r="C205" s="26" t="s">
        <v>5592</v>
      </c>
      <c r="D205" s="125">
        <v>0.4166666666666667</v>
      </c>
      <c r="E205" s="125">
        <v>0.75</v>
      </c>
    </row>
    <row r="206">
      <c r="A206" s="26" t="s">
        <v>265</v>
      </c>
      <c r="B206" s="124">
        <v>46122.0</v>
      </c>
      <c r="C206" s="26" t="s">
        <v>5592</v>
      </c>
      <c r="D206" s="125">
        <v>0.3333333333333333</v>
      </c>
      <c r="E206" s="125">
        <v>0.6666666666666666</v>
      </c>
    </row>
    <row r="207">
      <c r="A207" s="26" t="s">
        <v>269</v>
      </c>
      <c r="B207" s="124">
        <v>46122.0</v>
      </c>
      <c r="C207" s="26" t="s">
        <v>5592</v>
      </c>
      <c r="D207" s="125">
        <v>0.3333333333333333</v>
      </c>
      <c r="E207" s="125">
        <v>0.6666666666666666</v>
      </c>
    </row>
    <row r="208">
      <c r="A208" s="26" t="s">
        <v>243</v>
      </c>
      <c r="B208" s="124">
        <v>46121.0</v>
      </c>
      <c r="C208" s="26" t="s">
        <v>5592</v>
      </c>
      <c r="D208" s="125">
        <v>0.3333333333333333</v>
      </c>
      <c r="E208" s="125">
        <v>0.6666666666666666</v>
      </c>
    </row>
    <row r="209">
      <c r="A209" s="26" t="s">
        <v>248</v>
      </c>
      <c r="B209" s="124">
        <v>46121.0</v>
      </c>
      <c r="C209" s="26" t="s">
        <v>5592</v>
      </c>
      <c r="D209" s="125">
        <v>0.3333333333333333</v>
      </c>
      <c r="E209" s="125">
        <v>0.6666666666666666</v>
      </c>
    </row>
    <row r="210">
      <c r="A210" s="26" t="s">
        <v>253</v>
      </c>
      <c r="B210" s="124">
        <v>46121.0</v>
      </c>
      <c r="C210" s="26" t="s">
        <v>5592</v>
      </c>
      <c r="D210" s="125">
        <v>0.4166666666666667</v>
      </c>
      <c r="E210" s="125">
        <v>0.75</v>
      </c>
    </row>
    <row r="211">
      <c r="A211" s="26" t="s">
        <v>258</v>
      </c>
      <c r="B211" s="124">
        <v>46121.0</v>
      </c>
      <c r="C211" s="26" t="s">
        <v>5592</v>
      </c>
      <c r="D211" s="125">
        <v>0.3333333333333333</v>
      </c>
      <c r="E211" s="125">
        <v>0.6666666666666666</v>
      </c>
    </row>
    <row r="212">
      <c r="A212" s="26" t="s">
        <v>261</v>
      </c>
      <c r="B212" s="124">
        <v>46121.0</v>
      </c>
      <c r="C212" s="26" t="s">
        <v>5592</v>
      </c>
      <c r="D212" s="125">
        <v>0.4166666666666667</v>
      </c>
      <c r="E212" s="125">
        <v>0.75</v>
      </c>
    </row>
    <row r="213">
      <c r="A213" s="26" t="s">
        <v>265</v>
      </c>
      <c r="B213" s="124">
        <v>46121.0</v>
      </c>
      <c r="C213" s="26" t="s">
        <v>5592</v>
      </c>
      <c r="D213" s="125">
        <v>0.3333333333333333</v>
      </c>
      <c r="E213" s="125">
        <v>0.6666666666666666</v>
      </c>
    </row>
    <row r="214">
      <c r="A214" s="26" t="s">
        <v>269</v>
      </c>
      <c r="B214" s="124">
        <v>46121.0</v>
      </c>
      <c r="C214" s="26" t="s">
        <v>5592</v>
      </c>
      <c r="D214" s="125">
        <v>0.3333333333333333</v>
      </c>
      <c r="E214" s="125">
        <v>0.6666666666666666</v>
      </c>
    </row>
    <row r="215">
      <c r="A215" s="26" t="s">
        <v>243</v>
      </c>
      <c r="B215" s="124">
        <v>46120.0</v>
      </c>
      <c r="C215" s="26" t="s">
        <v>5592</v>
      </c>
      <c r="D215" s="125">
        <v>0.3333333333333333</v>
      </c>
      <c r="E215" s="125">
        <v>0.6666666666666666</v>
      </c>
    </row>
    <row r="216">
      <c r="A216" s="26" t="s">
        <v>248</v>
      </c>
      <c r="B216" s="124">
        <v>46120.0</v>
      </c>
      <c r="C216" s="26" t="s">
        <v>5592</v>
      </c>
      <c r="D216" s="125">
        <v>0.3333333333333333</v>
      </c>
      <c r="E216" s="125">
        <v>0.6666666666666666</v>
      </c>
    </row>
    <row r="217">
      <c r="A217" s="26" t="s">
        <v>253</v>
      </c>
      <c r="B217" s="124">
        <v>46120.0</v>
      </c>
      <c r="C217" s="26" t="s">
        <v>5592</v>
      </c>
      <c r="D217" s="125">
        <v>0.4166666666666667</v>
      </c>
      <c r="E217" s="125">
        <v>0.75</v>
      </c>
    </row>
    <row r="218">
      <c r="A218" s="26" t="s">
        <v>258</v>
      </c>
      <c r="B218" s="124">
        <v>46120.0</v>
      </c>
      <c r="C218" s="26" t="s">
        <v>5592</v>
      </c>
      <c r="D218" s="125">
        <v>0.3333333333333333</v>
      </c>
      <c r="E218" s="125">
        <v>0.6666666666666666</v>
      </c>
    </row>
    <row r="219">
      <c r="A219" s="26" t="s">
        <v>261</v>
      </c>
      <c r="B219" s="124">
        <v>46120.0</v>
      </c>
      <c r="C219" s="26" t="s">
        <v>5592</v>
      </c>
      <c r="D219" s="125">
        <v>0.4166666666666667</v>
      </c>
      <c r="E219" s="125">
        <v>0.75</v>
      </c>
    </row>
    <row r="220">
      <c r="A220" s="26" t="s">
        <v>265</v>
      </c>
      <c r="B220" s="124">
        <v>46120.0</v>
      </c>
      <c r="C220" s="26" t="s">
        <v>5592</v>
      </c>
      <c r="D220" s="125">
        <v>0.3333333333333333</v>
      </c>
      <c r="E220" s="125">
        <v>0.6666666666666666</v>
      </c>
    </row>
    <row r="221">
      <c r="A221" s="26" t="s">
        <v>269</v>
      </c>
      <c r="B221" s="124">
        <v>46120.0</v>
      </c>
      <c r="C221" s="26" t="s">
        <v>5592</v>
      </c>
      <c r="D221" s="125">
        <v>0.3333333333333333</v>
      </c>
      <c r="E221" s="125">
        <v>0.6666666666666666</v>
      </c>
    </row>
    <row r="222">
      <c r="A222" s="26" t="s">
        <v>243</v>
      </c>
      <c r="B222" s="124">
        <v>46119.0</v>
      </c>
      <c r="C222" s="26" t="s">
        <v>5592</v>
      </c>
      <c r="D222" s="125">
        <v>0.3333333333333333</v>
      </c>
      <c r="E222" s="125">
        <v>0.6666666666666666</v>
      </c>
    </row>
    <row r="223">
      <c r="A223" s="26" t="s">
        <v>248</v>
      </c>
      <c r="B223" s="124">
        <v>46119.0</v>
      </c>
      <c r="C223" s="26" t="s">
        <v>5592</v>
      </c>
      <c r="D223" s="125">
        <v>0.3333333333333333</v>
      </c>
      <c r="E223" s="125">
        <v>0.6666666666666666</v>
      </c>
    </row>
    <row r="224">
      <c r="A224" s="26" t="s">
        <v>253</v>
      </c>
      <c r="B224" s="124">
        <v>46119.0</v>
      </c>
      <c r="C224" s="26" t="s">
        <v>5592</v>
      </c>
      <c r="D224" s="125">
        <v>0.4166666666666667</v>
      </c>
      <c r="E224" s="125">
        <v>0.75</v>
      </c>
    </row>
    <row r="225">
      <c r="A225" s="26" t="s">
        <v>258</v>
      </c>
      <c r="B225" s="124">
        <v>46119.0</v>
      </c>
      <c r="C225" s="26" t="s">
        <v>5592</v>
      </c>
      <c r="D225" s="125">
        <v>0.3333333333333333</v>
      </c>
      <c r="E225" s="125">
        <v>0.6666666666666666</v>
      </c>
    </row>
    <row r="226">
      <c r="A226" s="26" t="s">
        <v>261</v>
      </c>
      <c r="B226" s="124">
        <v>46119.0</v>
      </c>
      <c r="C226" s="26" t="s">
        <v>5592</v>
      </c>
      <c r="D226" s="125">
        <v>0.4166666666666667</v>
      </c>
      <c r="E226" s="125">
        <v>0.75</v>
      </c>
    </row>
    <row r="227">
      <c r="A227" s="26" t="s">
        <v>265</v>
      </c>
      <c r="B227" s="124">
        <v>46119.0</v>
      </c>
      <c r="C227" s="26" t="s">
        <v>5592</v>
      </c>
      <c r="D227" s="125">
        <v>0.3333333333333333</v>
      </c>
      <c r="E227" s="125">
        <v>0.6666666666666666</v>
      </c>
    </row>
    <row r="228">
      <c r="A228" s="26" t="s">
        <v>269</v>
      </c>
      <c r="B228" s="124">
        <v>46119.0</v>
      </c>
      <c r="C228" s="26" t="s">
        <v>5592</v>
      </c>
      <c r="D228" s="125">
        <v>0.3333333333333333</v>
      </c>
      <c r="E228" s="125">
        <v>0.6666666666666666</v>
      </c>
    </row>
    <row r="229">
      <c r="A229" s="26" t="s">
        <v>243</v>
      </c>
      <c r="B229" s="124">
        <v>46118.0</v>
      </c>
      <c r="C229" s="26" t="s">
        <v>5592</v>
      </c>
      <c r="D229" s="125">
        <v>0.3333333333333333</v>
      </c>
      <c r="E229" s="125">
        <v>0.6666666666666666</v>
      </c>
    </row>
    <row r="230">
      <c r="A230" s="26" t="s">
        <v>248</v>
      </c>
      <c r="B230" s="124">
        <v>46118.0</v>
      </c>
      <c r="C230" s="26" t="s">
        <v>5592</v>
      </c>
      <c r="D230" s="125">
        <v>0.3333333333333333</v>
      </c>
      <c r="E230" s="125">
        <v>0.6666666666666666</v>
      </c>
    </row>
    <row r="231">
      <c r="A231" s="26" t="s">
        <v>253</v>
      </c>
      <c r="B231" s="124">
        <v>46118.0</v>
      </c>
      <c r="C231" s="26" t="s">
        <v>5592</v>
      </c>
      <c r="D231" s="125">
        <v>0.4166666666666667</v>
      </c>
      <c r="E231" s="125">
        <v>0.75</v>
      </c>
    </row>
    <row r="232">
      <c r="A232" s="26" t="s">
        <v>258</v>
      </c>
      <c r="B232" s="124">
        <v>46118.0</v>
      </c>
      <c r="C232" s="26" t="s">
        <v>5592</v>
      </c>
      <c r="D232" s="125">
        <v>0.3333333333333333</v>
      </c>
      <c r="E232" s="125">
        <v>0.6666666666666666</v>
      </c>
    </row>
    <row r="233">
      <c r="A233" s="26" t="s">
        <v>261</v>
      </c>
      <c r="B233" s="124">
        <v>46118.0</v>
      </c>
      <c r="C233" s="26" t="s">
        <v>5592</v>
      </c>
      <c r="D233" s="125">
        <v>0.4166666666666667</v>
      </c>
      <c r="E233" s="125">
        <v>0.75</v>
      </c>
    </row>
    <row r="234">
      <c r="A234" s="26" t="s">
        <v>265</v>
      </c>
      <c r="B234" s="124">
        <v>46118.0</v>
      </c>
      <c r="C234" s="26" t="s">
        <v>5592</v>
      </c>
      <c r="D234" s="125">
        <v>0.3333333333333333</v>
      </c>
      <c r="E234" s="125">
        <v>0.6666666666666666</v>
      </c>
    </row>
    <row r="235">
      <c r="A235" s="26" t="s">
        <v>269</v>
      </c>
      <c r="B235" s="124">
        <v>46118.0</v>
      </c>
      <c r="C235" s="26" t="s">
        <v>5592</v>
      </c>
      <c r="D235" s="125">
        <v>0.3333333333333333</v>
      </c>
      <c r="E235" s="125">
        <v>0.6666666666666666</v>
      </c>
    </row>
    <row r="236">
      <c r="A236" s="26" t="s">
        <v>243</v>
      </c>
      <c r="B236" s="124">
        <v>46116.0</v>
      </c>
      <c r="C236" s="26" t="s">
        <v>5592</v>
      </c>
      <c r="D236" s="125">
        <v>0.3333333333333333</v>
      </c>
      <c r="E236" s="125">
        <v>0.6666666666666666</v>
      </c>
    </row>
    <row r="237">
      <c r="A237" s="26" t="s">
        <v>248</v>
      </c>
      <c r="B237" s="124">
        <v>46116.0</v>
      </c>
      <c r="C237" s="26" t="s">
        <v>5592</v>
      </c>
      <c r="D237" s="125">
        <v>0.3333333333333333</v>
      </c>
      <c r="E237" s="125">
        <v>0.6666666666666666</v>
      </c>
    </row>
    <row r="238">
      <c r="A238" s="26" t="s">
        <v>253</v>
      </c>
      <c r="B238" s="124">
        <v>46116.0</v>
      </c>
      <c r="C238" s="26" t="s">
        <v>5592</v>
      </c>
      <c r="D238" s="125">
        <v>0.4166666666666667</v>
      </c>
      <c r="E238" s="125">
        <v>0.75</v>
      </c>
    </row>
    <row r="239">
      <c r="A239" s="26" t="s">
        <v>258</v>
      </c>
      <c r="B239" s="124">
        <v>46116.0</v>
      </c>
      <c r="C239" s="26" t="s">
        <v>5592</v>
      </c>
      <c r="D239" s="125">
        <v>0.3333333333333333</v>
      </c>
      <c r="E239" s="125">
        <v>0.6666666666666666</v>
      </c>
    </row>
    <row r="240">
      <c r="A240" s="26" t="s">
        <v>261</v>
      </c>
      <c r="B240" s="124">
        <v>46116.0</v>
      </c>
      <c r="C240" s="26" t="s">
        <v>5592</v>
      </c>
      <c r="D240" s="125">
        <v>0.4166666666666667</v>
      </c>
      <c r="E240" s="125">
        <v>0.75</v>
      </c>
    </row>
    <row r="241">
      <c r="A241" s="26" t="s">
        <v>265</v>
      </c>
      <c r="B241" s="124">
        <v>46116.0</v>
      </c>
      <c r="C241" s="26" t="s">
        <v>5592</v>
      </c>
      <c r="D241" s="125">
        <v>0.3333333333333333</v>
      </c>
      <c r="E241" s="125">
        <v>0.6666666666666666</v>
      </c>
    </row>
    <row r="242">
      <c r="A242" s="26" t="s">
        <v>269</v>
      </c>
      <c r="B242" s="124">
        <v>46116.0</v>
      </c>
      <c r="C242" s="26" t="s">
        <v>5592</v>
      </c>
      <c r="D242" s="125">
        <v>0.3333333333333333</v>
      </c>
      <c r="E242" s="125">
        <v>0.6666666666666666</v>
      </c>
    </row>
    <row r="243">
      <c r="A243" s="26" t="s">
        <v>243</v>
      </c>
      <c r="B243" s="124">
        <v>46115.0</v>
      </c>
      <c r="C243" s="26" t="s">
        <v>5592</v>
      </c>
      <c r="D243" s="125">
        <v>0.3333333333333333</v>
      </c>
      <c r="E243" s="125">
        <v>0.6666666666666666</v>
      </c>
    </row>
    <row r="244">
      <c r="A244" s="26" t="s">
        <v>248</v>
      </c>
      <c r="B244" s="124">
        <v>46115.0</v>
      </c>
      <c r="C244" s="26" t="s">
        <v>5592</v>
      </c>
      <c r="D244" s="125">
        <v>0.3333333333333333</v>
      </c>
      <c r="E244" s="125">
        <v>0.6666666666666666</v>
      </c>
    </row>
    <row r="245">
      <c r="A245" s="26" t="s">
        <v>253</v>
      </c>
      <c r="B245" s="124">
        <v>46115.0</v>
      </c>
      <c r="C245" s="26" t="s">
        <v>5592</v>
      </c>
      <c r="D245" s="125">
        <v>0.4166666666666667</v>
      </c>
      <c r="E245" s="125">
        <v>0.75</v>
      </c>
    </row>
    <row r="246">
      <c r="A246" s="26" t="s">
        <v>258</v>
      </c>
      <c r="B246" s="124">
        <v>46115.0</v>
      </c>
      <c r="C246" s="26" t="s">
        <v>5592</v>
      </c>
      <c r="D246" s="125">
        <v>0.3333333333333333</v>
      </c>
      <c r="E246" s="125">
        <v>0.6666666666666666</v>
      </c>
    </row>
    <row r="247">
      <c r="A247" s="26" t="s">
        <v>261</v>
      </c>
      <c r="B247" s="124">
        <v>46115.0</v>
      </c>
      <c r="C247" s="26" t="s">
        <v>5592</v>
      </c>
      <c r="D247" s="125">
        <v>0.4166666666666667</v>
      </c>
      <c r="E247" s="125">
        <v>0.75</v>
      </c>
    </row>
    <row r="248">
      <c r="A248" s="26" t="s">
        <v>265</v>
      </c>
      <c r="B248" s="124">
        <v>46115.0</v>
      </c>
      <c r="C248" s="26" t="s">
        <v>5592</v>
      </c>
      <c r="D248" s="125">
        <v>0.3333333333333333</v>
      </c>
      <c r="E248" s="125">
        <v>0.6666666666666666</v>
      </c>
    </row>
    <row r="249">
      <c r="A249" s="26" t="s">
        <v>269</v>
      </c>
      <c r="B249" s="124">
        <v>46115.0</v>
      </c>
      <c r="C249" s="26" t="s">
        <v>5592</v>
      </c>
      <c r="D249" s="125">
        <v>0.3333333333333333</v>
      </c>
      <c r="E249" s="125">
        <v>0.6666666666666666</v>
      </c>
    </row>
    <row r="250">
      <c r="A250" s="26" t="s">
        <v>243</v>
      </c>
      <c r="B250" s="124">
        <v>46114.0</v>
      </c>
      <c r="C250" s="26" t="s">
        <v>5592</v>
      </c>
      <c r="D250" s="125">
        <v>0.3333333333333333</v>
      </c>
      <c r="E250" s="125">
        <v>0.6666666666666666</v>
      </c>
    </row>
    <row r="251">
      <c r="A251" s="26" t="s">
        <v>248</v>
      </c>
      <c r="B251" s="124">
        <v>46114.0</v>
      </c>
      <c r="C251" s="26" t="s">
        <v>5592</v>
      </c>
      <c r="D251" s="125">
        <v>0.3333333333333333</v>
      </c>
      <c r="E251" s="125">
        <v>0.6666666666666666</v>
      </c>
    </row>
    <row r="252">
      <c r="A252" s="26" t="s">
        <v>253</v>
      </c>
      <c r="B252" s="124">
        <v>46114.0</v>
      </c>
      <c r="C252" s="26" t="s">
        <v>5592</v>
      </c>
      <c r="D252" s="125">
        <v>0.4166666666666667</v>
      </c>
      <c r="E252" s="125">
        <v>0.75</v>
      </c>
    </row>
    <row r="253">
      <c r="A253" s="26" t="s">
        <v>258</v>
      </c>
      <c r="B253" s="124">
        <v>46114.0</v>
      </c>
      <c r="C253" s="26" t="s">
        <v>5592</v>
      </c>
      <c r="D253" s="125">
        <v>0.3333333333333333</v>
      </c>
      <c r="E253" s="125">
        <v>0.6666666666666666</v>
      </c>
    </row>
    <row r="254">
      <c r="A254" s="26" t="s">
        <v>261</v>
      </c>
      <c r="B254" s="124">
        <v>46114.0</v>
      </c>
      <c r="C254" s="26" t="s">
        <v>5592</v>
      </c>
      <c r="D254" s="125">
        <v>0.4166666666666667</v>
      </c>
      <c r="E254" s="125">
        <v>0.75</v>
      </c>
    </row>
    <row r="255">
      <c r="A255" s="26" t="s">
        <v>265</v>
      </c>
      <c r="B255" s="124">
        <v>46114.0</v>
      </c>
      <c r="C255" s="26" t="s">
        <v>5592</v>
      </c>
      <c r="D255" s="125">
        <v>0.3333333333333333</v>
      </c>
      <c r="E255" s="125">
        <v>0.6666666666666666</v>
      </c>
    </row>
    <row r="256">
      <c r="A256" s="26" t="s">
        <v>269</v>
      </c>
      <c r="B256" s="124">
        <v>46114.0</v>
      </c>
      <c r="C256" s="26" t="s">
        <v>5592</v>
      </c>
      <c r="D256" s="125">
        <v>0.3333333333333333</v>
      </c>
      <c r="E256" s="125">
        <v>0.6666666666666666</v>
      </c>
    </row>
    <row r="257">
      <c r="A257" s="26" t="s">
        <v>243</v>
      </c>
      <c r="B257" s="124">
        <v>46113.0</v>
      </c>
      <c r="C257" s="26" t="s">
        <v>5592</v>
      </c>
      <c r="D257" s="125">
        <v>0.3333333333333333</v>
      </c>
      <c r="E257" s="125">
        <v>0.6666666666666666</v>
      </c>
    </row>
    <row r="258">
      <c r="A258" s="26" t="s">
        <v>248</v>
      </c>
      <c r="B258" s="124">
        <v>46113.0</v>
      </c>
      <c r="C258" s="26" t="s">
        <v>5592</v>
      </c>
      <c r="D258" s="125">
        <v>0.3333333333333333</v>
      </c>
      <c r="E258" s="125">
        <v>0.6666666666666666</v>
      </c>
    </row>
    <row r="259">
      <c r="A259" s="26" t="s">
        <v>253</v>
      </c>
      <c r="B259" s="124">
        <v>46113.0</v>
      </c>
      <c r="C259" s="26" t="s">
        <v>5592</v>
      </c>
      <c r="D259" s="125">
        <v>0.4166666666666667</v>
      </c>
      <c r="E259" s="125">
        <v>0.75</v>
      </c>
    </row>
    <row r="260">
      <c r="A260" s="26" t="s">
        <v>258</v>
      </c>
      <c r="B260" s="124">
        <v>46113.0</v>
      </c>
      <c r="C260" s="26" t="s">
        <v>5592</v>
      </c>
      <c r="D260" s="125">
        <v>0.3333333333333333</v>
      </c>
      <c r="E260" s="125">
        <v>0.6666666666666666</v>
      </c>
    </row>
    <row r="261">
      <c r="A261" s="26" t="s">
        <v>261</v>
      </c>
      <c r="B261" s="124">
        <v>46113.0</v>
      </c>
      <c r="C261" s="26" t="s">
        <v>5592</v>
      </c>
      <c r="D261" s="125">
        <v>0.4166666666666667</v>
      </c>
      <c r="E261" s="125">
        <v>0.75</v>
      </c>
    </row>
    <row r="262">
      <c r="A262" s="26" t="s">
        <v>265</v>
      </c>
      <c r="B262" s="124">
        <v>46113.0</v>
      </c>
      <c r="C262" s="26" t="s">
        <v>5592</v>
      </c>
      <c r="D262" s="125">
        <v>0.3333333333333333</v>
      </c>
      <c r="E262" s="125">
        <v>0.6666666666666666</v>
      </c>
    </row>
    <row r="263">
      <c r="A263" s="26" t="s">
        <v>269</v>
      </c>
      <c r="B263" s="124">
        <v>46113.0</v>
      </c>
      <c r="C263" s="26" t="s">
        <v>5592</v>
      </c>
      <c r="D263" s="125">
        <v>0.3333333333333333</v>
      </c>
      <c r="E263" s="125">
        <v>0.6666666666666666</v>
      </c>
    </row>
    <row r="264">
      <c r="A264" s="26" t="s">
        <v>243</v>
      </c>
      <c r="B264" s="124">
        <v>46112.0</v>
      </c>
      <c r="C264" s="26" t="s">
        <v>5592</v>
      </c>
      <c r="D264" s="125">
        <v>0.3333333333333333</v>
      </c>
      <c r="E264" s="125">
        <v>0.6666666666666666</v>
      </c>
    </row>
    <row r="265">
      <c r="A265" s="26" t="s">
        <v>248</v>
      </c>
      <c r="B265" s="124">
        <v>46112.0</v>
      </c>
      <c r="C265" s="26" t="s">
        <v>5592</v>
      </c>
      <c r="D265" s="125">
        <v>0.3333333333333333</v>
      </c>
      <c r="E265" s="125">
        <v>0.6666666666666666</v>
      </c>
    </row>
    <row r="266">
      <c r="A266" s="26" t="s">
        <v>253</v>
      </c>
      <c r="B266" s="124">
        <v>46112.0</v>
      </c>
      <c r="C266" s="26" t="s">
        <v>5592</v>
      </c>
      <c r="D266" s="125">
        <v>0.4166666666666667</v>
      </c>
      <c r="E266" s="125">
        <v>0.75</v>
      </c>
    </row>
    <row r="267">
      <c r="A267" s="26" t="s">
        <v>258</v>
      </c>
      <c r="B267" s="124">
        <v>46112.0</v>
      </c>
      <c r="C267" s="26" t="s">
        <v>5592</v>
      </c>
      <c r="D267" s="125">
        <v>0.3333333333333333</v>
      </c>
      <c r="E267" s="125">
        <v>0.6666666666666666</v>
      </c>
    </row>
    <row r="268">
      <c r="A268" s="26" t="s">
        <v>261</v>
      </c>
      <c r="B268" s="124">
        <v>46112.0</v>
      </c>
      <c r="C268" s="26" t="s">
        <v>5592</v>
      </c>
      <c r="D268" s="125">
        <v>0.4166666666666667</v>
      </c>
      <c r="E268" s="125">
        <v>0.75</v>
      </c>
    </row>
    <row r="269">
      <c r="A269" s="26" t="s">
        <v>265</v>
      </c>
      <c r="B269" s="124">
        <v>46112.0</v>
      </c>
      <c r="C269" s="26" t="s">
        <v>5592</v>
      </c>
      <c r="D269" s="125">
        <v>0.3333333333333333</v>
      </c>
      <c r="E269" s="125">
        <v>0.6666666666666666</v>
      </c>
    </row>
    <row r="270">
      <c r="A270" s="26" t="s">
        <v>269</v>
      </c>
      <c r="B270" s="124">
        <v>46112.0</v>
      </c>
      <c r="C270" s="26" t="s">
        <v>5592</v>
      </c>
      <c r="D270" s="125">
        <v>0.3333333333333333</v>
      </c>
      <c r="E270" s="125">
        <v>0.6666666666666666</v>
      </c>
    </row>
    <row r="271">
      <c r="A271" s="26" t="s">
        <v>276</v>
      </c>
      <c r="B271" s="124">
        <v>46112.0</v>
      </c>
      <c r="C271" s="26" t="s">
        <v>5592</v>
      </c>
      <c r="D271" s="125">
        <v>0.3333333333333333</v>
      </c>
      <c r="E271" s="125">
        <v>0.6666666666666666</v>
      </c>
    </row>
    <row r="272">
      <c r="A272" s="26" t="s">
        <v>280</v>
      </c>
      <c r="B272" s="124">
        <v>46112.0</v>
      </c>
      <c r="C272" s="26" t="s">
        <v>5592</v>
      </c>
      <c r="D272" s="125">
        <v>0.3333333333333333</v>
      </c>
      <c r="E272" s="125">
        <v>0.6666666666666666</v>
      </c>
    </row>
    <row r="273">
      <c r="A273" s="26" t="s">
        <v>243</v>
      </c>
      <c r="B273" s="124">
        <v>46111.0</v>
      </c>
      <c r="C273" s="26" t="s">
        <v>5592</v>
      </c>
      <c r="D273" s="125">
        <v>0.3333333333333333</v>
      </c>
      <c r="E273" s="125">
        <v>0.6666666666666666</v>
      </c>
    </row>
    <row r="274">
      <c r="A274" s="26" t="s">
        <v>248</v>
      </c>
      <c r="B274" s="124">
        <v>46111.0</v>
      </c>
      <c r="C274" s="26" t="s">
        <v>5592</v>
      </c>
      <c r="D274" s="125">
        <v>0.3333333333333333</v>
      </c>
      <c r="E274" s="125">
        <v>0.6666666666666666</v>
      </c>
    </row>
    <row r="275">
      <c r="A275" s="26" t="s">
        <v>253</v>
      </c>
      <c r="B275" s="124">
        <v>46111.0</v>
      </c>
      <c r="C275" s="26" t="s">
        <v>5592</v>
      </c>
      <c r="D275" s="125">
        <v>0.4166666666666667</v>
      </c>
      <c r="E275" s="125">
        <v>0.75</v>
      </c>
    </row>
    <row r="276">
      <c r="A276" s="26" t="s">
        <v>258</v>
      </c>
      <c r="B276" s="124">
        <v>46111.0</v>
      </c>
      <c r="C276" s="26" t="s">
        <v>5592</v>
      </c>
      <c r="D276" s="125">
        <v>0.3333333333333333</v>
      </c>
      <c r="E276" s="125">
        <v>0.6666666666666666</v>
      </c>
    </row>
    <row r="277">
      <c r="A277" s="26" t="s">
        <v>261</v>
      </c>
      <c r="B277" s="124">
        <v>46111.0</v>
      </c>
      <c r="C277" s="26" t="s">
        <v>5592</v>
      </c>
      <c r="D277" s="125">
        <v>0.4166666666666667</v>
      </c>
      <c r="E277" s="125">
        <v>0.75</v>
      </c>
    </row>
    <row r="278">
      <c r="A278" s="26" t="s">
        <v>265</v>
      </c>
      <c r="B278" s="124">
        <v>46111.0</v>
      </c>
      <c r="C278" s="26" t="s">
        <v>5592</v>
      </c>
      <c r="D278" s="125">
        <v>0.3333333333333333</v>
      </c>
      <c r="E278" s="125">
        <v>0.6666666666666666</v>
      </c>
    </row>
    <row r="279">
      <c r="A279" s="26" t="s">
        <v>269</v>
      </c>
      <c r="B279" s="124">
        <v>46111.0</v>
      </c>
      <c r="C279" s="26" t="s">
        <v>5592</v>
      </c>
      <c r="D279" s="125">
        <v>0.3333333333333333</v>
      </c>
      <c r="E279" s="125">
        <v>0.6666666666666666</v>
      </c>
    </row>
    <row r="280">
      <c r="A280" s="26" t="s">
        <v>276</v>
      </c>
      <c r="B280" s="124">
        <v>46111.0</v>
      </c>
      <c r="C280" s="26" t="s">
        <v>5592</v>
      </c>
      <c r="D280" s="125">
        <v>0.3333333333333333</v>
      </c>
      <c r="E280" s="125">
        <v>0.6666666666666666</v>
      </c>
    </row>
    <row r="281">
      <c r="A281" s="26" t="s">
        <v>280</v>
      </c>
      <c r="B281" s="124">
        <v>46111.0</v>
      </c>
      <c r="C281" s="26" t="s">
        <v>5592</v>
      </c>
      <c r="D281" s="125">
        <v>0.4166666666666667</v>
      </c>
      <c r="E281" s="125">
        <v>0.75</v>
      </c>
    </row>
    <row r="282">
      <c r="A282" s="26" t="s">
        <v>243</v>
      </c>
      <c r="B282" s="124">
        <v>46109.0</v>
      </c>
      <c r="C282" s="26" t="s">
        <v>5592</v>
      </c>
      <c r="D282" s="125">
        <v>0.3333333333333333</v>
      </c>
      <c r="E282" s="125">
        <v>0.6666666666666666</v>
      </c>
    </row>
    <row r="283">
      <c r="A283" s="26" t="s">
        <v>248</v>
      </c>
      <c r="B283" s="124">
        <v>46109.0</v>
      </c>
      <c r="C283" s="26" t="s">
        <v>5592</v>
      </c>
      <c r="D283" s="125">
        <v>0.3333333333333333</v>
      </c>
      <c r="E283" s="125">
        <v>0.6666666666666666</v>
      </c>
    </row>
    <row r="284">
      <c r="A284" s="26" t="s">
        <v>253</v>
      </c>
      <c r="B284" s="124">
        <v>46109.0</v>
      </c>
      <c r="C284" s="26" t="s">
        <v>5592</v>
      </c>
      <c r="D284" s="125">
        <v>0.4166666666666667</v>
      </c>
      <c r="E284" s="125">
        <v>0.75</v>
      </c>
    </row>
    <row r="285">
      <c r="A285" s="26" t="s">
        <v>258</v>
      </c>
      <c r="B285" s="124">
        <v>46109.0</v>
      </c>
      <c r="C285" s="26" t="s">
        <v>5592</v>
      </c>
      <c r="D285" s="125">
        <v>0.3333333333333333</v>
      </c>
      <c r="E285" s="125">
        <v>0.6666666666666666</v>
      </c>
    </row>
    <row r="286">
      <c r="A286" s="26" t="s">
        <v>261</v>
      </c>
      <c r="B286" s="124">
        <v>46109.0</v>
      </c>
      <c r="C286" s="26" t="s">
        <v>5592</v>
      </c>
      <c r="D286" s="125">
        <v>0.4166666666666667</v>
      </c>
      <c r="E286" s="125">
        <v>0.75</v>
      </c>
    </row>
    <row r="287">
      <c r="A287" s="26" t="s">
        <v>265</v>
      </c>
      <c r="B287" s="124">
        <v>46109.0</v>
      </c>
      <c r="C287" s="26" t="s">
        <v>5592</v>
      </c>
      <c r="D287" s="125">
        <v>0.3333333333333333</v>
      </c>
      <c r="E287" s="125">
        <v>0.6666666666666666</v>
      </c>
    </row>
    <row r="288">
      <c r="A288" s="26" t="s">
        <v>269</v>
      </c>
      <c r="B288" s="124">
        <v>46109.0</v>
      </c>
      <c r="C288" s="26" t="s">
        <v>5592</v>
      </c>
      <c r="D288" s="125">
        <v>0.3333333333333333</v>
      </c>
      <c r="E288" s="125">
        <v>0.6666666666666666</v>
      </c>
    </row>
    <row r="289">
      <c r="A289" s="26" t="s">
        <v>276</v>
      </c>
      <c r="B289" s="124">
        <v>46109.0</v>
      </c>
      <c r="C289" s="26" t="s">
        <v>5592</v>
      </c>
      <c r="D289" s="125">
        <v>0.3333333333333333</v>
      </c>
      <c r="E289" s="125">
        <v>0.6666666666666666</v>
      </c>
    </row>
    <row r="290">
      <c r="A290" s="26" t="s">
        <v>280</v>
      </c>
      <c r="B290" s="124">
        <v>46109.0</v>
      </c>
      <c r="C290" s="26" t="s">
        <v>5592</v>
      </c>
      <c r="D290" s="125">
        <v>0.4166666666666667</v>
      </c>
      <c r="E290" s="125">
        <v>0.75</v>
      </c>
    </row>
    <row r="291">
      <c r="A291" s="26" t="s">
        <v>243</v>
      </c>
      <c r="B291" s="124">
        <v>46108.0</v>
      </c>
      <c r="C291" s="26" t="s">
        <v>5592</v>
      </c>
      <c r="D291" s="125">
        <v>0.3333333333333333</v>
      </c>
      <c r="E291" s="125">
        <v>0.6666666666666666</v>
      </c>
    </row>
    <row r="292">
      <c r="A292" s="26" t="s">
        <v>248</v>
      </c>
      <c r="B292" s="124">
        <v>46108.0</v>
      </c>
      <c r="C292" s="26" t="s">
        <v>5592</v>
      </c>
      <c r="D292" s="125">
        <v>0.3333333333333333</v>
      </c>
      <c r="E292" s="125">
        <v>0.6666666666666666</v>
      </c>
    </row>
    <row r="293">
      <c r="A293" s="26" t="s">
        <v>253</v>
      </c>
      <c r="B293" s="124">
        <v>46108.0</v>
      </c>
      <c r="C293" s="26" t="s">
        <v>5592</v>
      </c>
      <c r="D293" s="125">
        <v>0.4166666666666667</v>
      </c>
      <c r="E293" s="125">
        <v>0.75</v>
      </c>
    </row>
    <row r="294">
      <c r="A294" s="26" t="s">
        <v>258</v>
      </c>
      <c r="B294" s="124">
        <v>46108.0</v>
      </c>
      <c r="C294" s="26" t="s">
        <v>5592</v>
      </c>
      <c r="D294" s="125">
        <v>0.3333333333333333</v>
      </c>
      <c r="E294" s="125">
        <v>0.6666666666666666</v>
      </c>
    </row>
    <row r="295">
      <c r="A295" s="26" t="s">
        <v>261</v>
      </c>
      <c r="B295" s="124">
        <v>46108.0</v>
      </c>
      <c r="C295" s="26" t="s">
        <v>5592</v>
      </c>
      <c r="D295" s="125">
        <v>0.4166666666666667</v>
      </c>
      <c r="E295" s="125">
        <v>0.75</v>
      </c>
    </row>
    <row r="296">
      <c r="A296" s="26" t="s">
        <v>265</v>
      </c>
      <c r="B296" s="124">
        <v>46108.0</v>
      </c>
      <c r="C296" s="26" t="s">
        <v>5592</v>
      </c>
      <c r="D296" s="125">
        <v>0.3333333333333333</v>
      </c>
      <c r="E296" s="125">
        <v>0.6666666666666666</v>
      </c>
    </row>
    <row r="297">
      <c r="A297" s="26" t="s">
        <v>269</v>
      </c>
      <c r="B297" s="124">
        <v>46108.0</v>
      </c>
      <c r="C297" s="26" t="s">
        <v>5592</v>
      </c>
      <c r="D297" s="125">
        <v>0.3333333333333333</v>
      </c>
      <c r="E297" s="125">
        <v>0.6666666666666666</v>
      </c>
    </row>
    <row r="298">
      <c r="A298" s="26" t="s">
        <v>276</v>
      </c>
      <c r="B298" s="124">
        <v>46108.0</v>
      </c>
      <c r="C298" s="26" t="s">
        <v>5592</v>
      </c>
      <c r="D298" s="125">
        <v>0.3333333333333333</v>
      </c>
      <c r="E298" s="125">
        <v>0.6666666666666666</v>
      </c>
    </row>
    <row r="299">
      <c r="A299" s="26" t="s">
        <v>280</v>
      </c>
      <c r="B299" s="124">
        <v>46108.0</v>
      </c>
      <c r="C299" s="26" t="s">
        <v>5592</v>
      </c>
      <c r="D299" s="125">
        <v>0.4166666666666667</v>
      </c>
      <c r="E299" s="125">
        <v>0.75</v>
      </c>
    </row>
    <row r="300">
      <c r="A300" s="26" t="s">
        <v>243</v>
      </c>
      <c r="B300" s="124">
        <v>46107.0</v>
      </c>
      <c r="C300" s="26" t="s">
        <v>5592</v>
      </c>
      <c r="D300" s="125">
        <v>0.3333333333333333</v>
      </c>
      <c r="E300" s="125">
        <v>0.6666666666666666</v>
      </c>
    </row>
    <row r="301">
      <c r="A301" s="26" t="s">
        <v>248</v>
      </c>
      <c r="B301" s="124">
        <v>46107.0</v>
      </c>
      <c r="C301" s="26" t="s">
        <v>5592</v>
      </c>
      <c r="D301" s="125">
        <v>0.3333333333333333</v>
      </c>
      <c r="E301" s="125">
        <v>0.6666666666666666</v>
      </c>
    </row>
    <row r="302">
      <c r="A302" s="26" t="s">
        <v>253</v>
      </c>
      <c r="B302" s="124">
        <v>46107.0</v>
      </c>
      <c r="C302" s="26" t="s">
        <v>5592</v>
      </c>
      <c r="D302" s="125">
        <v>0.4166666666666667</v>
      </c>
      <c r="E302" s="125">
        <v>0.75</v>
      </c>
    </row>
    <row r="303">
      <c r="A303" s="26" t="s">
        <v>258</v>
      </c>
      <c r="B303" s="124">
        <v>46107.0</v>
      </c>
      <c r="C303" s="26" t="s">
        <v>5592</v>
      </c>
      <c r="D303" s="125">
        <v>0.3333333333333333</v>
      </c>
      <c r="E303" s="125">
        <v>0.6666666666666666</v>
      </c>
    </row>
    <row r="304">
      <c r="A304" s="26" t="s">
        <v>261</v>
      </c>
      <c r="B304" s="124">
        <v>46107.0</v>
      </c>
      <c r="C304" s="26" t="s">
        <v>5592</v>
      </c>
      <c r="D304" s="125">
        <v>0.4166666666666667</v>
      </c>
      <c r="E304" s="125">
        <v>0.75</v>
      </c>
    </row>
    <row r="305">
      <c r="A305" s="26" t="s">
        <v>265</v>
      </c>
      <c r="B305" s="124">
        <v>46107.0</v>
      </c>
      <c r="C305" s="26" t="s">
        <v>5592</v>
      </c>
      <c r="D305" s="125">
        <v>0.3333333333333333</v>
      </c>
      <c r="E305" s="125">
        <v>0.6666666666666666</v>
      </c>
    </row>
    <row r="306">
      <c r="A306" s="26" t="s">
        <v>269</v>
      </c>
      <c r="B306" s="124">
        <v>46107.0</v>
      </c>
      <c r="C306" s="26" t="s">
        <v>5592</v>
      </c>
      <c r="D306" s="125">
        <v>0.3333333333333333</v>
      </c>
      <c r="E306" s="125">
        <v>0.6666666666666666</v>
      </c>
    </row>
    <row r="307">
      <c r="A307" s="26" t="s">
        <v>276</v>
      </c>
      <c r="B307" s="124">
        <v>46107.0</v>
      </c>
      <c r="C307" s="26" t="s">
        <v>5592</v>
      </c>
      <c r="D307" s="125">
        <v>0.3333333333333333</v>
      </c>
      <c r="E307" s="125">
        <v>0.6666666666666666</v>
      </c>
    </row>
    <row r="308">
      <c r="A308" s="26" t="s">
        <v>280</v>
      </c>
      <c r="B308" s="124">
        <v>46107.0</v>
      </c>
      <c r="C308" s="26" t="s">
        <v>5592</v>
      </c>
      <c r="D308" s="125">
        <v>0.4166666666666667</v>
      </c>
      <c r="E308" s="125">
        <v>0.75</v>
      </c>
    </row>
    <row r="309">
      <c r="A309" s="26" t="s">
        <v>243</v>
      </c>
      <c r="B309" s="124">
        <v>46106.0</v>
      </c>
      <c r="C309" s="26" t="s">
        <v>5592</v>
      </c>
      <c r="D309" s="125">
        <v>0.3333333333333333</v>
      </c>
      <c r="E309" s="125">
        <v>0.6666666666666666</v>
      </c>
    </row>
    <row r="310">
      <c r="A310" s="26" t="s">
        <v>248</v>
      </c>
      <c r="B310" s="124">
        <v>46106.0</v>
      </c>
      <c r="C310" s="26" t="s">
        <v>5592</v>
      </c>
      <c r="D310" s="125">
        <v>0.3333333333333333</v>
      </c>
      <c r="E310" s="125">
        <v>0.6666666666666666</v>
      </c>
    </row>
    <row r="311">
      <c r="A311" s="26" t="s">
        <v>253</v>
      </c>
      <c r="B311" s="124">
        <v>46106.0</v>
      </c>
      <c r="C311" s="26" t="s">
        <v>5592</v>
      </c>
      <c r="D311" s="125">
        <v>0.4166666666666667</v>
      </c>
      <c r="E311" s="125">
        <v>0.75</v>
      </c>
    </row>
    <row r="312">
      <c r="A312" s="26" t="s">
        <v>258</v>
      </c>
      <c r="B312" s="124">
        <v>46106.0</v>
      </c>
      <c r="C312" s="26" t="s">
        <v>5592</v>
      </c>
      <c r="D312" s="125">
        <v>0.3333333333333333</v>
      </c>
      <c r="E312" s="125">
        <v>0.6666666666666666</v>
      </c>
    </row>
    <row r="313">
      <c r="A313" s="26" t="s">
        <v>261</v>
      </c>
      <c r="B313" s="124">
        <v>46106.0</v>
      </c>
      <c r="C313" s="26" t="s">
        <v>5592</v>
      </c>
      <c r="D313" s="125">
        <v>0.4166666666666667</v>
      </c>
      <c r="E313" s="125">
        <v>0.75</v>
      </c>
    </row>
    <row r="314">
      <c r="A314" s="26" t="s">
        <v>265</v>
      </c>
      <c r="B314" s="124">
        <v>46106.0</v>
      </c>
      <c r="C314" s="26" t="s">
        <v>5592</v>
      </c>
      <c r="D314" s="125">
        <v>0.3333333333333333</v>
      </c>
      <c r="E314" s="125">
        <v>0.6666666666666666</v>
      </c>
    </row>
    <row r="315">
      <c r="A315" s="26" t="s">
        <v>269</v>
      </c>
      <c r="B315" s="124">
        <v>46106.0</v>
      </c>
      <c r="C315" s="26" t="s">
        <v>5592</v>
      </c>
      <c r="D315" s="125">
        <v>0.3333333333333333</v>
      </c>
      <c r="E315" s="125">
        <v>0.6666666666666666</v>
      </c>
    </row>
    <row r="316">
      <c r="A316" s="26" t="s">
        <v>276</v>
      </c>
      <c r="B316" s="124">
        <v>46106.0</v>
      </c>
      <c r="C316" s="26" t="s">
        <v>5592</v>
      </c>
      <c r="D316" s="125">
        <v>0.3333333333333333</v>
      </c>
      <c r="E316" s="125">
        <v>0.6666666666666666</v>
      </c>
    </row>
    <row r="317">
      <c r="A317" s="26" t="s">
        <v>280</v>
      </c>
      <c r="B317" s="124">
        <v>46106.0</v>
      </c>
      <c r="C317" s="26" t="s">
        <v>5592</v>
      </c>
      <c r="D317" s="125">
        <v>0.4166666666666667</v>
      </c>
      <c r="E317" s="125">
        <v>0.75</v>
      </c>
    </row>
    <row r="318">
      <c r="A318" s="26" t="s">
        <v>243</v>
      </c>
      <c r="B318" s="124">
        <v>46105.0</v>
      </c>
      <c r="C318" s="26" t="s">
        <v>5592</v>
      </c>
      <c r="D318" s="125">
        <v>0.3333333333333333</v>
      </c>
      <c r="E318" s="125">
        <v>0.6666666666666666</v>
      </c>
    </row>
    <row r="319">
      <c r="A319" s="26" t="s">
        <v>248</v>
      </c>
      <c r="B319" s="124">
        <v>46105.0</v>
      </c>
      <c r="C319" s="26" t="s">
        <v>5592</v>
      </c>
      <c r="D319" s="125">
        <v>0.3333333333333333</v>
      </c>
      <c r="E319" s="125">
        <v>0.6666666666666666</v>
      </c>
    </row>
    <row r="320">
      <c r="A320" s="26" t="s">
        <v>253</v>
      </c>
      <c r="B320" s="124">
        <v>46105.0</v>
      </c>
      <c r="C320" s="26" t="s">
        <v>5592</v>
      </c>
      <c r="D320" s="125">
        <v>0.4166666666666667</v>
      </c>
      <c r="E320" s="125">
        <v>0.75</v>
      </c>
    </row>
    <row r="321">
      <c r="A321" s="26" t="s">
        <v>258</v>
      </c>
      <c r="B321" s="124">
        <v>46105.0</v>
      </c>
      <c r="C321" s="26" t="s">
        <v>5592</v>
      </c>
      <c r="D321" s="125">
        <v>0.3333333333333333</v>
      </c>
      <c r="E321" s="125">
        <v>0.6666666666666666</v>
      </c>
    </row>
    <row r="322">
      <c r="A322" s="26" t="s">
        <v>261</v>
      </c>
      <c r="B322" s="124">
        <v>46105.0</v>
      </c>
      <c r="C322" s="26" t="s">
        <v>5592</v>
      </c>
      <c r="D322" s="125">
        <v>0.4166666666666667</v>
      </c>
      <c r="E322" s="125">
        <v>0.75</v>
      </c>
    </row>
    <row r="323">
      <c r="A323" s="26" t="s">
        <v>265</v>
      </c>
      <c r="B323" s="124">
        <v>46105.0</v>
      </c>
      <c r="C323" s="26" t="s">
        <v>5592</v>
      </c>
      <c r="D323" s="125">
        <v>0.3333333333333333</v>
      </c>
      <c r="E323" s="125">
        <v>0.6666666666666666</v>
      </c>
    </row>
    <row r="324">
      <c r="A324" s="26" t="s">
        <v>269</v>
      </c>
      <c r="B324" s="124">
        <v>46105.0</v>
      </c>
      <c r="C324" s="26" t="s">
        <v>5592</v>
      </c>
      <c r="D324" s="125">
        <v>0.3333333333333333</v>
      </c>
      <c r="E324" s="125">
        <v>0.6666666666666666</v>
      </c>
    </row>
    <row r="325">
      <c r="A325" s="26" t="s">
        <v>276</v>
      </c>
      <c r="B325" s="124">
        <v>46105.0</v>
      </c>
      <c r="C325" s="26" t="s">
        <v>5592</v>
      </c>
      <c r="D325" s="125">
        <v>0.3333333333333333</v>
      </c>
      <c r="E325" s="125">
        <v>0.6666666666666666</v>
      </c>
    </row>
    <row r="326">
      <c r="A326" s="26" t="s">
        <v>280</v>
      </c>
      <c r="B326" s="124">
        <v>46105.0</v>
      </c>
      <c r="C326" s="26" t="s">
        <v>5592</v>
      </c>
      <c r="D326" s="125">
        <v>0.4166666666666667</v>
      </c>
      <c r="E326" s="125">
        <v>0.75</v>
      </c>
    </row>
    <row r="327">
      <c r="A327" s="26" t="s">
        <v>243</v>
      </c>
      <c r="B327" s="124">
        <v>46104.0</v>
      </c>
      <c r="C327" s="26" t="s">
        <v>5592</v>
      </c>
      <c r="D327" s="125">
        <v>0.3333333333333333</v>
      </c>
      <c r="E327" s="125">
        <v>0.6666666666666666</v>
      </c>
    </row>
    <row r="328">
      <c r="A328" s="26" t="s">
        <v>248</v>
      </c>
      <c r="B328" s="124">
        <v>46104.0</v>
      </c>
      <c r="C328" s="26" t="s">
        <v>5592</v>
      </c>
      <c r="D328" s="125">
        <v>0.3333333333333333</v>
      </c>
      <c r="E328" s="125">
        <v>0.6666666666666666</v>
      </c>
    </row>
    <row r="329">
      <c r="A329" s="26" t="s">
        <v>253</v>
      </c>
      <c r="B329" s="124">
        <v>46104.0</v>
      </c>
      <c r="C329" s="26" t="s">
        <v>5592</v>
      </c>
      <c r="D329" s="125">
        <v>0.4166666666666667</v>
      </c>
      <c r="E329" s="125">
        <v>0.75</v>
      </c>
    </row>
    <row r="330">
      <c r="A330" s="26" t="s">
        <v>258</v>
      </c>
      <c r="B330" s="124">
        <v>46104.0</v>
      </c>
      <c r="C330" s="26" t="s">
        <v>5592</v>
      </c>
      <c r="D330" s="125">
        <v>0.3333333333333333</v>
      </c>
      <c r="E330" s="125">
        <v>0.6666666666666666</v>
      </c>
    </row>
    <row r="331">
      <c r="A331" s="26" t="s">
        <v>261</v>
      </c>
      <c r="B331" s="124">
        <v>46104.0</v>
      </c>
      <c r="C331" s="26" t="s">
        <v>5592</v>
      </c>
      <c r="D331" s="125">
        <v>0.4166666666666667</v>
      </c>
      <c r="E331" s="125">
        <v>0.75</v>
      </c>
    </row>
    <row r="332">
      <c r="A332" s="26" t="s">
        <v>265</v>
      </c>
      <c r="B332" s="124">
        <v>46104.0</v>
      </c>
      <c r="C332" s="26" t="s">
        <v>5592</v>
      </c>
      <c r="D332" s="125">
        <v>0.3333333333333333</v>
      </c>
      <c r="E332" s="125">
        <v>0.6666666666666666</v>
      </c>
    </row>
    <row r="333">
      <c r="A333" s="26" t="s">
        <v>269</v>
      </c>
      <c r="B333" s="124">
        <v>46104.0</v>
      </c>
      <c r="C333" s="26" t="s">
        <v>5592</v>
      </c>
      <c r="D333" s="125">
        <v>0.3333333333333333</v>
      </c>
      <c r="E333" s="125">
        <v>0.6666666666666666</v>
      </c>
    </row>
    <row r="334">
      <c r="A334" s="26" t="s">
        <v>276</v>
      </c>
      <c r="B334" s="124">
        <v>46104.0</v>
      </c>
      <c r="C334" s="26" t="s">
        <v>5592</v>
      </c>
      <c r="D334" s="125">
        <v>0.3333333333333333</v>
      </c>
      <c r="E334" s="125">
        <v>0.6666666666666666</v>
      </c>
    </row>
    <row r="335">
      <c r="A335" s="26" t="s">
        <v>280</v>
      </c>
      <c r="B335" s="124">
        <v>46104.0</v>
      </c>
      <c r="C335" s="26" t="s">
        <v>5592</v>
      </c>
      <c r="D335" s="125">
        <v>0.4166666666666667</v>
      </c>
      <c r="E335" s="125">
        <v>0.75</v>
      </c>
    </row>
    <row r="336">
      <c r="A336" s="26" t="s">
        <v>243</v>
      </c>
      <c r="B336" s="124">
        <v>46102.0</v>
      </c>
      <c r="C336" s="26" t="s">
        <v>5592</v>
      </c>
      <c r="D336" s="125">
        <v>0.3333333333333333</v>
      </c>
      <c r="E336" s="125">
        <v>0.6666666666666666</v>
      </c>
    </row>
    <row r="337">
      <c r="A337" s="26" t="s">
        <v>248</v>
      </c>
      <c r="B337" s="124">
        <v>46102.0</v>
      </c>
      <c r="C337" s="26" t="s">
        <v>5592</v>
      </c>
      <c r="D337" s="125">
        <v>0.3333333333333333</v>
      </c>
      <c r="E337" s="125">
        <v>0.6666666666666666</v>
      </c>
    </row>
    <row r="338">
      <c r="A338" s="26" t="s">
        <v>253</v>
      </c>
      <c r="B338" s="124">
        <v>46102.0</v>
      </c>
      <c r="C338" s="26" t="s">
        <v>5592</v>
      </c>
      <c r="D338" s="125">
        <v>0.4166666666666667</v>
      </c>
      <c r="E338" s="125">
        <v>0.75</v>
      </c>
    </row>
    <row r="339">
      <c r="A339" s="26" t="s">
        <v>258</v>
      </c>
      <c r="B339" s="124">
        <v>46102.0</v>
      </c>
      <c r="C339" s="26" t="s">
        <v>5592</v>
      </c>
      <c r="D339" s="125">
        <v>0.3333333333333333</v>
      </c>
      <c r="E339" s="125">
        <v>0.6666666666666666</v>
      </c>
    </row>
    <row r="340">
      <c r="A340" s="26" t="s">
        <v>261</v>
      </c>
      <c r="B340" s="124">
        <v>46102.0</v>
      </c>
      <c r="C340" s="26" t="s">
        <v>5592</v>
      </c>
      <c r="D340" s="125">
        <v>0.4166666666666667</v>
      </c>
      <c r="E340" s="125">
        <v>0.75</v>
      </c>
    </row>
    <row r="341">
      <c r="A341" s="26" t="s">
        <v>265</v>
      </c>
      <c r="B341" s="124">
        <v>46102.0</v>
      </c>
      <c r="C341" s="26" t="s">
        <v>5592</v>
      </c>
      <c r="D341" s="125">
        <v>0.3333333333333333</v>
      </c>
      <c r="E341" s="125">
        <v>0.6666666666666666</v>
      </c>
    </row>
    <row r="342">
      <c r="A342" s="26" t="s">
        <v>269</v>
      </c>
      <c r="B342" s="124">
        <v>46102.0</v>
      </c>
      <c r="C342" s="26" t="s">
        <v>5592</v>
      </c>
      <c r="D342" s="125">
        <v>0.3333333333333333</v>
      </c>
      <c r="E342" s="125">
        <v>0.6666666666666666</v>
      </c>
    </row>
    <row r="343">
      <c r="A343" s="26" t="s">
        <v>276</v>
      </c>
      <c r="B343" s="124">
        <v>46102.0</v>
      </c>
      <c r="C343" s="26" t="s">
        <v>5592</v>
      </c>
      <c r="D343" s="125">
        <v>0.3333333333333333</v>
      </c>
      <c r="E343" s="125">
        <v>0.6666666666666666</v>
      </c>
    </row>
    <row r="344">
      <c r="A344" s="26" t="s">
        <v>280</v>
      </c>
      <c r="B344" s="124">
        <v>46102.0</v>
      </c>
      <c r="C344" s="26" t="s">
        <v>5592</v>
      </c>
      <c r="D344" s="125">
        <v>0.4166666666666667</v>
      </c>
      <c r="E344" s="125">
        <v>0.75</v>
      </c>
    </row>
    <row r="345">
      <c r="A345" s="26" t="s">
        <v>243</v>
      </c>
      <c r="B345" s="124">
        <v>46101.0</v>
      </c>
      <c r="C345" s="26" t="s">
        <v>5592</v>
      </c>
      <c r="D345" s="125">
        <v>0.3333333333333333</v>
      </c>
      <c r="E345" s="125">
        <v>0.6666666666666666</v>
      </c>
    </row>
    <row r="346">
      <c r="A346" s="26" t="s">
        <v>248</v>
      </c>
      <c r="B346" s="124">
        <v>46101.0</v>
      </c>
      <c r="C346" s="26" t="s">
        <v>5592</v>
      </c>
      <c r="D346" s="125">
        <v>0.3333333333333333</v>
      </c>
      <c r="E346" s="125">
        <v>0.6666666666666666</v>
      </c>
    </row>
    <row r="347">
      <c r="A347" s="26" t="s">
        <v>253</v>
      </c>
      <c r="B347" s="124">
        <v>46101.0</v>
      </c>
      <c r="C347" s="26" t="s">
        <v>5592</v>
      </c>
      <c r="D347" s="125">
        <v>0.4166666666666667</v>
      </c>
      <c r="E347" s="125">
        <v>0.75</v>
      </c>
    </row>
    <row r="348">
      <c r="A348" s="26" t="s">
        <v>258</v>
      </c>
      <c r="B348" s="124">
        <v>46101.0</v>
      </c>
      <c r="C348" s="26" t="s">
        <v>5592</v>
      </c>
      <c r="D348" s="125">
        <v>0.3333333333333333</v>
      </c>
      <c r="E348" s="125">
        <v>0.6666666666666666</v>
      </c>
    </row>
    <row r="349">
      <c r="A349" s="26" t="s">
        <v>261</v>
      </c>
      <c r="B349" s="124">
        <v>46101.0</v>
      </c>
      <c r="C349" s="26" t="s">
        <v>5592</v>
      </c>
      <c r="D349" s="125">
        <v>0.4166666666666667</v>
      </c>
      <c r="E349" s="125">
        <v>0.75</v>
      </c>
    </row>
    <row r="350">
      <c r="A350" s="26" t="s">
        <v>265</v>
      </c>
      <c r="B350" s="124">
        <v>46101.0</v>
      </c>
      <c r="C350" s="26" t="s">
        <v>5592</v>
      </c>
      <c r="D350" s="125">
        <v>0.3333333333333333</v>
      </c>
      <c r="E350" s="125">
        <v>0.6666666666666666</v>
      </c>
    </row>
    <row r="351">
      <c r="A351" s="26" t="s">
        <v>269</v>
      </c>
      <c r="B351" s="124">
        <v>46101.0</v>
      </c>
      <c r="C351" s="26" t="s">
        <v>5592</v>
      </c>
      <c r="D351" s="125">
        <v>0.3333333333333333</v>
      </c>
      <c r="E351" s="125">
        <v>0.6666666666666666</v>
      </c>
    </row>
    <row r="352">
      <c r="A352" s="26" t="s">
        <v>276</v>
      </c>
      <c r="B352" s="124">
        <v>46101.0</v>
      </c>
      <c r="C352" s="26" t="s">
        <v>5592</v>
      </c>
      <c r="D352" s="125">
        <v>0.3333333333333333</v>
      </c>
      <c r="E352" s="125">
        <v>0.6666666666666666</v>
      </c>
    </row>
    <row r="353">
      <c r="A353" s="26" t="s">
        <v>280</v>
      </c>
      <c r="B353" s="124">
        <v>46101.0</v>
      </c>
      <c r="C353" s="26" t="s">
        <v>5592</v>
      </c>
      <c r="D353" s="125">
        <v>0.4166666666666667</v>
      </c>
      <c r="E353" s="125">
        <v>0.75</v>
      </c>
    </row>
    <row r="354">
      <c r="A354" s="26" t="s">
        <v>243</v>
      </c>
      <c r="B354" s="124">
        <v>46100.0</v>
      </c>
      <c r="C354" s="26" t="s">
        <v>5592</v>
      </c>
      <c r="D354" s="125">
        <v>0.3333333333333333</v>
      </c>
      <c r="E354" s="125">
        <v>0.6666666666666666</v>
      </c>
    </row>
    <row r="355">
      <c r="A355" s="26" t="s">
        <v>248</v>
      </c>
      <c r="B355" s="124">
        <v>46100.0</v>
      </c>
      <c r="C355" s="26" t="s">
        <v>5592</v>
      </c>
      <c r="D355" s="125">
        <v>0.3333333333333333</v>
      </c>
      <c r="E355" s="125">
        <v>0.6666666666666666</v>
      </c>
    </row>
    <row r="356">
      <c r="A356" s="26" t="s">
        <v>253</v>
      </c>
      <c r="B356" s="124">
        <v>46100.0</v>
      </c>
      <c r="C356" s="26" t="s">
        <v>5592</v>
      </c>
      <c r="D356" s="125">
        <v>0.4166666666666667</v>
      </c>
      <c r="E356" s="125">
        <v>0.75</v>
      </c>
    </row>
    <row r="357">
      <c r="A357" s="26" t="s">
        <v>258</v>
      </c>
      <c r="B357" s="124">
        <v>46100.0</v>
      </c>
      <c r="C357" s="26" t="s">
        <v>5592</v>
      </c>
      <c r="D357" s="125">
        <v>0.3333333333333333</v>
      </c>
      <c r="E357" s="125">
        <v>0.6666666666666666</v>
      </c>
    </row>
    <row r="358">
      <c r="A358" s="26" t="s">
        <v>261</v>
      </c>
      <c r="B358" s="124">
        <v>46100.0</v>
      </c>
      <c r="C358" s="26" t="s">
        <v>5592</v>
      </c>
      <c r="D358" s="125">
        <v>0.4166666666666667</v>
      </c>
      <c r="E358" s="125">
        <v>0.75</v>
      </c>
    </row>
    <row r="359">
      <c r="A359" s="26" t="s">
        <v>265</v>
      </c>
      <c r="B359" s="124">
        <v>46100.0</v>
      </c>
      <c r="C359" s="26" t="s">
        <v>5592</v>
      </c>
      <c r="D359" s="125">
        <v>0.3333333333333333</v>
      </c>
      <c r="E359" s="125">
        <v>0.6666666666666666</v>
      </c>
    </row>
    <row r="360">
      <c r="A360" s="26" t="s">
        <v>269</v>
      </c>
      <c r="B360" s="124">
        <v>46100.0</v>
      </c>
      <c r="C360" s="26" t="s">
        <v>5592</v>
      </c>
      <c r="D360" s="125">
        <v>0.3333333333333333</v>
      </c>
      <c r="E360" s="125">
        <v>0.6666666666666666</v>
      </c>
    </row>
    <row r="361">
      <c r="A361" s="26" t="s">
        <v>276</v>
      </c>
      <c r="B361" s="124">
        <v>46100.0</v>
      </c>
      <c r="C361" s="26" t="s">
        <v>5592</v>
      </c>
      <c r="D361" s="125">
        <v>0.3333333333333333</v>
      </c>
      <c r="E361" s="125">
        <v>0.6666666666666666</v>
      </c>
    </row>
    <row r="362">
      <c r="A362" s="26" t="s">
        <v>280</v>
      </c>
      <c r="B362" s="124">
        <v>46100.0</v>
      </c>
      <c r="C362" s="26" t="s">
        <v>5592</v>
      </c>
      <c r="D362" s="125">
        <v>0.4166666666666667</v>
      </c>
      <c r="E362" s="125">
        <v>0.75</v>
      </c>
    </row>
    <row r="363">
      <c r="A363" s="26" t="s">
        <v>243</v>
      </c>
      <c r="B363" s="124">
        <v>46099.0</v>
      </c>
      <c r="C363" s="26" t="s">
        <v>5592</v>
      </c>
      <c r="D363" s="125">
        <v>0.3333333333333333</v>
      </c>
      <c r="E363" s="125">
        <v>0.6666666666666666</v>
      </c>
    </row>
    <row r="364">
      <c r="A364" s="26" t="s">
        <v>248</v>
      </c>
      <c r="B364" s="124">
        <v>46099.0</v>
      </c>
      <c r="C364" s="26" t="s">
        <v>5592</v>
      </c>
      <c r="D364" s="125">
        <v>0.3333333333333333</v>
      </c>
      <c r="E364" s="125">
        <v>0.6666666666666666</v>
      </c>
    </row>
    <row r="365">
      <c r="A365" s="26" t="s">
        <v>253</v>
      </c>
      <c r="B365" s="124">
        <v>46099.0</v>
      </c>
      <c r="C365" s="26" t="s">
        <v>5592</v>
      </c>
      <c r="D365" s="125">
        <v>0.4166666666666667</v>
      </c>
      <c r="E365" s="125">
        <v>0.75</v>
      </c>
    </row>
    <row r="366">
      <c r="A366" s="26" t="s">
        <v>258</v>
      </c>
      <c r="B366" s="124">
        <v>46099.0</v>
      </c>
      <c r="C366" s="26" t="s">
        <v>5592</v>
      </c>
      <c r="D366" s="125">
        <v>0.3333333333333333</v>
      </c>
      <c r="E366" s="125">
        <v>0.6666666666666666</v>
      </c>
    </row>
    <row r="367">
      <c r="A367" s="26" t="s">
        <v>261</v>
      </c>
      <c r="B367" s="124">
        <v>46099.0</v>
      </c>
      <c r="C367" s="26" t="s">
        <v>5592</v>
      </c>
      <c r="D367" s="125">
        <v>0.4166666666666667</v>
      </c>
      <c r="E367" s="125">
        <v>0.75</v>
      </c>
    </row>
    <row r="368">
      <c r="A368" s="26" t="s">
        <v>265</v>
      </c>
      <c r="B368" s="124">
        <v>46099.0</v>
      </c>
      <c r="C368" s="26" t="s">
        <v>5592</v>
      </c>
      <c r="D368" s="125">
        <v>0.3333333333333333</v>
      </c>
      <c r="E368" s="125">
        <v>0.6666666666666666</v>
      </c>
    </row>
    <row r="369">
      <c r="A369" s="26" t="s">
        <v>269</v>
      </c>
      <c r="B369" s="124">
        <v>46099.0</v>
      </c>
      <c r="C369" s="26" t="s">
        <v>5592</v>
      </c>
      <c r="D369" s="125">
        <v>0.3333333333333333</v>
      </c>
      <c r="E369" s="125">
        <v>0.6666666666666666</v>
      </c>
    </row>
    <row r="370">
      <c r="A370" s="26" t="s">
        <v>276</v>
      </c>
      <c r="B370" s="124">
        <v>46099.0</v>
      </c>
      <c r="C370" s="26" t="s">
        <v>5592</v>
      </c>
      <c r="D370" s="125">
        <v>0.3333333333333333</v>
      </c>
      <c r="E370" s="125">
        <v>0.6666666666666666</v>
      </c>
    </row>
    <row r="371">
      <c r="A371" s="26" t="s">
        <v>280</v>
      </c>
      <c r="B371" s="124">
        <v>46099.0</v>
      </c>
      <c r="C371" s="26" t="s">
        <v>5592</v>
      </c>
      <c r="D371" s="125">
        <v>0.4166666666666667</v>
      </c>
      <c r="E371" s="125">
        <v>0.75</v>
      </c>
    </row>
    <row r="372">
      <c r="A372" s="26" t="s">
        <v>243</v>
      </c>
      <c r="B372" s="124">
        <v>46098.0</v>
      </c>
      <c r="C372" s="26" t="s">
        <v>5592</v>
      </c>
      <c r="D372" s="125">
        <v>0.3333333333333333</v>
      </c>
      <c r="E372" s="125">
        <v>0.6666666666666666</v>
      </c>
    </row>
    <row r="373">
      <c r="A373" s="26" t="s">
        <v>248</v>
      </c>
      <c r="B373" s="124">
        <v>46098.0</v>
      </c>
      <c r="C373" s="26" t="s">
        <v>5592</v>
      </c>
      <c r="D373" s="125">
        <v>0.3333333333333333</v>
      </c>
      <c r="E373" s="125">
        <v>0.6666666666666666</v>
      </c>
    </row>
    <row r="374">
      <c r="A374" s="26" t="s">
        <v>253</v>
      </c>
      <c r="B374" s="124">
        <v>46098.0</v>
      </c>
      <c r="C374" s="26" t="s">
        <v>5592</v>
      </c>
      <c r="D374" s="125">
        <v>0.4166666666666667</v>
      </c>
      <c r="E374" s="125">
        <v>0.75</v>
      </c>
    </row>
    <row r="375">
      <c r="A375" s="26" t="s">
        <v>258</v>
      </c>
      <c r="B375" s="124">
        <v>46098.0</v>
      </c>
      <c r="C375" s="26" t="s">
        <v>5592</v>
      </c>
      <c r="D375" s="125">
        <v>0.3333333333333333</v>
      </c>
      <c r="E375" s="125">
        <v>0.6666666666666666</v>
      </c>
    </row>
    <row r="376">
      <c r="A376" s="26" t="s">
        <v>261</v>
      </c>
      <c r="B376" s="124">
        <v>46098.0</v>
      </c>
      <c r="C376" s="26" t="s">
        <v>5592</v>
      </c>
      <c r="D376" s="125">
        <v>0.4166666666666667</v>
      </c>
      <c r="E376" s="125">
        <v>0.75</v>
      </c>
    </row>
    <row r="377">
      <c r="A377" s="26" t="s">
        <v>265</v>
      </c>
      <c r="B377" s="124">
        <v>46098.0</v>
      </c>
      <c r="C377" s="26" t="s">
        <v>5592</v>
      </c>
      <c r="D377" s="125">
        <v>0.3333333333333333</v>
      </c>
      <c r="E377" s="125">
        <v>0.6666666666666666</v>
      </c>
    </row>
    <row r="378">
      <c r="A378" s="26" t="s">
        <v>269</v>
      </c>
      <c r="B378" s="124">
        <v>46098.0</v>
      </c>
      <c r="C378" s="26" t="s">
        <v>5592</v>
      </c>
      <c r="D378" s="125">
        <v>0.3333333333333333</v>
      </c>
      <c r="E378" s="125">
        <v>0.6666666666666666</v>
      </c>
    </row>
    <row r="379">
      <c r="A379" s="26" t="s">
        <v>276</v>
      </c>
      <c r="B379" s="124">
        <v>46098.0</v>
      </c>
      <c r="C379" s="26" t="s">
        <v>5592</v>
      </c>
      <c r="D379" s="125">
        <v>0.3333333333333333</v>
      </c>
      <c r="E379" s="125">
        <v>0.6666666666666666</v>
      </c>
    </row>
    <row r="380">
      <c r="A380" s="26" t="s">
        <v>280</v>
      </c>
      <c r="B380" s="124">
        <v>46098.0</v>
      </c>
      <c r="C380" s="26" t="s">
        <v>5592</v>
      </c>
      <c r="D380" s="125">
        <v>0.4166666666666667</v>
      </c>
      <c r="E380" s="125">
        <v>0.75</v>
      </c>
    </row>
    <row r="381">
      <c r="A381" s="26" t="s">
        <v>243</v>
      </c>
      <c r="B381" s="124">
        <v>46097.0</v>
      </c>
      <c r="C381" s="26" t="s">
        <v>5592</v>
      </c>
      <c r="D381" s="125">
        <v>0.3333333333333333</v>
      </c>
      <c r="E381" s="125">
        <v>0.6666666666666666</v>
      </c>
    </row>
    <row r="382">
      <c r="A382" s="26" t="s">
        <v>248</v>
      </c>
      <c r="B382" s="124">
        <v>46097.0</v>
      </c>
      <c r="C382" s="26" t="s">
        <v>5592</v>
      </c>
      <c r="D382" s="125">
        <v>0.3333333333333333</v>
      </c>
      <c r="E382" s="125">
        <v>0.6666666666666666</v>
      </c>
    </row>
    <row r="383">
      <c r="A383" s="26" t="s">
        <v>253</v>
      </c>
      <c r="B383" s="124">
        <v>46097.0</v>
      </c>
      <c r="C383" s="26" t="s">
        <v>5592</v>
      </c>
      <c r="D383" s="125">
        <v>0.4166666666666667</v>
      </c>
      <c r="E383" s="125">
        <v>0.75</v>
      </c>
    </row>
    <row r="384">
      <c r="A384" s="26" t="s">
        <v>258</v>
      </c>
      <c r="B384" s="124">
        <v>46097.0</v>
      </c>
      <c r="C384" s="26" t="s">
        <v>5592</v>
      </c>
      <c r="D384" s="125">
        <v>0.3333333333333333</v>
      </c>
      <c r="E384" s="125">
        <v>0.6666666666666666</v>
      </c>
    </row>
    <row r="385">
      <c r="A385" s="26" t="s">
        <v>261</v>
      </c>
      <c r="B385" s="124">
        <v>46097.0</v>
      </c>
      <c r="C385" s="26" t="s">
        <v>5592</v>
      </c>
      <c r="D385" s="125">
        <v>0.4166666666666667</v>
      </c>
      <c r="E385" s="125">
        <v>0.75</v>
      </c>
    </row>
    <row r="386">
      <c r="A386" s="26" t="s">
        <v>265</v>
      </c>
      <c r="B386" s="124">
        <v>46097.0</v>
      </c>
      <c r="C386" s="26" t="s">
        <v>5592</v>
      </c>
      <c r="D386" s="125">
        <v>0.3333333333333333</v>
      </c>
      <c r="E386" s="125">
        <v>0.6666666666666666</v>
      </c>
    </row>
    <row r="387">
      <c r="A387" s="26" t="s">
        <v>269</v>
      </c>
      <c r="B387" s="124">
        <v>46097.0</v>
      </c>
      <c r="C387" s="26" t="s">
        <v>5592</v>
      </c>
      <c r="D387" s="125">
        <v>0.3333333333333333</v>
      </c>
      <c r="E387" s="125">
        <v>0.6666666666666666</v>
      </c>
    </row>
    <row r="388">
      <c r="A388" s="26" t="s">
        <v>276</v>
      </c>
      <c r="B388" s="124">
        <v>46097.0</v>
      </c>
      <c r="C388" s="26" t="s">
        <v>5592</v>
      </c>
      <c r="D388" s="125">
        <v>0.3333333333333333</v>
      </c>
      <c r="E388" s="125">
        <v>0.6666666666666666</v>
      </c>
    </row>
    <row r="389">
      <c r="A389" s="26" t="s">
        <v>280</v>
      </c>
      <c r="B389" s="124">
        <v>46097.0</v>
      </c>
      <c r="C389" s="26" t="s">
        <v>5592</v>
      </c>
      <c r="D389" s="125">
        <v>0.4166666666666667</v>
      </c>
      <c r="E389" s="125">
        <v>0.75</v>
      </c>
    </row>
    <row r="390">
      <c r="A390" s="26" t="s">
        <v>243</v>
      </c>
      <c r="B390" s="124">
        <v>46095.0</v>
      </c>
      <c r="C390" s="26" t="s">
        <v>5592</v>
      </c>
      <c r="D390" s="125">
        <v>0.3333333333333333</v>
      </c>
      <c r="E390" s="125">
        <v>0.6666666666666666</v>
      </c>
    </row>
    <row r="391">
      <c r="A391" s="26" t="s">
        <v>248</v>
      </c>
      <c r="B391" s="124">
        <v>46095.0</v>
      </c>
      <c r="C391" s="26" t="s">
        <v>5592</v>
      </c>
      <c r="D391" s="125">
        <v>0.3333333333333333</v>
      </c>
      <c r="E391" s="125">
        <v>0.6666666666666666</v>
      </c>
    </row>
    <row r="392">
      <c r="A392" s="26" t="s">
        <v>253</v>
      </c>
      <c r="B392" s="124">
        <v>46095.0</v>
      </c>
      <c r="C392" s="26" t="s">
        <v>5592</v>
      </c>
      <c r="D392" s="125">
        <v>0.4166666666666667</v>
      </c>
      <c r="E392" s="125">
        <v>0.75</v>
      </c>
    </row>
    <row r="393">
      <c r="A393" s="26" t="s">
        <v>258</v>
      </c>
      <c r="B393" s="124">
        <v>46095.0</v>
      </c>
      <c r="C393" s="26" t="s">
        <v>5592</v>
      </c>
      <c r="D393" s="125">
        <v>0.3333333333333333</v>
      </c>
      <c r="E393" s="125">
        <v>0.6666666666666666</v>
      </c>
    </row>
    <row r="394">
      <c r="A394" s="26" t="s">
        <v>261</v>
      </c>
      <c r="B394" s="124">
        <v>46095.0</v>
      </c>
      <c r="C394" s="26" t="s">
        <v>5592</v>
      </c>
      <c r="D394" s="125">
        <v>0.4166666666666667</v>
      </c>
      <c r="E394" s="125">
        <v>0.75</v>
      </c>
    </row>
    <row r="395">
      <c r="A395" s="26" t="s">
        <v>265</v>
      </c>
      <c r="B395" s="124">
        <v>46095.0</v>
      </c>
      <c r="C395" s="26" t="s">
        <v>5592</v>
      </c>
      <c r="D395" s="125">
        <v>0.3333333333333333</v>
      </c>
      <c r="E395" s="125">
        <v>0.6666666666666666</v>
      </c>
    </row>
    <row r="396">
      <c r="A396" s="26" t="s">
        <v>269</v>
      </c>
      <c r="B396" s="124">
        <v>46095.0</v>
      </c>
      <c r="C396" s="26" t="s">
        <v>5592</v>
      </c>
      <c r="D396" s="125">
        <v>0.3333333333333333</v>
      </c>
      <c r="E396" s="125">
        <v>0.6666666666666666</v>
      </c>
    </row>
    <row r="397">
      <c r="A397" s="26" t="s">
        <v>276</v>
      </c>
      <c r="B397" s="124">
        <v>46095.0</v>
      </c>
      <c r="C397" s="26" t="s">
        <v>5592</v>
      </c>
      <c r="D397" s="125">
        <v>0.3333333333333333</v>
      </c>
      <c r="E397" s="125">
        <v>0.6666666666666666</v>
      </c>
    </row>
    <row r="398">
      <c r="A398" s="26" t="s">
        <v>280</v>
      </c>
      <c r="B398" s="124">
        <v>46095.0</v>
      </c>
      <c r="C398" s="26" t="s">
        <v>5592</v>
      </c>
      <c r="D398" s="125">
        <v>0.4166666666666667</v>
      </c>
      <c r="E398" s="125">
        <v>0.75</v>
      </c>
    </row>
    <row r="399">
      <c r="A399" s="26" t="s">
        <v>243</v>
      </c>
      <c r="B399" s="124">
        <v>46094.0</v>
      </c>
      <c r="C399" s="26" t="s">
        <v>5592</v>
      </c>
      <c r="D399" s="125">
        <v>0.3333333333333333</v>
      </c>
      <c r="E399" s="125">
        <v>0.6666666666666666</v>
      </c>
    </row>
    <row r="400">
      <c r="A400" s="26" t="s">
        <v>248</v>
      </c>
      <c r="B400" s="124">
        <v>46094.0</v>
      </c>
      <c r="C400" s="26" t="s">
        <v>5592</v>
      </c>
      <c r="D400" s="125">
        <v>0.3333333333333333</v>
      </c>
      <c r="E400" s="125">
        <v>0.6666666666666666</v>
      </c>
    </row>
    <row r="401">
      <c r="A401" s="26" t="s">
        <v>253</v>
      </c>
      <c r="B401" s="124">
        <v>46094.0</v>
      </c>
      <c r="C401" s="26" t="s">
        <v>5592</v>
      </c>
      <c r="D401" s="125">
        <v>0.4166666666666667</v>
      </c>
      <c r="E401" s="125">
        <v>0.75</v>
      </c>
    </row>
    <row r="402">
      <c r="A402" s="26" t="s">
        <v>258</v>
      </c>
      <c r="B402" s="124">
        <v>46094.0</v>
      </c>
      <c r="C402" s="26" t="s">
        <v>5592</v>
      </c>
      <c r="D402" s="125">
        <v>0.3333333333333333</v>
      </c>
      <c r="E402" s="125">
        <v>0.6666666666666666</v>
      </c>
    </row>
    <row r="403">
      <c r="A403" s="26" t="s">
        <v>261</v>
      </c>
      <c r="B403" s="124">
        <v>46094.0</v>
      </c>
      <c r="C403" s="26" t="s">
        <v>5592</v>
      </c>
      <c r="D403" s="125">
        <v>0.4166666666666667</v>
      </c>
      <c r="E403" s="125">
        <v>0.75</v>
      </c>
    </row>
    <row r="404">
      <c r="A404" s="26" t="s">
        <v>265</v>
      </c>
      <c r="B404" s="124">
        <v>46094.0</v>
      </c>
      <c r="C404" s="26" t="s">
        <v>5592</v>
      </c>
      <c r="D404" s="125">
        <v>0.3333333333333333</v>
      </c>
      <c r="E404" s="125">
        <v>0.6666666666666666</v>
      </c>
    </row>
    <row r="405">
      <c r="A405" s="26" t="s">
        <v>269</v>
      </c>
      <c r="B405" s="124">
        <v>46094.0</v>
      </c>
      <c r="C405" s="26" t="s">
        <v>5592</v>
      </c>
      <c r="D405" s="125">
        <v>0.3333333333333333</v>
      </c>
      <c r="E405" s="125">
        <v>0.6666666666666666</v>
      </c>
    </row>
    <row r="406">
      <c r="A406" s="26" t="s">
        <v>276</v>
      </c>
      <c r="B406" s="124">
        <v>46094.0</v>
      </c>
      <c r="C406" s="26" t="s">
        <v>5592</v>
      </c>
      <c r="D406" s="125">
        <v>0.3333333333333333</v>
      </c>
      <c r="E406" s="125">
        <v>0.6666666666666666</v>
      </c>
    </row>
    <row r="407">
      <c r="A407" s="26" t="s">
        <v>280</v>
      </c>
      <c r="B407" s="124">
        <v>46094.0</v>
      </c>
      <c r="C407" s="26" t="s">
        <v>5592</v>
      </c>
      <c r="D407" s="125">
        <v>0.4166666666666667</v>
      </c>
      <c r="E407" s="125">
        <v>0.75</v>
      </c>
    </row>
    <row r="408">
      <c r="A408" s="26" t="s">
        <v>243</v>
      </c>
      <c r="B408" s="124">
        <v>46093.0</v>
      </c>
      <c r="C408" s="26" t="s">
        <v>5592</v>
      </c>
      <c r="D408" s="125">
        <v>0.3333333333333333</v>
      </c>
      <c r="E408" s="125">
        <v>0.6666666666666666</v>
      </c>
    </row>
    <row r="409">
      <c r="A409" s="26" t="s">
        <v>248</v>
      </c>
      <c r="B409" s="124">
        <v>46093.0</v>
      </c>
      <c r="C409" s="26" t="s">
        <v>5592</v>
      </c>
      <c r="D409" s="125">
        <v>0.3333333333333333</v>
      </c>
      <c r="E409" s="125">
        <v>0.6666666666666666</v>
      </c>
    </row>
    <row r="410">
      <c r="A410" s="26" t="s">
        <v>253</v>
      </c>
      <c r="B410" s="124">
        <v>46093.0</v>
      </c>
      <c r="C410" s="26" t="s">
        <v>5592</v>
      </c>
      <c r="D410" s="125">
        <v>0.4166666666666667</v>
      </c>
      <c r="E410" s="125">
        <v>0.75</v>
      </c>
    </row>
    <row r="411">
      <c r="A411" s="26" t="s">
        <v>258</v>
      </c>
      <c r="B411" s="124">
        <v>46093.0</v>
      </c>
      <c r="C411" s="26" t="s">
        <v>5592</v>
      </c>
      <c r="D411" s="125">
        <v>0.3333333333333333</v>
      </c>
      <c r="E411" s="125">
        <v>0.6666666666666666</v>
      </c>
    </row>
    <row r="412">
      <c r="A412" s="26" t="s">
        <v>261</v>
      </c>
      <c r="B412" s="124">
        <v>46093.0</v>
      </c>
      <c r="C412" s="26" t="s">
        <v>5592</v>
      </c>
      <c r="D412" s="125">
        <v>0.4166666666666667</v>
      </c>
      <c r="E412" s="125">
        <v>0.75</v>
      </c>
    </row>
    <row r="413">
      <c r="A413" s="26" t="s">
        <v>265</v>
      </c>
      <c r="B413" s="124">
        <v>46093.0</v>
      </c>
      <c r="C413" s="26" t="s">
        <v>5592</v>
      </c>
      <c r="D413" s="125">
        <v>0.3333333333333333</v>
      </c>
      <c r="E413" s="125">
        <v>0.6666666666666666</v>
      </c>
    </row>
    <row r="414">
      <c r="A414" s="26" t="s">
        <v>269</v>
      </c>
      <c r="B414" s="124">
        <v>46093.0</v>
      </c>
      <c r="C414" s="26" t="s">
        <v>5592</v>
      </c>
      <c r="D414" s="125">
        <v>0.3333333333333333</v>
      </c>
      <c r="E414" s="125">
        <v>0.6666666666666666</v>
      </c>
    </row>
    <row r="415">
      <c r="A415" s="26" t="s">
        <v>276</v>
      </c>
      <c r="B415" s="124">
        <v>46093.0</v>
      </c>
      <c r="C415" s="26" t="s">
        <v>5592</v>
      </c>
      <c r="D415" s="125">
        <v>0.3333333333333333</v>
      </c>
      <c r="E415" s="125">
        <v>0.6666666666666666</v>
      </c>
    </row>
    <row r="416">
      <c r="A416" s="26" t="s">
        <v>280</v>
      </c>
      <c r="B416" s="124">
        <v>46093.0</v>
      </c>
      <c r="C416" s="26" t="s">
        <v>5592</v>
      </c>
      <c r="D416" s="125">
        <v>0.4166666666666667</v>
      </c>
      <c r="E416" s="125">
        <v>0.75</v>
      </c>
    </row>
    <row r="417">
      <c r="A417" s="26" t="s">
        <v>243</v>
      </c>
      <c r="B417" s="124">
        <v>46092.0</v>
      </c>
      <c r="C417" s="26" t="s">
        <v>5592</v>
      </c>
      <c r="D417" s="125">
        <v>0.3333333333333333</v>
      </c>
      <c r="E417" s="125">
        <v>0.6666666666666666</v>
      </c>
    </row>
    <row r="418">
      <c r="A418" s="26" t="s">
        <v>248</v>
      </c>
      <c r="B418" s="124">
        <v>46092.0</v>
      </c>
      <c r="C418" s="26" t="s">
        <v>5592</v>
      </c>
      <c r="D418" s="125">
        <v>0.3333333333333333</v>
      </c>
      <c r="E418" s="125">
        <v>0.6666666666666666</v>
      </c>
    </row>
    <row r="419">
      <c r="A419" s="26" t="s">
        <v>253</v>
      </c>
      <c r="B419" s="124">
        <v>46092.0</v>
      </c>
      <c r="C419" s="26" t="s">
        <v>5592</v>
      </c>
      <c r="D419" s="125">
        <v>0.4166666666666667</v>
      </c>
      <c r="E419" s="125">
        <v>0.75</v>
      </c>
    </row>
    <row r="420">
      <c r="A420" s="26" t="s">
        <v>258</v>
      </c>
      <c r="B420" s="124">
        <v>46092.0</v>
      </c>
      <c r="C420" s="26" t="s">
        <v>5592</v>
      </c>
      <c r="D420" s="125">
        <v>0.3333333333333333</v>
      </c>
      <c r="E420" s="125">
        <v>0.6666666666666666</v>
      </c>
    </row>
    <row r="421">
      <c r="A421" s="26" t="s">
        <v>261</v>
      </c>
      <c r="B421" s="124">
        <v>46092.0</v>
      </c>
      <c r="C421" s="26" t="s">
        <v>5592</v>
      </c>
      <c r="D421" s="125">
        <v>0.4166666666666667</v>
      </c>
      <c r="E421" s="125">
        <v>0.75</v>
      </c>
    </row>
    <row r="422">
      <c r="A422" s="26" t="s">
        <v>265</v>
      </c>
      <c r="B422" s="124">
        <v>46092.0</v>
      </c>
      <c r="C422" s="26" t="s">
        <v>5592</v>
      </c>
      <c r="D422" s="125">
        <v>0.3333333333333333</v>
      </c>
      <c r="E422" s="125">
        <v>0.6666666666666666</v>
      </c>
    </row>
    <row r="423">
      <c r="A423" s="26" t="s">
        <v>269</v>
      </c>
      <c r="B423" s="124">
        <v>46092.0</v>
      </c>
      <c r="C423" s="26" t="s">
        <v>5592</v>
      </c>
      <c r="D423" s="125">
        <v>0.3333333333333333</v>
      </c>
      <c r="E423" s="125">
        <v>0.6666666666666666</v>
      </c>
    </row>
    <row r="424">
      <c r="A424" s="26" t="s">
        <v>276</v>
      </c>
      <c r="B424" s="124">
        <v>46092.0</v>
      </c>
      <c r="C424" s="26" t="s">
        <v>5592</v>
      </c>
      <c r="D424" s="125">
        <v>0.3333333333333333</v>
      </c>
      <c r="E424" s="125">
        <v>0.6666666666666666</v>
      </c>
    </row>
    <row r="425">
      <c r="A425" s="26" t="s">
        <v>280</v>
      </c>
      <c r="B425" s="124">
        <v>46092.0</v>
      </c>
      <c r="C425" s="26" t="s">
        <v>5592</v>
      </c>
      <c r="D425" s="125">
        <v>0.4166666666666667</v>
      </c>
      <c r="E425" s="125">
        <v>0.75</v>
      </c>
    </row>
    <row r="426">
      <c r="A426" s="26" t="s">
        <v>243</v>
      </c>
      <c r="B426" s="124">
        <v>46091.0</v>
      </c>
      <c r="C426" s="26" t="s">
        <v>5592</v>
      </c>
      <c r="D426" s="125">
        <v>0.3333333333333333</v>
      </c>
      <c r="E426" s="125">
        <v>0.6666666666666666</v>
      </c>
    </row>
    <row r="427">
      <c r="A427" s="26" t="s">
        <v>248</v>
      </c>
      <c r="B427" s="124">
        <v>46091.0</v>
      </c>
      <c r="C427" s="26" t="s">
        <v>5592</v>
      </c>
      <c r="D427" s="125">
        <v>0.3333333333333333</v>
      </c>
      <c r="E427" s="125">
        <v>0.6666666666666666</v>
      </c>
    </row>
    <row r="428">
      <c r="A428" s="26" t="s">
        <v>253</v>
      </c>
      <c r="B428" s="124">
        <v>46091.0</v>
      </c>
      <c r="C428" s="26" t="s">
        <v>5592</v>
      </c>
      <c r="D428" s="125">
        <v>0.4166666666666667</v>
      </c>
      <c r="E428" s="125">
        <v>0.75</v>
      </c>
    </row>
    <row r="429">
      <c r="A429" s="26" t="s">
        <v>258</v>
      </c>
      <c r="B429" s="124">
        <v>46091.0</v>
      </c>
      <c r="C429" s="26" t="s">
        <v>5592</v>
      </c>
      <c r="D429" s="125">
        <v>0.3333333333333333</v>
      </c>
      <c r="E429" s="125">
        <v>0.6666666666666666</v>
      </c>
    </row>
    <row r="430">
      <c r="A430" s="26" t="s">
        <v>261</v>
      </c>
      <c r="B430" s="124">
        <v>46091.0</v>
      </c>
      <c r="C430" s="26" t="s">
        <v>5592</v>
      </c>
      <c r="D430" s="125">
        <v>0.4166666666666667</v>
      </c>
      <c r="E430" s="125">
        <v>0.75</v>
      </c>
    </row>
    <row r="431">
      <c r="A431" s="26" t="s">
        <v>265</v>
      </c>
      <c r="B431" s="124">
        <v>46091.0</v>
      </c>
      <c r="C431" s="26" t="s">
        <v>5592</v>
      </c>
      <c r="D431" s="125">
        <v>0.3333333333333333</v>
      </c>
      <c r="E431" s="125">
        <v>0.6666666666666666</v>
      </c>
    </row>
    <row r="432">
      <c r="A432" s="26" t="s">
        <v>269</v>
      </c>
      <c r="B432" s="124">
        <v>46091.0</v>
      </c>
      <c r="C432" s="26" t="s">
        <v>5592</v>
      </c>
      <c r="D432" s="125">
        <v>0.3333333333333333</v>
      </c>
      <c r="E432" s="125">
        <v>0.6666666666666666</v>
      </c>
    </row>
    <row r="433">
      <c r="A433" s="26" t="s">
        <v>276</v>
      </c>
      <c r="B433" s="124">
        <v>46091.0</v>
      </c>
      <c r="C433" s="26" t="s">
        <v>5592</v>
      </c>
      <c r="D433" s="125">
        <v>0.3333333333333333</v>
      </c>
      <c r="E433" s="125">
        <v>0.6666666666666666</v>
      </c>
    </row>
    <row r="434">
      <c r="A434" s="26" t="s">
        <v>280</v>
      </c>
      <c r="B434" s="124">
        <v>46091.0</v>
      </c>
      <c r="C434" s="26" t="s">
        <v>5592</v>
      </c>
      <c r="D434" s="125">
        <v>0.4166666666666667</v>
      </c>
      <c r="E434" s="125">
        <v>0.75</v>
      </c>
    </row>
    <row r="435">
      <c r="A435" s="26" t="s">
        <v>243</v>
      </c>
      <c r="B435" s="124">
        <v>46090.0</v>
      </c>
      <c r="C435" s="26" t="s">
        <v>5592</v>
      </c>
      <c r="D435" s="125">
        <v>0.3333333333333333</v>
      </c>
      <c r="E435" s="125">
        <v>0.6666666666666666</v>
      </c>
    </row>
    <row r="436">
      <c r="A436" s="26" t="s">
        <v>248</v>
      </c>
      <c r="B436" s="124">
        <v>46090.0</v>
      </c>
      <c r="C436" s="26" t="s">
        <v>5592</v>
      </c>
      <c r="D436" s="125">
        <v>0.3333333333333333</v>
      </c>
      <c r="E436" s="125">
        <v>0.6666666666666666</v>
      </c>
    </row>
    <row r="437">
      <c r="A437" s="26" t="s">
        <v>253</v>
      </c>
      <c r="B437" s="124">
        <v>46090.0</v>
      </c>
      <c r="C437" s="26" t="s">
        <v>5592</v>
      </c>
      <c r="D437" s="125">
        <v>0.4166666666666667</v>
      </c>
      <c r="E437" s="125">
        <v>0.75</v>
      </c>
    </row>
    <row r="438">
      <c r="A438" s="26" t="s">
        <v>258</v>
      </c>
      <c r="B438" s="124">
        <v>46090.0</v>
      </c>
      <c r="C438" s="26" t="s">
        <v>5592</v>
      </c>
      <c r="D438" s="125">
        <v>0.3333333333333333</v>
      </c>
      <c r="E438" s="125">
        <v>0.6666666666666666</v>
      </c>
    </row>
    <row r="439">
      <c r="A439" s="26" t="s">
        <v>261</v>
      </c>
      <c r="B439" s="124">
        <v>46090.0</v>
      </c>
      <c r="C439" s="26" t="s">
        <v>5592</v>
      </c>
      <c r="D439" s="125">
        <v>0.4166666666666667</v>
      </c>
      <c r="E439" s="125">
        <v>0.75</v>
      </c>
    </row>
    <row r="440">
      <c r="A440" s="26" t="s">
        <v>265</v>
      </c>
      <c r="B440" s="124">
        <v>46090.0</v>
      </c>
      <c r="C440" s="26" t="s">
        <v>5592</v>
      </c>
      <c r="D440" s="125">
        <v>0.3333333333333333</v>
      </c>
      <c r="E440" s="125">
        <v>0.6666666666666666</v>
      </c>
    </row>
    <row r="441">
      <c r="A441" s="26" t="s">
        <v>269</v>
      </c>
      <c r="B441" s="124">
        <v>46090.0</v>
      </c>
      <c r="C441" s="26" t="s">
        <v>5592</v>
      </c>
      <c r="D441" s="125">
        <v>0.3333333333333333</v>
      </c>
      <c r="E441" s="125">
        <v>0.6666666666666666</v>
      </c>
    </row>
    <row r="442">
      <c r="A442" s="26" t="s">
        <v>276</v>
      </c>
      <c r="B442" s="124">
        <v>46090.0</v>
      </c>
      <c r="C442" s="26" t="s">
        <v>5592</v>
      </c>
      <c r="D442" s="125">
        <v>0.3333333333333333</v>
      </c>
      <c r="E442" s="125">
        <v>0.6666666666666666</v>
      </c>
    </row>
    <row r="443">
      <c r="A443" s="26" t="s">
        <v>280</v>
      </c>
      <c r="B443" s="124">
        <v>46090.0</v>
      </c>
      <c r="C443" s="26" t="s">
        <v>5592</v>
      </c>
      <c r="D443" s="125">
        <v>0.4166666666666667</v>
      </c>
      <c r="E443" s="125">
        <v>0.75</v>
      </c>
    </row>
    <row r="444">
      <c r="A444" s="26" t="s">
        <v>243</v>
      </c>
      <c r="B444" s="124">
        <v>46088.0</v>
      </c>
      <c r="C444" s="26" t="s">
        <v>5592</v>
      </c>
      <c r="D444" s="125">
        <v>0.3333333333333333</v>
      </c>
      <c r="E444" s="125">
        <v>0.6666666666666666</v>
      </c>
    </row>
    <row r="445">
      <c r="A445" s="26" t="s">
        <v>248</v>
      </c>
      <c r="B445" s="124">
        <v>46088.0</v>
      </c>
      <c r="C445" s="26" t="s">
        <v>5592</v>
      </c>
      <c r="D445" s="125">
        <v>0.3333333333333333</v>
      </c>
      <c r="E445" s="125">
        <v>0.6666666666666666</v>
      </c>
    </row>
    <row r="446">
      <c r="A446" s="26" t="s">
        <v>253</v>
      </c>
      <c r="B446" s="124">
        <v>46088.0</v>
      </c>
      <c r="C446" s="26" t="s">
        <v>5592</v>
      </c>
      <c r="D446" s="125">
        <v>0.4166666666666667</v>
      </c>
      <c r="E446" s="125">
        <v>0.75</v>
      </c>
    </row>
    <row r="447">
      <c r="A447" s="26" t="s">
        <v>258</v>
      </c>
      <c r="B447" s="124">
        <v>46088.0</v>
      </c>
      <c r="C447" s="26" t="s">
        <v>5592</v>
      </c>
      <c r="D447" s="125">
        <v>0.3333333333333333</v>
      </c>
      <c r="E447" s="125">
        <v>0.6666666666666666</v>
      </c>
    </row>
    <row r="448">
      <c r="A448" s="26" t="s">
        <v>261</v>
      </c>
      <c r="B448" s="124">
        <v>46088.0</v>
      </c>
      <c r="C448" s="26" t="s">
        <v>5592</v>
      </c>
      <c r="D448" s="125">
        <v>0.4166666666666667</v>
      </c>
      <c r="E448" s="125">
        <v>0.75</v>
      </c>
    </row>
    <row r="449">
      <c r="A449" s="26" t="s">
        <v>265</v>
      </c>
      <c r="B449" s="124">
        <v>46088.0</v>
      </c>
      <c r="C449" s="26" t="s">
        <v>5592</v>
      </c>
      <c r="D449" s="125">
        <v>0.3333333333333333</v>
      </c>
      <c r="E449" s="125">
        <v>0.6666666666666666</v>
      </c>
    </row>
    <row r="450">
      <c r="A450" s="26" t="s">
        <v>269</v>
      </c>
      <c r="B450" s="124">
        <v>46088.0</v>
      </c>
      <c r="C450" s="26" t="s">
        <v>5592</v>
      </c>
      <c r="D450" s="125">
        <v>0.3333333333333333</v>
      </c>
      <c r="E450" s="125">
        <v>0.6666666666666666</v>
      </c>
    </row>
    <row r="451">
      <c r="A451" s="26" t="s">
        <v>276</v>
      </c>
      <c r="B451" s="124">
        <v>46088.0</v>
      </c>
      <c r="C451" s="26" t="s">
        <v>5592</v>
      </c>
      <c r="D451" s="125">
        <v>0.3333333333333333</v>
      </c>
      <c r="E451" s="125">
        <v>0.6666666666666666</v>
      </c>
    </row>
    <row r="452">
      <c r="A452" s="26" t="s">
        <v>280</v>
      </c>
      <c r="B452" s="124">
        <v>46088.0</v>
      </c>
      <c r="C452" s="26" t="s">
        <v>5592</v>
      </c>
      <c r="D452" s="125">
        <v>0.4166666666666667</v>
      </c>
      <c r="E452" s="125">
        <v>0.75</v>
      </c>
    </row>
    <row r="453">
      <c r="A453" s="26" t="s">
        <v>243</v>
      </c>
      <c r="B453" s="124">
        <v>46087.0</v>
      </c>
      <c r="C453" s="26" t="s">
        <v>5592</v>
      </c>
      <c r="D453" s="125">
        <v>0.3333333333333333</v>
      </c>
      <c r="E453" s="125">
        <v>0.6666666666666666</v>
      </c>
    </row>
    <row r="454">
      <c r="A454" s="26" t="s">
        <v>248</v>
      </c>
      <c r="B454" s="124">
        <v>46087.0</v>
      </c>
      <c r="C454" s="26" t="s">
        <v>5592</v>
      </c>
      <c r="D454" s="125">
        <v>0.3333333333333333</v>
      </c>
      <c r="E454" s="125">
        <v>0.6666666666666666</v>
      </c>
    </row>
    <row r="455">
      <c r="A455" s="26" t="s">
        <v>253</v>
      </c>
      <c r="B455" s="124">
        <v>46087.0</v>
      </c>
      <c r="C455" s="26" t="s">
        <v>5592</v>
      </c>
      <c r="D455" s="125">
        <v>0.4166666666666667</v>
      </c>
      <c r="E455" s="125">
        <v>0.75</v>
      </c>
    </row>
    <row r="456">
      <c r="A456" s="26" t="s">
        <v>258</v>
      </c>
      <c r="B456" s="124">
        <v>46087.0</v>
      </c>
      <c r="C456" s="26" t="s">
        <v>5592</v>
      </c>
      <c r="D456" s="125">
        <v>0.3333333333333333</v>
      </c>
      <c r="E456" s="125">
        <v>0.6666666666666666</v>
      </c>
    </row>
    <row r="457">
      <c r="A457" s="26" t="s">
        <v>261</v>
      </c>
      <c r="B457" s="124">
        <v>46087.0</v>
      </c>
      <c r="C457" s="26" t="s">
        <v>5592</v>
      </c>
      <c r="D457" s="125">
        <v>0.4166666666666667</v>
      </c>
      <c r="E457" s="125">
        <v>0.75</v>
      </c>
    </row>
    <row r="458">
      <c r="A458" s="26" t="s">
        <v>265</v>
      </c>
      <c r="B458" s="124">
        <v>46087.0</v>
      </c>
      <c r="C458" s="26" t="s">
        <v>5592</v>
      </c>
      <c r="D458" s="125">
        <v>0.3333333333333333</v>
      </c>
      <c r="E458" s="125">
        <v>0.6666666666666666</v>
      </c>
    </row>
    <row r="459">
      <c r="A459" s="26" t="s">
        <v>269</v>
      </c>
      <c r="B459" s="124">
        <v>46087.0</v>
      </c>
      <c r="C459" s="26" t="s">
        <v>5592</v>
      </c>
      <c r="D459" s="125">
        <v>0.3333333333333333</v>
      </c>
      <c r="E459" s="125">
        <v>0.6666666666666666</v>
      </c>
    </row>
    <row r="460">
      <c r="A460" s="26" t="s">
        <v>276</v>
      </c>
      <c r="B460" s="124">
        <v>46087.0</v>
      </c>
      <c r="C460" s="26" t="s">
        <v>5592</v>
      </c>
      <c r="D460" s="125">
        <v>0.3333333333333333</v>
      </c>
      <c r="E460" s="125">
        <v>0.6666666666666666</v>
      </c>
    </row>
    <row r="461">
      <c r="A461" s="26" t="s">
        <v>280</v>
      </c>
      <c r="B461" s="124">
        <v>46087.0</v>
      </c>
      <c r="C461" s="26" t="s">
        <v>5592</v>
      </c>
      <c r="D461" s="125">
        <v>0.4166666666666667</v>
      </c>
      <c r="E461" s="125">
        <v>0.75</v>
      </c>
    </row>
    <row r="462">
      <c r="A462" s="26" t="s">
        <v>243</v>
      </c>
      <c r="B462" s="124">
        <v>46086.0</v>
      </c>
      <c r="C462" s="26" t="s">
        <v>5592</v>
      </c>
      <c r="D462" s="125">
        <v>0.3333333333333333</v>
      </c>
      <c r="E462" s="125">
        <v>0.6666666666666666</v>
      </c>
    </row>
    <row r="463">
      <c r="A463" s="26" t="s">
        <v>248</v>
      </c>
      <c r="B463" s="124">
        <v>46086.0</v>
      </c>
      <c r="C463" s="26" t="s">
        <v>5592</v>
      </c>
      <c r="D463" s="125">
        <v>0.3333333333333333</v>
      </c>
      <c r="E463" s="125">
        <v>0.6666666666666666</v>
      </c>
    </row>
    <row r="464">
      <c r="A464" s="26" t="s">
        <v>253</v>
      </c>
      <c r="B464" s="124">
        <v>46086.0</v>
      </c>
      <c r="C464" s="26" t="s">
        <v>5592</v>
      </c>
      <c r="D464" s="125">
        <v>0.4166666666666667</v>
      </c>
      <c r="E464" s="125">
        <v>0.75</v>
      </c>
    </row>
    <row r="465">
      <c r="A465" s="26" t="s">
        <v>258</v>
      </c>
      <c r="B465" s="124">
        <v>46086.0</v>
      </c>
      <c r="C465" s="26" t="s">
        <v>5592</v>
      </c>
      <c r="D465" s="125">
        <v>0.3333333333333333</v>
      </c>
      <c r="E465" s="125">
        <v>0.6666666666666666</v>
      </c>
    </row>
    <row r="466">
      <c r="A466" s="26" t="s">
        <v>261</v>
      </c>
      <c r="B466" s="124">
        <v>46086.0</v>
      </c>
      <c r="C466" s="26" t="s">
        <v>5592</v>
      </c>
      <c r="D466" s="125">
        <v>0.4166666666666667</v>
      </c>
      <c r="E466" s="125">
        <v>0.75</v>
      </c>
    </row>
    <row r="467">
      <c r="A467" s="26" t="s">
        <v>265</v>
      </c>
      <c r="B467" s="124">
        <v>46086.0</v>
      </c>
      <c r="C467" s="26" t="s">
        <v>5592</v>
      </c>
      <c r="D467" s="125">
        <v>0.3333333333333333</v>
      </c>
      <c r="E467" s="125">
        <v>0.6666666666666666</v>
      </c>
    </row>
    <row r="468">
      <c r="A468" s="26" t="s">
        <v>269</v>
      </c>
      <c r="B468" s="124">
        <v>46086.0</v>
      </c>
      <c r="C468" s="26" t="s">
        <v>5592</v>
      </c>
      <c r="D468" s="125">
        <v>0.3333333333333333</v>
      </c>
      <c r="E468" s="125">
        <v>0.6666666666666666</v>
      </c>
    </row>
    <row r="469">
      <c r="A469" s="26" t="s">
        <v>276</v>
      </c>
      <c r="B469" s="124">
        <v>46086.0</v>
      </c>
      <c r="C469" s="26" t="s">
        <v>5592</v>
      </c>
      <c r="D469" s="125">
        <v>0.3333333333333333</v>
      </c>
      <c r="E469" s="125">
        <v>0.6666666666666666</v>
      </c>
    </row>
    <row r="470">
      <c r="A470" s="26" t="s">
        <v>280</v>
      </c>
      <c r="B470" s="124">
        <v>46086.0</v>
      </c>
      <c r="C470" s="26" t="s">
        <v>5592</v>
      </c>
      <c r="D470" s="125">
        <v>0.4166666666666667</v>
      </c>
      <c r="E470" s="125">
        <v>0.75</v>
      </c>
    </row>
    <row r="471">
      <c r="A471" s="26" t="s">
        <v>243</v>
      </c>
      <c r="B471" s="124">
        <v>46085.0</v>
      </c>
      <c r="C471" s="26" t="s">
        <v>5592</v>
      </c>
      <c r="D471" s="125">
        <v>0.3333333333333333</v>
      </c>
      <c r="E471" s="125">
        <v>0.6666666666666666</v>
      </c>
    </row>
    <row r="472">
      <c r="A472" s="26" t="s">
        <v>248</v>
      </c>
      <c r="B472" s="124">
        <v>46085.0</v>
      </c>
      <c r="C472" s="26" t="s">
        <v>5592</v>
      </c>
      <c r="D472" s="125">
        <v>0.3333333333333333</v>
      </c>
      <c r="E472" s="125">
        <v>0.6666666666666666</v>
      </c>
    </row>
    <row r="473">
      <c r="A473" s="26" t="s">
        <v>253</v>
      </c>
      <c r="B473" s="124">
        <v>46085.0</v>
      </c>
      <c r="C473" s="26" t="s">
        <v>5592</v>
      </c>
      <c r="D473" s="125">
        <v>0.4166666666666667</v>
      </c>
      <c r="E473" s="125">
        <v>0.75</v>
      </c>
    </row>
    <row r="474">
      <c r="A474" s="26" t="s">
        <v>258</v>
      </c>
      <c r="B474" s="124">
        <v>46085.0</v>
      </c>
      <c r="C474" s="26" t="s">
        <v>5592</v>
      </c>
      <c r="D474" s="125">
        <v>0.3333333333333333</v>
      </c>
      <c r="E474" s="125">
        <v>0.6666666666666666</v>
      </c>
    </row>
    <row r="475">
      <c r="A475" s="26" t="s">
        <v>261</v>
      </c>
      <c r="B475" s="124">
        <v>46085.0</v>
      </c>
      <c r="C475" s="26" t="s">
        <v>5592</v>
      </c>
      <c r="D475" s="125">
        <v>0.4166666666666667</v>
      </c>
      <c r="E475" s="125">
        <v>0.75</v>
      </c>
    </row>
    <row r="476">
      <c r="A476" s="26" t="s">
        <v>265</v>
      </c>
      <c r="B476" s="124">
        <v>46085.0</v>
      </c>
      <c r="C476" s="26" t="s">
        <v>5592</v>
      </c>
      <c r="D476" s="125">
        <v>0.3333333333333333</v>
      </c>
      <c r="E476" s="125">
        <v>0.6666666666666666</v>
      </c>
    </row>
    <row r="477">
      <c r="A477" s="26" t="s">
        <v>269</v>
      </c>
      <c r="B477" s="124">
        <v>46085.0</v>
      </c>
      <c r="C477" s="26" t="s">
        <v>5592</v>
      </c>
      <c r="D477" s="125">
        <v>0.3333333333333333</v>
      </c>
      <c r="E477" s="125">
        <v>0.6666666666666666</v>
      </c>
    </row>
    <row r="478">
      <c r="A478" s="26" t="s">
        <v>276</v>
      </c>
      <c r="B478" s="124">
        <v>46085.0</v>
      </c>
      <c r="C478" s="26" t="s">
        <v>5592</v>
      </c>
      <c r="D478" s="125">
        <v>0.3333333333333333</v>
      </c>
      <c r="E478" s="125">
        <v>0.6666666666666666</v>
      </c>
    </row>
    <row r="479">
      <c r="A479" s="26" t="s">
        <v>280</v>
      </c>
      <c r="B479" s="124">
        <v>46085.0</v>
      </c>
      <c r="C479" s="26" t="s">
        <v>5592</v>
      </c>
      <c r="D479" s="125">
        <v>0.4166666666666667</v>
      </c>
      <c r="E479" s="125">
        <v>0.75</v>
      </c>
    </row>
    <row r="480">
      <c r="A480" s="26" t="s">
        <v>243</v>
      </c>
      <c r="B480" s="124">
        <v>46084.0</v>
      </c>
      <c r="C480" s="26" t="s">
        <v>5592</v>
      </c>
      <c r="D480" s="125">
        <v>0.3333333333333333</v>
      </c>
      <c r="E480" s="125">
        <v>0.6666666666666666</v>
      </c>
    </row>
    <row r="481">
      <c r="A481" s="26" t="s">
        <v>248</v>
      </c>
      <c r="B481" s="124">
        <v>46084.0</v>
      </c>
      <c r="C481" s="26" t="s">
        <v>5592</v>
      </c>
      <c r="D481" s="125">
        <v>0.3333333333333333</v>
      </c>
      <c r="E481" s="125">
        <v>0.6666666666666666</v>
      </c>
    </row>
    <row r="482">
      <c r="A482" s="26" t="s">
        <v>253</v>
      </c>
      <c r="B482" s="124">
        <v>46084.0</v>
      </c>
      <c r="C482" s="26" t="s">
        <v>5592</v>
      </c>
      <c r="D482" s="125">
        <v>0.4166666666666667</v>
      </c>
      <c r="E482" s="125">
        <v>0.75</v>
      </c>
    </row>
    <row r="483">
      <c r="A483" s="26" t="s">
        <v>258</v>
      </c>
      <c r="B483" s="124">
        <v>46084.0</v>
      </c>
      <c r="C483" s="26" t="s">
        <v>5592</v>
      </c>
      <c r="D483" s="125">
        <v>0.3333333333333333</v>
      </c>
      <c r="E483" s="125">
        <v>0.6666666666666666</v>
      </c>
    </row>
    <row r="484">
      <c r="A484" s="26" t="s">
        <v>261</v>
      </c>
      <c r="B484" s="124">
        <v>46084.0</v>
      </c>
      <c r="C484" s="26" t="s">
        <v>5592</v>
      </c>
      <c r="D484" s="125">
        <v>0.4166666666666667</v>
      </c>
      <c r="E484" s="125">
        <v>0.75</v>
      </c>
    </row>
    <row r="485">
      <c r="A485" s="26" t="s">
        <v>265</v>
      </c>
      <c r="B485" s="124">
        <v>46084.0</v>
      </c>
      <c r="C485" s="26" t="s">
        <v>5592</v>
      </c>
      <c r="D485" s="125">
        <v>0.3333333333333333</v>
      </c>
      <c r="E485" s="125">
        <v>0.6666666666666666</v>
      </c>
    </row>
    <row r="486">
      <c r="A486" s="26" t="s">
        <v>269</v>
      </c>
      <c r="B486" s="124">
        <v>46084.0</v>
      </c>
      <c r="C486" s="26" t="s">
        <v>5592</v>
      </c>
      <c r="D486" s="125">
        <v>0.3333333333333333</v>
      </c>
      <c r="E486" s="125">
        <v>0.6666666666666666</v>
      </c>
    </row>
    <row r="487">
      <c r="A487" s="26" t="s">
        <v>276</v>
      </c>
      <c r="B487" s="124">
        <v>46084.0</v>
      </c>
      <c r="C487" s="26" t="s">
        <v>5592</v>
      </c>
      <c r="D487" s="125">
        <v>0.3333333333333333</v>
      </c>
      <c r="E487" s="125">
        <v>0.6666666666666666</v>
      </c>
    </row>
    <row r="488">
      <c r="A488" s="26" t="s">
        <v>280</v>
      </c>
      <c r="B488" s="124">
        <v>46084.0</v>
      </c>
      <c r="C488" s="26" t="s">
        <v>5592</v>
      </c>
      <c r="D488" s="125">
        <v>0.4166666666666667</v>
      </c>
      <c r="E488" s="125">
        <v>0.75</v>
      </c>
    </row>
    <row r="489">
      <c r="A489" s="26" t="s">
        <v>243</v>
      </c>
      <c r="B489" s="124">
        <v>46083.0</v>
      </c>
      <c r="C489" s="26" t="s">
        <v>5592</v>
      </c>
      <c r="D489" s="125">
        <v>0.3333333333333333</v>
      </c>
      <c r="E489" s="125">
        <v>0.6666666666666666</v>
      </c>
    </row>
    <row r="490">
      <c r="A490" s="26" t="s">
        <v>248</v>
      </c>
      <c r="B490" s="124">
        <v>46083.0</v>
      </c>
      <c r="C490" s="26" t="s">
        <v>5592</v>
      </c>
      <c r="D490" s="125">
        <v>0.3333333333333333</v>
      </c>
      <c r="E490" s="125">
        <v>0.6666666666666666</v>
      </c>
    </row>
    <row r="491">
      <c r="A491" s="26" t="s">
        <v>253</v>
      </c>
      <c r="B491" s="124">
        <v>46083.0</v>
      </c>
      <c r="C491" s="26" t="s">
        <v>5592</v>
      </c>
      <c r="D491" s="125">
        <v>0.4166666666666667</v>
      </c>
      <c r="E491" s="125">
        <v>0.75</v>
      </c>
    </row>
    <row r="492">
      <c r="A492" s="26" t="s">
        <v>258</v>
      </c>
      <c r="B492" s="124">
        <v>46083.0</v>
      </c>
      <c r="C492" s="26" t="s">
        <v>5592</v>
      </c>
      <c r="D492" s="125">
        <v>0.3333333333333333</v>
      </c>
      <c r="E492" s="125">
        <v>0.6666666666666666</v>
      </c>
    </row>
    <row r="493">
      <c r="A493" s="26" t="s">
        <v>261</v>
      </c>
      <c r="B493" s="124">
        <v>46083.0</v>
      </c>
      <c r="C493" s="26" t="s">
        <v>5592</v>
      </c>
      <c r="D493" s="125">
        <v>0.4166666666666667</v>
      </c>
      <c r="E493" s="125">
        <v>0.75</v>
      </c>
    </row>
    <row r="494">
      <c r="A494" s="26" t="s">
        <v>265</v>
      </c>
      <c r="B494" s="124">
        <v>46083.0</v>
      </c>
      <c r="C494" s="26" t="s">
        <v>5592</v>
      </c>
      <c r="D494" s="125">
        <v>0.3333333333333333</v>
      </c>
      <c r="E494" s="125">
        <v>0.6666666666666666</v>
      </c>
    </row>
    <row r="495">
      <c r="A495" s="26" t="s">
        <v>269</v>
      </c>
      <c r="B495" s="124">
        <v>46083.0</v>
      </c>
      <c r="C495" s="26" t="s">
        <v>5592</v>
      </c>
      <c r="D495" s="125">
        <v>0.3333333333333333</v>
      </c>
      <c r="E495" s="125">
        <v>0.6666666666666666</v>
      </c>
    </row>
    <row r="496">
      <c r="A496" s="26" t="s">
        <v>276</v>
      </c>
      <c r="B496" s="124">
        <v>46083.0</v>
      </c>
      <c r="C496" s="26" t="s">
        <v>5592</v>
      </c>
      <c r="D496" s="125">
        <v>0.3333333333333333</v>
      </c>
      <c r="E496" s="125">
        <v>0.6666666666666666</v>
      </c>
    </row>
    <row r="497">
      <c r="A497" s="26" t="s">
        <v>280</v>
      </c>
      <c r="B497" s="124">
        <v>46083.0</v>
      </c>
      <c r="C497" s="26" t="s">
        <v>5592</v>
      </c>
      <c r="D497" s="125">
        <v>0.4166666666666667</v>
      </c>
      <c r="E497" s="125">
        <v>0.75</v>
      </c>
    </row>
    <row r="498">
      <c r="A498" s="26" t="s">
        <v>243</v>
      </c>
      <c r="B498" s="124">
        <v>46081.0</v>
      </c>
      <c r="C498" s="26" t="s">
        <v>5592</v>
      </c>
      <c r="D498" s="125">
        <v>0.3333333333333333</v>
      </c>
      <c r="E498" s="125">
        <v>0.6666666666666666</v>
      </c>
    </row>
    <row r="499">
      <c r="A499" s="26" t="s">
        <v>248</v>
      </c>
      <c r="B499" s="124">
        <v>46081.0</v>
      </c>
      <c r="C499" s="26" t="s">
        <v>5592</v>
      </c>
      <c r="D499" s="125">
        <v>0.3333333333333333</v>
      </c>
      <c r="E499" s="125">
        <v>0.6666666666666666</v>
      </c>
    </row>
    <row r="500">
      <c r="A500" s="26" t="s">
        <v>253</v>
      </c>
      <c r="B500" s="124">
        <v>46081.0</v>
      </c>
      <c r="C500" s="26" t="s">
        <v>5592</v>
      </c>
      <c r="D500" s="125">
        <v>0.4166666666666667</v>
      </c>
      <c r="E500" s="125">
        <v>0.75</v>
      </c>
    </row>
    <row r="501">
      <c r="A501" s="26" t="s">
        <v>258</v>
      </c>
      <c r="B501" s="124">
        <v>46081.0</v>
      </c>
      <c r="C501" s="26" t="s">
        <v>5592</v>
      </c>
      <c r="D501" s="125">
        <v>0.3333333333333333</v>
      </c>
      <c r="E501" s="125">
        <v>0.6666666666666666</v>
      </c>
    </row>
    <row r="502">
      <c r="A502" s="26" t="s">
        <v>261</v>
      </c>
      <c r="B502" s="124">
        <v>46081.0</v>
      </c>
      <c r="C502" s="26" t="s">
        <v>5592</v>
      </c>
      <c r="D502" s="125">
        <v>0.4166666666666667</v>
      </c>
      <c r="E502" s="125">
        <v>0.75</v>
      </c>
    </row>
    <row r="503">
      <c r="A503" s="26" t="s">
        <v>265</v>
      </c>
      <c r="B503" s="124">
        <v>46081.0</v>
      </c>
      <c r="C503" s="26" t="s">
        <v>5592</v>
      </c>
      <c r="D503" s="125">
        <v>0.3333333333333333</v>
      </c>
      <c r="E503" s="125">
        <v>0.6666666666666666</v>
      </c>
    </row>
    <row r="504">
      <c r="A504" s="26" t="s">
        <v>269</v>
      </c>
      <c r="B504" s="124">
        <v>46081.0</v>
      </c>
      <c r="C504" s="26" t="s">
        <v>5592</v>
      </c>
      <c r="D504" s="125">
        <v>0.3333333333333333</v>
      </c>
      <c r="E504" s="125">
        <v>0.6666666666666666</v>
      </c>
    </row>
    <row r="505">
      <c r="A505" s="26" t="s">
        <v>276</v>
      </c>
      <c r="B505" s="124">
        <v>46081.0</v>
      </c>
      <c r="C505" s="26" t="s">
        <v>5592</v>
      </c>
      <c r="D505" s="125">
        <v>0.3333333333333333</v>
      </c>
      <c r="E505" s="125">
        <v>0.6666666666666666</v>
      </c>
    </row>
    <row r="506">
      <c r="A506" s="26" t="s">
        <v>280</v>
      </c>
      <c r="B506" s="124">
        <v>46081.0</v>
      </c>
      <c r="C506" s="26" t="s">
        <v>5592</v>
      </c>
      <c r="D506" s="125">
        <v>0.4166666666666667</v>
      </c>
      <c r="E506" s="125">
        <v>0.75</v>
      </c>
    </row>
    <row r="507">
      <c r="A507" s="26" t="s">
        <v>243</v>
      </c>
      <c r="B507" s="124">
        <v>46080.0</v>
      </c>
      <c r="C507" s="26" t="s">
        <v>5592</v>
      </c>
      <c r="D507" s="125">
        <v>0.3333333333333333</v>
      </c>
      <c r="E507" s="125">
        <v>0.6666666666666666</v>
      </c>
    </row>
    <row r="508">
      <c r="A508" s="26" t="s">
        <v>248</v>
      </c>
      <c r="B508" s="124">
        <v>46080.0</v>
      </c>
      <c r="C508" s="26" t="s">
        <v>5592</v>
      </c>
      <c r="D508" s="125">
        <v>0.3333333333333333</v>
      </c>
      <c r="E508" s="125">
        <v>0.6666666666666666</v>
      </c>
    </row>
    <row r="509">
      <c r="A509" s="26" t="s">
        <v>253</v>
      </c>
      <c r="B509" s="124">
        <v>46080.0</v>
      </c>
      <c r="C509" s="26" t="s">
        <v>5592</v>
      </c>
      <c r="D509" s="125">
        <v>0.4166666666666667</v>
      </c>
      <c r="E509" s="125">
        <v>0.75</v>
      </c>
    </row>
    <row r="510">
      <c r="A510" s="26" t="s">
        <v>258</v>
      </c>
      <c r="B510" s="124">
        <v>46080.0</v>
      </c>
      <c r="C510" s="26" t="s">
        <v>5592</v>
      </c>
      <c r="D510" s="125">
        <v>0.3333333333333333</v>
      </c>
      <c r="E510" s="125">
        <v>0.6666666666666666</v>
      </c>
    </row>
    <row r="511">
      <c r="A511" s="26" t="s">
        <v>261</v>
      </c>
      <c r="B511" s="124">
        <v>46080.0</v>
      </c>
      <c r="C511" s="26" t="s">
        <v>5592</v>
      </c>
      <c r="D511" s="125">
        <v>0.4166666666666667</v>
      </c>
      <c r="E511" s="125">
        <v>0.75</v>
      </c>
    </row>
    <row r="512">
      <c r="A512" s="26" t="s">
        <v>265</v>
      </c>
      <c r="B512" s="124">
        <v>46080.0</v>
      </c>
      <c r="C512" s="26" t="s">
        <v>5592</v>
      </c>
      <c r="D512" s="125">
        <v>0.3333333333333333</v>
      </c>
      <c r="E512" s="125">
        <v>0.6666666666666666</v>
      </c>
    </row>
    <row r="513">
      <c r="A513" s="26" t="s">
        <v>269</v>
      </c>
      <c r="B513" s="124">
        <v>46080.0</v>
      </c>
      <c r="C513" s="26" t="s">
        <v>5592</v>
      </c>
      <c r="D513" s="125">
        <v>0.3333333333333333</v>
      </c>
      <c r="E513" s="125">
        <v>0.6666666666666666</v>
      </c>
    </row>
    <row r="514">
      <c r="A514" s="26" t="s">
        <v>276</v>
      </c>
      <c r="B514" s="124">
        <v>46080.0</v>
      </c>
      <c r="C514" s="26" t="s">
        <v>5592</v>
      </c>
      <c r="D514" s="125">
        <v>0.3333333333333333</v>
      </c>
      <c r="E514" s="125">
        <v>0.6666666666666666</v>
      </c>
    </row>
    <row r="515">
      <c r="A515" s="26" t="s">
        <v>280</v>
      </c>
      <c r="B515" s="124">
        <v>46080.0</v>
      </c>
      <c r="C515" s="26" t="s">
        <v>5592</v>
      </c>
      <c r="D515" s="125">
        <v>0.4166666666666667</v>
      </c>
      <c r="E515" s="125">
        <v>0.75</v>
      </c>
    </row>
    <row r="516">
      <c r="A516" s="26" t="s">
        <v>243</v>
      </c>
      <c r="B516" s="124">
        <v>46079.0</v>
      </c>
      <c r="C516" s="26" t="s">
        <v>5592</v>
      </c>
      <c r="D516" s="125">
        <v>0.3333333333333333</v>
      </c>
      <c r="E516" s="125">
        <v>0.6666666666666666</v>
      </c>
    </row>
    <row r="517">
      <c r="A517" s="26" t="s">
        <v>248</v>
      </c>
      <c r="B517" s="124">
        <v>46079.0</v>
      </c>
      <c r="C517" s="26" t="s">
        <v>5592</v>
      </c>
      <c r="D517" s="125">
        <v>0.3333333333333333</v>
      </c>
      <c r="E517" s="125">
        <v>0.6666666666666666</v>
      </c>
    </row>
    <row r="518">
      <c r="A518" s="26" t="s">
        <v>253</v>
      </c>
      <c r="B518" s="124">
        <v>46079.0</v>
      </c>
      <c r="C518" s="26" t="s">
        <v>5592</v>
      </c>
      <c r="D518" s="125">
        <v>0.4166666666666667</v>
      </c>
      <c r="E518" s="125">
        <v>0.75</v>
      </c>
    </row>
    <row r="519">
      <c r="A519" s="26" t="s">
        <v>258</v>
      </c>
      <c r="B519" s="124">
        <v>46079.0</v>
      </c>
      <c r="C519" s="26" t="s">
        <v>5592</v>
      </c>
      <c r="D519" s="125">
        <v>0.3333333333333333</v>
      </c>
      <c r="E519" s="125">
        <v>0.6666666666666666</v>
      </c>
    </row>
    <row r="520">
      <c r="A520" s="26" t="s">
        <v>261</v>
      </c>
      <c r="B520" s="124">
        <v>46079.0</v>
      </c>
      <c r="C520" s="26" t="s">
        <v>5592</v>
      </c>
      <c r="D520" s="125">
        <v>0.4166666666666667</v>
      </c>
      <c r="E520" s="125">
        <v>0.75</v>
      </c>
    </row>
    <row r="521">
      <c r="A521" s="26" t="s">
        <v>265</v>
      </c>
      <c r="B521" s="124">
        <v>46079.0</v>
      </c>
      <c r="C521" s="26" t="s">
        <v>5592</v>
      </c>
      <c r="D521" s="125">
        <v>0.3333333333333333</v>
      </c>
      <c r="E521" s="125">
        <v>0.6666666666666666</v>
      </c>
    </row>
    <row r="522">
      <c r="A522" s="26" t="s">
        <v>269</v>
      </c>
      <c r="B522" s="124">
        <v>46079.0</v>
      </c>
      <c r="C522" s="26" t="s">
        <v>5592</v>
      </c>
      <c r="D522" s="125">
        <v>0.3333333333333333</v>
      </c>
      <c r="E522" s="125">
        <v>0.6666666666666666</v>
      </c>
    </row>
    <row r="523">
      <c r="A523" s="26" t="s">
        <v>276</v>
      </c>
      <c r="B523" s="124">
        <v>46079.0</v>
      </c>
      <c r="C523" s="26" t="s">
        <v>5592</v>
      </c>
      <c r="D523" s="125">
        <v>0.3333333333333333</v>
      </c>
      <c r="E523" s="125">
        <v>0.6666666666666666</v>
      </c>
    </row>
    <row r="524">
      <c r="A524" s="26" t="s">
        <v>280</v>
      </c>
      <c r="B524" s="124">
        <v>46079.0</v>
      </c>
      <c r="C524" s="26" t="s">
        <v>5592</v>
      </c>
      <c r="D524" s="125">
        <v>0.4166666666666667</v>
      </c>
      <c r="E524" s="125">
        <v>0.75</v>
      </c>
    </row>
    <row r="525">
      <c r="A525" s="26" t="s">
        <v>243</v>
      </c>
      <c r="B525" s="124">
        <v>46078.0</v>
      </c>
      <c r="C525" s="26" t="s">
        <v>5592</v>
      </c>
      <c r="D525" s="125">
        <v>0.3333333333333333</v>
      </c>
      <c r="E525" s="125">
        <v>0.6666666666666666</v>
      </c>
    </row>
    <row r="526">
      <c r="A526" s="26" t="s">
        <v>248</v>
      </c>
      <c r="B526" s="124">
        <v>46078.0</v>
      </c>
      <c r="C526" s="26" t="s">
        <v>5592</v>
      </c>
      <c r="D526" s="125">
        <v>0.3333333333333333</v>
      </c>
      <c r="E526" s="125">
        <v>0.6666666666666666</v>
      </c>
    </row>
    <row r="527">
      <c r="A527" s="26" t="s">
        <v>253</v>
      </c>
      <c r="B527" s="124">
        <v>46078.0</v>
      </c>
      <c r="C527" s="26" t="s">
        <v>5592</v>
      </c>
      <c r="D527" s="125">
        <v>0.4166666666666667</v>
      </c>
      <c r="E527" s="125">
        <v>0.75</v>
      </c>
    </row>
    <row r="528">
      <c r="A528" s="26" t="s">
        <v>258</v>
      </c>
      <c r="B528" s="124">
        <v>46078.0</v>
      </c>
      <c r="C528" s="26" t="s">
        <v>5592</v>
      </c>
      <c r="D528" s="125">
        <v>0.3333333333333333</v>
      </c>
      <c r="E528" s="125">
        <v>0.6666666666666666</v>
      </c>
    </row>
    <row r="529">
      <c r="A529" s="26" t="s">
        <v>261</v>
      </c>
      <c r="B529" s="124">
        <v>46078.0</v>
      </c>
      <c r="C529" s="26" t="s">
        <v>5592</v>
      </c>
      <c r="D529" s="125">
        <v>0.4166666666666667</v>
      </c>
      <c r="E529" s="125">
        <v>0.75</v>
      </c>
    </row>
    <row r="530">
      <c r="A530" s="26" t="s">
        <v>265</v>
      </c>
      <c r="B530" s="124">
        <v>46078.0</v>
      </c>
      <c r="C530" s="26" t="s">
        <v>5592</v>
      </c>
      <c r="D530" s="125">
        <v>0.3333333333333333</v>
      </c>
      <c r="E530" s="125">
        <v>0.6666666666666666</v>
      </c>
    </row>
    <row r="531">
      <c r="A531" s="26" t="s">
        <v>269</v>
      </c>
      <c r="B531" s="124">
        <v>46078.0</v>
      </c>
      <c r="C531" s="26" t="s">
        <v>5592</v>
      </c>
      <c r="D531" s="125">
        <v>0.3333333333333333</v>
      </c>
      <c r="E531" s="125">
        <v>0.6666666666666666</v>
      </c>
    </row>
    <row r="532">
      <c r="A532" s="26" t="s">
        <v>276</v>
      </c>
      <c r="B532" s="124">
        <v>46078.0</v>
      </c>
      <c r="C532" s="26" t="s">
        <v>5592</v>
      </c>
      <c r="D532" s="125">
        <v>0.3333333333333333</v>
      </c>
      <c r="E532" s="125">
        <v>0.6666666666666666</v>
      </c>
    </row>
    <row r="533">
      <c r="A533" s="26" t="s">
        <v>280</v>
      </c>
      <c r="B533" s="124">
        <v>46078.0</v>
      </c>
      <c r="C533" s="26" t="s">
        <v>5592</v>
      </c>
      <c r="D533" s="125">
        <v>0.4166666666666667</v>
      </c>
      <c r="E533" s="125">
        <v>0.75</v>
      </c>
    </row>
    <row r="534">
      <c r="A534" s="26" t="s">
        <v>243</v>
      </c>
      <c r="B534" s="124">
        <v>46077.0</v>
      </c>
      <c r="C534" s="26" t="s">
        <v>5592</v>
      </c>
      <c r="D534" s="125">
        <v>0.3333333333333333</v>
      </c>
      <c r="E534" s="125">
        <v>0.6666666666666666</v>
      </c>
    </row>
    <row r="535">
      <c r="A535" s="26" t="s">
        <v>248</v>
      </c>
      <c r="B535" s="124">
        <v>46077.0</v>
      </c>
      <c r="C535" s="26" t="s">
        <v>5592</v>
      </c>
      <c r="D535" s="125">
        <v>0.3333333333333333</v>
      </c>
      <c r="E535" s="125">
        <v>0.6666666666666666</v>
      </c>
    </row>
    <row r="536">
      <c r="A536" s="26" t="s">
        <v>253</v>
      </c>
      <c r="B536" s="124">
        <v>46077.0</v>
      </c>
      <c r="C536" s="26" t="s">
        <v>5592</v>
      </c>
      <c r="D536" s="125">
        <v>0.4166666666666667</v>
      </c>
      <c r="E536" s="125">
        <v>0.75</v>
      </c>
    </row>
    <row r="537">
      <c r="A537" s="26" t="s">
        <v>258</v>
      </c>
      <c r="B537" s="124">
        <v>46077.0</v>
      </c>
      <c r="C537" s="26" t="s">
        <v>5592</v>
      </c>
      <c r="D537" s="125">
        <v>0.3333333333333333</v>
      </c>
      <c r="E537" s="125">
        <v>0.6666666666666666</v>
      </c>
    </row>
    <row r="538">
      <c r="A538" s="26" t="s">
        <v>261</v>
      </c>
      <c r="B538" s="124">
        <v>46077.0</v>
      </c>
      <c r="C538" s="26" t="s">
        <v>5592</v>
      </c>
      <c r="D538" s="125">
        <v>0.4166666666666667</v>
      </c>
      <c r="E538" s="125">
        <v>0.75</v>
      </c>
    </row>
    <row r="539">
      <c r="A539" s="26" t="s">
        <v>265</v>
      </c>
      <c r="B539" s="124">
        <v>46077.0</v>
      </c>
      <c r="C539" s="26" t="s">
        <v>5592</v>
      </c>
      <c r="D539" s="125">
        <v>0.3333333333333333</v>
      </c>
      <c r="E539" s="125">
        <v>0.6666666666666666</v>
      </c>
    </row>
    <row r="540">
      <c r="A540" s="26" t="s">
        <v>269</v>
      </c>
      <c r="B540" s="124">
        <v>46077.0</v>
      </c>
      <c r="C540" s="26" t="s">
        <v>5592</v>
      </c>
      <c r="D540" s="125">
        <v>0.3333333333333333</v>
      </c>
      <c r="E540" s="125">
        <v>0.6666666666666666</v>
      </c>
    </row>
    <row r="541">
      <c r="A541" s="26" t="s">
        <v>276</v>
      </c>
      <c r="B541" s="124">
        <v>46077.0</v>
      </c>
      <c r="C541" s="26" t="s">
        <v>5592</v>
      </c>
      <c r="D541" s="125">
        <v>0.3333333333333333</v>
      </c>
      <c r="E541" s="125">
        <v>0.6666666666666666</v>
      </c>
    </row>
    <row r="542">
      <c r="A542" s="26" t="s">
        <v>280</v>
      </c>
      <c r="B542" s="124">
        <v>46077.0</v>
      </c>
      <c r="C542" s="26" t="s">
        <v>5592</v>
      </c>
      <c r="D542" s="125">
        <v>0.4166666666666667</v>
      </c>
      <c r="E542" s="125">
        <v>0.75</v>
      </c>
    </row>
    <row r="543">
      <c r="A543" s="26" t="s">
        <v>243</v>
      </c>
      <c r="B543" s="124">
        <v>46076.0</v>
      </c>
      <c r="C543" s="26" t="s">
        <v>5592</v>
      </c>
      <c r="D543" s="125">
        <v>0.3333333333333333</v>
      </c>
      <c r="E543" s="125">
        <v>0.6666666666666666</v>
      </c>
    </row>
    <row r="544">
      <c r="A544" s="26" t="s">
        <v>248</v>
      </c>
      <c r="B544" s="124">
        <v>46076.0</v>
      </c>
      <c r="C544" s="26" t="s">
        <v>5592</v>
      </c>
      <c r="D544" s="125">
        <v>0.3333333333333333</v>
      </c>
      <c r="E544" s="125">
        <v>0.6666666666666666</v>
      </c>
    </row>
    <row r="545">
      <c r="A545" s="26" t="s">
        <v>253</v>
      </c>
      <c r="B545" s="124">
        <v>46076.0</v>
      </c>
      <c r="C545" s="26" t="s">
        <v>5592</v>
      </c>
      <c r="D545" s="125">
        <v>0.4166666666666667</v>
      </c>
      <c r="E545" s="125">
        <v>0.75</v>
      </c>
    </row>
    <row r="546">
      <c r="A546" s="26" t="s">
        <v>258</v>
      </c>
      <c r="B546" s="124">
        <v>46076.0</v>
      </c>
      <c r="C546" s="26" t="s">
        <v>5592</v>
      </c>
      <c r="D546" s="125">
        <v>0.3333333333333333</v>
      </c>
      <c r="E546" s="125">
        <v>0.6666666666666666</v>
      </c>
    </row>
    <row r="547">
      <c r="A547" s="26" t="s">
        <v>261</v>
      </c>
      <c r="B547" s="124">
        <v>46076.0</v>
      </c>
      <c r="C547" s="26" t="s">
        <v>5592</v>
      </c>
      <c r="D547" s="125">
        <v>0.4166666666666667</v>
      </c>
      <c r="E547" s="125">
        <v>0.75</v>
      </c>
    </row>
    <row r="548">
      <c r="A548" s="26" t="s">
        <v>265</v>
      </c>
      <c r="B548" s="124">
        <v>46076.0</v>
      </c>
      <c r="C548" s="26" t="s">
        <v>5592</v>
      </c>
      <c r="D548" s="125">
        <v>0.3333333333333333</v>
      </c>
      <c r="E548" s="125">
        <v>0.6666666666666666</v>
      </c>
    </row>
    <row r="549">
      <c r="A549" s="26" t="s">
        <v>269</v>
      </c>
      <c r="B549" s="124">
        <v>46076.0</v>
      </c>
      <c r="C549" s="26" t="s">
        <v>5592</v>
      </c>
      <c r="D549" s="125">
        <v>0.3333333333333333</v>
      </c>
      <c r="E549" s="125">
        <v>0.6666666666666666</v>
      </c>
    </row>
    <row r="550">
      <c r="A550" s="26" t="s">
        <v>276</v>
      </c>
      <c r="B550" s="124">
        <v>46076.0</v>
      </c>
      <c r="C550" s="26" t="s">
        <v>5592</v>
      </c>
      <c r="D550" s="125">
        <v>0.3333333333333333</v>
      </c>
      <c r="E550" s="125">
        <v>0.6666666666666666</v>
      </c>
    </row>
    <row r="551">
      <c r="A551" s="26" t="s">
        <v>280</v>
      </c>
      <c r="B551" s="124">
        <v>46076.0</v>
      </c>
      <c r="C551" s="26" t="s">
        <v>5592</v>
      </c>
      <c r="D551" s="125">
        <v>0.4166666666666667</v>
      </c>
      <c r="E551" s="125">
        <v>0.75</v>
      </c>
    </row>
    <row r="552">
      <c r="A552" s="26" t="s">
        <v>243</v>
      </c>
      <c r="B552" s="124">
        <v>46069.0</v>
      </c>
      <c r="C552" s="26" t="s">
        <v>5592</v>
      </c>
      <c r="D552" s="125">
        <v>0.3333333333333333</v>
      </c>
      <c r="E552" s="125">
        <v>0.6666666666666666</v>
      </c>
    </row>
    <row r="553">
      <c r="A553" s="26" t="s">
        <v>248</v>
      </c>
      <c r="B553" s="124">
        <v>46069.0</v>
      </c>
      <c r="C553" s="26" t="s">
        <v>5592</v>
      </c>
      <c r="D553" s="125">
        <v>0.3333333333333333</v>
      </c>
      <c r="E553" s="125">
        <v>0.6666666666666666</v>
      </c>
    </row>
    <row r="554">
      <c r="A554" s="26" t="s">
        <v>253</v>
      </c>
      <c r="B554" s="124">
        <v>46069.0</v>
      </c>
      <c r="C554" s="26" t="s">
        <v>5592</v>
      </c>
      <c r="D554" s="125">
        <v>0.4166666666666667</v>
      </c>
      <c r="E554" s="125">
        <v>0.75</v>
      </c>
    </row>
    <row r="555">
      <c r="A555" s="26" t="s">
        <v>258</v>
      </c>
      <c r="B555" s="124">
        <v>46069.0</v>
      </c>
      <c r="C555" s="26" t="s">
        <v>5592</v>
      </c>
      <c r="D555" s="125">
        <v>0.3333333333333333</v>
      </c>
      <c r="E555" s="125">
        <v>0.6666666666666666</v>
      </c>
    </row>
    <row r="556">
      <c r="A556" s="26" t="s">
        <v>261</v>
      </c>
      <c r="B556" s="124">
        <v>46069.0</v>
      </c>
      <c r="C556" s="26" t="s">
        <v>5592</v>
      </c>
      <c r="D556" s="125">
        <v>0.4166666666666667</v>
      </c>
      <c r="E556" s="125">
        <v>0.75</v>
      </c>
    </row>
    <row r="557">
      <c r="A557" s="26" t="s">
        <v>265</v>
      </c>
      <c r="B557" s="124">
        <v>46069.0</v>
      </c>
      <c r="C557" s="26" t="s">
        <v>5592</v>
      </c>
      <c r="D557" s="125">
        <v>0.3333333333333333</v>
      </c>
      <c r="E557" s="125">
        <v>0.6666666666666666</v>
      </c>
    </row>
    <row r="558">
      <c r="A558" s="26" t="s">
        <v>269</v>
      </c>
      <c r="B558" s="124">
        <v>46069.0</v>
      </c>
      <c r="C558" s="26" t="s">
        <v>5592</v>
      </c>
      <c r="D558" s="125">
        <v>0.3333333333333333</v>
      </c>
      <c r="E558" s="125">
        <v>0.6666666666666666</v>
      </c>
    </row>
    <row r="559">
      <c r="A559" s="26" t="s">
        <v>276</v>
      </c>
      <c r="B559" s="124">
        <v>46069.0</v>
      </c>
      <c r="C559" s="26" t="s">
        <v>5592</v>
      </c>
      <c r="D559" s="125">
        <v>0.3333333333333333</v>
      </c>
      <c r="E559" s="125">
        <v>0.6666666666666666</v>
      </c>
    </row>
    <row r="560">
      <c r="A560" s="26" t="s">
        <v>280</v>
      </c>
      <c r="B560" s="124">
        <v>46069.0</v>
      </c>
      <c r="C560" s="26" t="s">
        <v>5592</v>
      </c>
      <c r="D560" s="125">
        <v>0.4166666666666667</v>
      </c>
      <c r="E560" s="125">
        <v>0.75</v>
      </c>
    </row>
    <row r="561">
      <c r="A561" s="26" t="s">
        <v>243</v>
      </c>
      <c r="B561" s="124">
        <v>46067.0</v>
      </c>
      <c r="C561" s="26" t="s">
        <v>5592</v>
      </c>
      <c r="D561" s="125">
        <v>0.3333333333333333</v>
      </c>
      <c r="E561" s="125">
        <v>0.6666666666666666</v>
      </c>
    </row>
    <row r="562">
      <c r="A562" s="26" t="s">
        <v>248</v>
      </c>
      <c r="B562" s="124">
        <v>46067.0</v>
      </c>
      <c r="C562" s="26" t="s">
        <v>5592</v>
      </c>
      <c r="D562" s="125">
        <v>0.3333333333333333</v>
      </c>
      <c r="E562" s="125">
        <v>0.6666666666666666</v>
      </c>
    </row>
    <row r="563">
      <c r="A563" s="26" t="s">
        <v>253</v>
      </c>
      <c r="B563" s="124">
        <v>46067.0</v>
      </c>
      <c r="C563" s="26" t="s">
        <v>5592</v>
      </c>
      <c r="D563" s="125">
        <v>0.4166666666666667</v>
      </c>
      <c r="E563" s="125">
        <v>0.75</v>
      </c>
    </row>
    <row r="564">
      <c r="A564" s="26" t="s">
        <v>258</v>
      </c>
      <c r="B564" s="124">
        <v>46067.0</v>
      </c>
      <c r="C564" s="26" t="s">
        <v>5592</v>
      </c>
      <c r="D564" s="125">
        <v>0.3333333333333333</v>
      </c>
      <c r="E564" s="125">
        <v>0.6666666666666666</v>
      </c>
    </row>
    <row r="565">
      <c r="A565" s="26" t="s">
        <v>261</v>
      </c>
      <c r="B565" s="124">
        <v>46067.0</v>
      </c>
      <c r="C565" s="26" t="s">
        <v>5592</v>
      </c>
      <c r="D565" s="125">
        <v>0.4166666666666667</v>
      </c>
      <c r="E565" s="125">
        <v>0.75</v>
      </c>
    </row>
    <row r="566">
      <c r="A566" s="26" t="s">
        <v>265</v>
      </c>
      <c r="B566" s="124">
        <v>46067.0</v>
      </c>
      <c r="C566" s="26" t="s">
        <v>5592</v>
      </c>
      <c r="D566" s="125">
        <v>0.3333333333333333</v>
      </c>
      <c r="E566" s="125">
        <v>0.6666666666666666</v>
      </c>
    </row>
    <row r="567">
      <c r="A567" s="26" t="s">
        <v>269</v>
      </c>
      <c r="B567" s="124">
        <v>46067.0</v>
      </c>
      <c r="C567" s="26" t="s">
        <v>5592</v>
      </c>
      <c r="D567" s="125">
        <v>0.3333333333333333</v>
      </c>
      <c r="E567" s="125">
        <v>0.6666666666666666</v>
      </c>
    </row>
    <row r="568">
      <c r="A568" s="26" t="s">
        <v>276</v>
      </c>
      <c r="B568" s="124">
        <v>46067.0</v>
      </c>
      <c r="C568" s="26" t="s">
        <v>5592</v>
      </c>
      <c r="D568" s="125">
        <v>0.3333333333333333</v>
      </c>
      <c r="E568" s="125">
        <v>0.6666666666666666</v>
      </c>
    </row>
    <row r="569">
      <c r="A569" s="26" t="s">
        <v>280</v>
      </c>
      <c r="B569" s="124">
        <v>46067.0</v>
      </c>
      <c r="C569" s="26" t="s">
        <v>5592</v>
      </c>
      <c r="D569" s="125">
        <v>0.4166666666666667</v>
      </c>
      <c r="E569" s="125">
        <v>0.75</v>
      </c>
    </row>
    <row r="570">
      <c r="A570" s="26" t="s">
        <v>243</v>
      </c>
      <c r="B570" s="124">
        <v>46066.0</v>
      </c>
      <c r="C570" s="26" t="s">
        <v>5592</v>
      </c>
      <c r="D570" s="125">
        <v>0.3333333333333333</v>
      </c>
      <c r="E570" s="125">
        <v>0.6666666666666666</v>
      </c>
    </row>
    <row r="571">
      <c r="A571" s="26" t="s">
        <v>248</v>
      </c>
      <c r="B571" s="124">
        <v>46066.0</v>
      </c>
      <c r="C571" s="26" t="s">
        <v>5592</v>
      </c>
      <c r="D571" s="125">
        <v>0.3333333333333333</v>
      </c>
      <c r="E571" s="125">
        <v>0.6666666666666666</v>
      </c>
    </row>
    <row r="572">
      <c r="A572" s="26" t="s">
        <v>253</v>
      </c>
      <c r="B572" s="124">
        <v>46066.0</v>
      </c>
      <c r="C572" s="26" t="s">
        <v>5592</v>
      </c>
      <c r="D572" s="125">
        <v>0.4166666666666667</v>
      </c>
      <c r="E572" s="125">
        <v>0.75</v>
      </c>
    </row>
    <row r="573">
      <c r="A573" s="26" t="s">
        <v>258</v>
      </c>
      <c r="B573" s="124">
        <v>46066.0</v>
      </c>
      <c r="C573" s="26" t="s">
        <v>5592</v>
      </c>
      <c r="D573" s="125">
        <v>0.3333333333333333</v>
      </c>
      <c r="E573" s="125">
        <v>0.6666666666666666</v>
      </c>
    </row>
    <row r="574">
      <c r="A574" s="26" t="s">
        <v>261</v>
      </c>
      <c r="B574" s="124">
        <v>46066.0</v>
      </c>
      <c r="C574" s="26" t="s">
        <v>5592</v>
      </c>
      <c r="D574" s="125">
        <v>0.4166666666666667</v>
      </c>
      <c r="E574" s="125">
        <v>0.75</v>
      </c>
    </row>
    <row r="575">
      <c r="A575" s="26" t="s">
        <v>265</v>
      </c>
      <c r="B575" s="124">
        <v>46066.0</v>
      </c>
      <c r="C575" s="26" t="s">
        <v>5592</v>
      </c>
      <c r="D575" s="125">
        <v>0.3333333333333333</v>
      </c>
      <c r="E575" s="125">
        <v>0.6666666666666666</v>
      </c>
    </row>
    <row r="576">
      <c r="A576" s="26" t="s">
        <v>269</v>
      </c>
      <c r="B576" s="124">
        <v>46066.0</v>
      </c>
      <c r="C576" s="26" t="s">
        <v>5592</v>
      </c>
      <c r="D576" s="125">
        <v>0.3333333333333333</v>
      </c>
      <c r="E576" s="125">
        <v>0.6666666666666666</v>
      </c>
    </row>
    <row r="577">
      <c r="A577" s="26" t="s">
        <v>276</v>
      </c>
      <c r="B577" s="124">
        <v>46066.0</v>
      </c>
      <c r="C577" s="26" t="s">
        <v>5592</v>
      </c>
      <c r="D577" s="125">
        <v>0.3333333333333333</v>
      </c>
      <c r="E577" s="125">
        <v>0.6666666666666666</v>
      </c>
    </row>
    <row r="578">
      <c r="A578" s="26" t="s">
        <v>280</v>
      </c>
      <c r="B578" s="124">
        <v>46066.0</v>
      </c>
      <c r="C578" s="26" t="s">
        <v>5592</v>
      </c>
      <c r="D578" s="125">
        <v>0.4166666666666667</v>
      </c>
      <c r="E578" s="125">
        <v>0.75</v>
      </c>
    </row>
    <row r="579">
      <c r="A579" s="26" t="s">
        <v>243</v>
      </c>
      <c r="B579" s="124">
        <v>46065.0</v>
      </c>
      <c r="C579" s="26" t="s">
        <v>5592</v>
      </c>
      <c r="D579" s="125">
        <v>0.3333333333333333</v>
      </c>
      <c r="E579" s="125">
        <v>0.6666666666666666</v>
      </c>
    </row>
    <row r="580">
      <c r="A580" s="26" t="s">
        <v>248</v>
      </c>
      <c r="B580" s="124">
        <v>46065.0</v>
      </c>
      <c r="C580" s="26" t="s">
        <v>5592</v>
      </c>
      <c r="D580" s="125">
        <v>0.3333333333333333</v>
      </c>
      <c r="E580" s="125">
        <v>0.6666666666666666</v>
      </c>
    </row>
    <row r="581">
      <c r="A581" s="26" t="s">
        <v>253</v>
      </c>
      <c r="B581" s="124">
        <v>46065.0</v>
      </c>
      <c r="C581" s="26" t="s">
        <v>5592</v>
      </c>
      <c r="D581" s="125">
        <v>0.4166666666666667</v>
      </c>
      <c r="E581" s="125">
        <v>0.75</v>
      </c>
    </row>
    <row r="582">
      <c r="A582" s="26" t="s">
        <v>258</v>
      </c>
      <c r="B582" s="124">
        <v>46065.0</v>
      </c>
      <c r="C582" s="26" t="s">
        <v>5592</v>
      </c>
      <c r="D582" s="125">
        <v>0.3333333333333333</v>
      </c>
      <c r="E582" s="125">
        <v>0.6666666666666666</v>
      </c>
    </row>
    <row r="583">
      <c r="A583" s="26" t="s">
        <v>261</v>
      </c>
      <c r="B583" s="124">
        <v>46065.0</v>
      </c>
      <c r="C583" s="26" t="s">
        <v>5592</v>
      </c>
      <c r="D583" s="125">
        <v>0.4166666666666667</v>
      </c>
      <c r="E583" s="125">
        <v>0.75</v>
      </c>
    </row>
    <row r="584">
      <c r="A584" s="26" t="s">
        <v>265</v>
      </c>
      <c r="B584" s="124">
        <v>46065.0</v>
      </c>
      <c r="C584" s="26" t="s">
        <v>5592</v>
      </c>
      <c r="D584" s="125">
        <v>0.3333333333333333</v>
      </c>
      <c r="E584" s="125">
        <v>0.6666666666666666</v>
      </c>
    </row>
    <row r="585">
      <c r="A585" s="26" t="s">
        <v>269</v>
      </c>
      <c r="B585" s="124">
        <v>46065.0</v>
      </c>
      <c r="C585" s="26" t="s">
        <v>5592</v>
      </c>
      <c r="D585" s="125">
        <v>0.3333333333333333</v>
      </c>
      <c r="E585" s="125">
        <v>0.6666666666666666</v>
      </c>
    </row>
    <row r="586">
      <c r="A586" s="26" t="s">
        <v>276</v>
      </c>
      <c r="B586" s="124">
        <v>46065.0</v>
      </c>
      <c r="C586" s="26" t="s">
        <v>5592</v>
      </c>
      <c r="D586" s="125">
        <v>0.3333333333333333</v>
      </c>
      <c r="E586" s="125">
        <v>0.6666666666666666</v>
      </c>
    </row>
    <row r="587">
      <c r="A587" s="26" t="s">
        <v>280</v>
      </c>
      <c r="B587" s="124">
        <v>46065.0</v>
      </c>
      <c r="C587" s="26" t="s">
        <v>5592</v>
      </c>
      <c r="D587" s="125">
        <v>0.4166666666666667</v>
      </c>
      <c r="E587" s="125">
        <v>0.75</v>
      </c>
    </row>
    <row r="588">
      <c r="A588" s="26" t="s">
        <v>243</v>
      </c>
      <c r="B588" s="124">
        <v>46064.0</v>
      </c>
      <c r="C588" s="26" t="s">
        <v>5592</v>
      </c>
      <c r="D588" s="125">
        <v>0.3333333333333333</v>
      </c>
      <c r="E588" s="125">
        <v>0.6666666666666666</v>
      </c>
    </row>
    <row r="589">
      <c r="A589" s="26" t="s">
        <v>248</v>
      </c>
      <c r="B589" s="124">
        <v>46064.0</v>
      </c>
      <c r="C589" s="26" t="s">
        <v>5592</v>
      </c>
      <c r="D589" s="125">
        <v>0.3333333333333333</v>
      </c>
      <c r="E589" s="125">
        <v>0.6666666666666666</v>
      </c>
    </row>
    <row r="590">
      <c r="A590" s="26" t="s">
        <v>253</v>
      </c>
      <c r="B590" s="124">
        <v>46064.0</v>
      </c>
      <c r="C590" s="26" t="s">
        <v>5592</v>
      </c>
      <c r="D590" s="125">
        <v>0.4166666666666667</v>
      </c>
      <c r="E590" s="125">
        <v>0.75</v>
      </c>
    </row>
    <row r="591">
      <c r="A591" s="26" t="s">
        <v>258</v>
      </c>
      <c r="B591" s="124">
        <v>46064.0</v>
      </c>
      <c r="C591" s="26" t="s">
        <v>5592</v>
      </c>
      <c r="D591" s="125">
        <v>0.3333333333333333</v>
      </c>
      <c r="E591" s="125">
        <v>0.6666666666666666</v>
      </c>
    </row>
    <row r="592">
      <c r="A592" s="26" t="s">
        <v>261</v>
      </c>
      <c r="B592" s="124">
        <v>46064.0</v>
      </c>
      <c r="C592" s="26" t="s">
        <v>5592</v>
      </c>
      <c r="D592" s="125">
        <v>0.4166666666666667</v>
      </c>
      <c r="E592" s="125">
        <v>0.75</v>
      </c>
    </row>
    <row r="593">
      <c r="A593" s="26" t="s">
        <v>265</v>
      </c>
      <c r="B593" s="124">
        <v>46064.0</v>
      </c>
      <c r="C593" s="26" t="s">
        <v>5592</v>
      </c>
      <c r="D593" s="125">
        <v>0.3333333333333333</v>
      </c>
      <c r="E593" s="125">
        <v>0.6666666666666666</v>
      </c>
    </row>
    <row r="594">
      <c r="A594" s="26" t="s">
        <v>269</v>
      </c>
      <c r="B594" s="124">
        <v>46064.0</v>
      </c>
      <c r="C594" s="26" t="s">
        <v>5592</v>
      </c>
      <c r="D594" s="125">
        <v>0.3333333333333333</v>
      </c>
      <c r="E594" s="125">
        <v>0.6666666666666666</v>
      </c>
    </row>
    <row r="595">
      <c r="A595" s="26" t="s">
        <v>276</v>
      </c>
      <c r="B595" s="124">
        <v>46064.0</v>
      </c>
      <c r="C595" s="26" t="s">
        <v>5592</v>
      </c>
      <c r="D595" s="125">
        <v>0.3333333333333333</v>
      </c>
      <c r="E595" s="125">
        <v>0.6666666666666666</v>
      </c>
    </row>
    <row r="596">
      <c r="A596" s="26" t="s">
        <v>280</v>
      </c>
      <c r="B596" s="124">
        <v>46064.0</v>
      </c>
      <c r="C596" s="26" t="s">
        <v>5592</v>
      </c>
      <c r="D596" s="125">
        <v>0.4166666666666667</v>
      </c>
      <c r="E596" s="125">
        <v>0.75</v>
      </c>
    </row>
    <row r="597">
      <c r="A597" s="26" t="s">
        <v>243</v>
      </c>
      <c r="B597" s="124">
        <v>46063.0</v>
      </c>
      <c r="C597" s="26" t="s">
        <v>5592</v>
      </c>
      <c r="D597" s="125">
        <v>0.3333333333333333</v>
      </c>
      <c r="E597" s="125">
        <v>0.6666666666666666</v>
      </c>
    </row>
    <row r="598">
      <c r="A598" s="26" t="s">
        <v>248</v>
      </c>
      <c r="B598" s="124">
        <v>46063.0</v>
      </c>
      <c r="C598" s="26" t="s">
        <v>5592</v>
      </c>
      <c r="D598" s="125">
        <v>0.3333333333333333</v>
      </c>
      <c r="E598" s="125">
        <v>0.6666666666666666</v>
      </c>
    </row>
    <row r="599">
      <c r="A599" s="26" t="s">
        <v>253</v>
      </c>
      <c r="B599" s="124">
        <v>46063.0</v>
      </c>
      <c r="C599" s="26" t="s">
        <v>5592</v>
      </c>
      <c r="D599" s="125">
        <v>0.4166666666666667</v>
      </c>
      <c r="E599" s="125">
        <v>0.75</v>
      </c>
    </row>
    <row r="600">
      <c r="A600" s="26" t="s">
        <v>258</v>
      </c>
      <c r="B600" s="124">
        <v>46063.0</v>
      </c>
      <c r="C600" s="26" t="s">
        <v>5592</v>
      </c>
      <c r="D600" s="125">
        <v>0.3333333333333333</v>
      </c>
      <c r="E600" s="125">
        <v>0.6666666666666666</v>
      </c>
    </row>
    <row r="601">
      <c r="A601" s="26" t="s">
        <v>261</v>
      </c>
      <c r="B601" s="124">
        <v>46063.0</v>
      </c>
      <c r="C601" s="26" t="s">
        <v>5592</v>
      </c>
      <c r="D601" s="125">
        <v>0.4166666666666667</v>
      </c>
      <c r="E601" s="125">
        <v>0.75</v>
      </c>
    </row>
    <row r="602">
      <c r="A602" s="26" t="s">
        <v>265</v>
      </c>
      <c r="B602" s="124">
        <v>46063.0</v>
      </c>
      <c r="C602" s="26" t="s">
        <v>5592</v>
      </c>
      <c r="D602" s="125">
        <v>0.3333333333333333</v>
      </c>
      <c r="E602" s="125">
        <v>0.6666666666666666</v>
      </c>
    </row>
    <row r="603">
      <c r="A603" s="26" t="s">
        <v>269</v>
      </c>
      <c r="B603" s="124">
        <v>46063.0</v>
      </c>
      <c r="C603" s="26" t="s">
        <v>5592</v>
      </c>
      <c r="D603" s="125">
        <v>0.3333333333333333</v>
      </c>
      <c r="E603" s="125">
        <v>0.6666666666666666</v>
      </c>
    </row>
    <row r="604">
      <c r="A604" s="26" t="s">
        <v>276</v>
      </c>
      <c r="B604" s="124">
        <v>46063.0</v>
      </c>
      <c r="C604" s="26" t="s">
        <v>5592</v>
      </c>
      <c r="D604" s="125">
        <v>0.3333333333333333</v>
      </c>
      <c r="E604" s="125">
        <v>0.6666666666666666</v>
      </c>
    </row>
    <row r="605">
      <c r="A605" s="26" t="s">
        <v>280</v>
      </c>
      <c r="B605" s="124">
        <v>46063.0</v>
      </c>
      <c r="C605" s="26" t="s">
        <v>5592</v>
      </c>
      <c r="D605" s="125">
        <v>0.4166666666666667</v>
      </c>
      <c r="E605" s="125">
        <v>0.75</v>
      </c>
    </row>
    <row r="606">
      <c r="A606" s="26" t="s">
        <v>243</v>
      </c>
      <c r="B606" s="124">
        <v>46062.0</v>
      </c>
      <c r="C606" s="26" t="s">
        <v>5592</v>
      </c>
      <c r="D606" s="125">
        <v>0.3333333333333333</v>
      </c>
      <c r="E606" s="125">
        <v>0.6666666666666666</v>
      </c>
    </row>
    <row r="607">
      <c r="A607" s="26" t="s">
        <v>248</v>
      </c>
      <c r="B607" s="124">
        <v>46062.0</v>
      </c>
      <c r="C607" s="26" t="s">
        <v>5592</v>
      </c>
      <c r="D607" s="125">
        <v>0.3333333333333333</v>
      </c>
      <c r="E607" s="125">
        <v>0.6666666666666666</v>
      </c>
    </row>
    <row r="608">
      <c r="A608" s="26" t="s">
        <v>253</v>
      </c>
      <c r="B608" s="124">
        <v>46062.0</v>
      </c>
      <c r="C608" s="26" t="s">
        <v>5592</v>
      </c>
      <c r="D608" s="125">
        <v>0.4166666666666667</v>
      </c>
      <c r="E608" s="125">
        <v>0.75</v>
      </c>
    </row>
    <row r="609">
      <c r="A609" s="26" t="s">
        <v>258</v>
      </c>
      <c r="B609" s="124">
        <v>46062.0</v>
      </c>
      <c r="C609" s="26" t="s">
        <v>5592</v>
      </c>
      <c r="D609" s="125">
        <v>0.3333333333333333</v>
      </c>
      <c r="E609" s="125">
        <v>0.6666666666666666</v>
      </c>
    </row>
    <row r="610">
      <c r="A610" s="26" t="s">
        <v>261</v>
      </c>
      <c r="B610" s="124">
        <v>46062.0</v>
      </c>
      <c r="C610" s="26" t="s">
        <v>5592</v>
      </c>
      <c r="D610" s="125">
        <v>0.4166666666666667</v>
      </c>
      <c r="E610" s="125">
        <v>0.75</v>
      </c>
    </row>
    <row r="611">
      <c r="A611" s="26" t="s">
        <v>265</v>
      </c>
      <c r="B611" s="124">
        <v>46062.0</v>
      </c>
      <c r="C611" s="26" t="s">
        <v>5592</v>
      </c>
      <c r="D611" s="125">
        <v>0.3333333333333333</v>
      </c>
      <c r="E611" s="125">
        <v>0.6666666666666666</v>
      </c>
    </row>
    <row r="612">
      <c r="A612" s="26" t="s">
        <v>269</v>
      </c>
      <c r="B612" s="124">
        <v>46062.0</v>
      </c>
      <c r="C612" s="26" t="s">
        <v>5592</v>
      </c>
      <c r="D612" s="125">
        <v>0.3333333333333333</v>
      </c>
      <c r="E612" s="125">
        <v>0.6666666666666666</v>
      </c>
    </row>
    <row r="613">
      <c r="A613" s="26" t="s">
        <v>276</v>
      </c>
      <c r="B613" s="124">
        <v>46062.0</v>
      </c>
      <c r="C613" s="26" t="s">
        <v>5592</v>
      </c>
      <c r="D613" s="125">
        <v>0.3333333333333333</v>
      </c>
      <c r="E613" s="125">
        <v>0.6666666666666666</v>
      </c>
    </row>
    <row r="614">
      <c r="A614" s="26" t="s">
        <v>280</v>
      </c>
      <c r="B614" s="124">
        <v>46062.0</v>
      </c>
      <c r="C614" s="26" t="s">
        <v>5592</v>
      </c>
      <c r="D614" s="125">
        <v>0.4166666666666667</v>
      </c>
      <c r="E614" s="125">
        <v>0.75</v>
      </c>
    </row>
    <row r="615">
      <c r="A615" s="26" t="s">
        <v>243</v>
      </c>
      <c r="B615" s="124">
        <v>46060.0</v>
      </c>
      <c r="C615" s="26" t="s">
        <v>5592</v>
      </c>
      <c r="D615" s="125">
        <v>0.3333333333333333</v>
      </c>
      <c r="E615" s="125">
        <v>0.6666666666666666</v>
      </c>
    </row>
    <row r="616">
      <c r="A616" s="26" t="s">
        <v>248</v>
      </c>
      <c r="B616" s="124">
        <v>46060.0</v>
      </c>
      <c r="C616" s="26" t="s">
        <v>5592</v>
      </c>
      <c r="D616" s="125">
        <v>0.3333333333333333</v>
      </c>
      <c r="E616" s="125">
        <v>0.6666666666666666</v>
      </c>
    </row>
    <row r="617">
      <c r="A617" s="26" t="s">
        <v>253</v>
      </c>
      <c r="B617" s="124">
        <v>46060.0</v>
      </c>
      <c r="C617" s="26" t="s">
        <v>5592</v>
      </c>
      <c r="D617" s="125">
        <v>0.4166666666666667</v>
      </c>
      <c r="E617" s="125">
        <v>0.75</v>
      </c>
    </row>
    <row r="618">
      <c r="A618" s="26" t="s">
        <v>258</v>
      </c>
      <c r="B618" s="124">
        <v>46060.0</v>
      </c>
      <c r="C618" s="26" t="s">
        <v>5592</v>
      </c>
      <c r="D618" s="125">
        <v>0.3333333333333333</v>
      </c>
      <c r="E618" s="125">
        <v>0.6666666666666666</v>
      </c>
    </row>
    <row r="619">
      <c r="A619" s="26" t="s">
        <v>261</v>
      </c>
      <c r="B619" s="124">
        <v>46060.0</v>
      </c>
      <c r="C619" s="26" t="s">
        <v>5592</v>
      </c>
      <c r="D619" s="125">
        <v>0.4166666666666667</v>
      </c>
      <c r="E619" s="125">
        <v>0.75</v>
      </c>
    </row>
    <row r="620">
      <c r="A620" s="26" t="s">
        <v>265</v>
      </c>
      <c r="B620" s="124">
        <v>46060.0</v>
      </c>
      <c r="C620" s="26" t="s">
        <v>5592</v>
      </c>
      <c r="D620" s="125">
        <v>0.3333333333333333</v>
      </c>
      <c r="E620" s="125">
        <v>0.6666666666666666</v>
      </c>
    </row>
    <row r="621">
      <c r="A621" s="26" t="s">
        <v>269</v>
      </c>
      <c r="B621" s="124">
        <v>46060.0</v>
      </c>
      <c r="C621" s="26" t="s">
        <v>5592</v>
      </c>
      <c r="D621" s="125">
        <v>0.3333333333333333</v>
      </c>
      <c r="E621" s="125">
        <v>0.6666666666666666</v>
      </c>
    </row>
    <row r="622">
      <c r="A622" s="26" t="s">
        <v>276</v>
      </c>
      <c r="B622" s="124">
        <v>46060.0</v>
      </c>
      <c r="C622" s="26" t="s">
        <v>5592</v>
      </c>
      <c r="D622" s="125">
        <v>0.3333333333333333</v>
      </c>
      <c r="E622" s="125">
        <v>0.6666666666666666</v>
      </c>
    </row>
    <row r="623">
      <c r="A623" s="26" t="s">
        <v>280</v>
      </c>
      <c r="B623" s="124">
        <v>46060.0</v>
      </c>
      <c r="C623" s="26" t="s">
        <v>5592</v>
      </c>
      <c r="D623" s="125">
        <v>0.4166666666666667</v>
      </c>
      <c r="E623" s="125">
        <v>0.75</v>
      </c>
    </row>
    <row r="624">
      <c r="A624" s="26" t="s">
        <v>243</v>
      </c>
      <c r="B624" s="124">
        <v>46059.0</v>
      </c>
      <c r="C624" s="26" t="s">
        <v>5592</v>
      </c>
      <c r="D624" s="125">
        <v>0.3333333333333333</v>
      </c>
      <c r="E624" s="125">
        <v>0.6666666666666666</v>
      </c>
    </row>
    <row r="625">
      <c r="A625" s="26" t="s">
        <v>248</v>
      </c>
      <c r="B625" s="124">
        <v>46059.0</v>
      </c>
      <c r="C625" s="26" t="s">
        <v>5592</v>
      </c>
      <c r="D625" s="125">
        <v>0.3333333333333333</v>
      </c>
      <c r="E625" s="125">
        <v>0.6666666666666666</v>
      </c>
    </row>
    <row r="626">
      <c r="A626" s="26" t="s">
        <v>253</v>
      </c>
      <c r="B626" s="124">
        <v>46059.0</v>
      </c>
      <c r="C626" s="26" t="s">
        <v>5592</v>
      </c>
      <c r="D626" s="125">
        <v>0.4166666666666667</v>
      </c>
      <c r="E626" s="125">
        <v>0.75</v>
      </c>
    </row>
    <row r="627">
      <c r="A627" s="26" t="s">
        <v>258</v>
      </c>
      <c r="B627" s="124">
        <v>46059.0</v>
      </c>
      <c r="C627" s="26" t="s">
        <v>5592</v>
      </c>
      <c r="D627" s="125">
        <v>0.3333333333333333</v>
      </c>
      <c r="E627" s="125">
        <v>0.6666666666666666</v>
      </c>
    </row>
    <row r="628">
      <c r="A628" s="26" t="s">
        <v>261</v>
      </c>
      <c r="B628" s="124">
        <v>46059.0</v>
      </c>
      <c r="C628" s="26" t="s">
        <v>5592</v>
      </c>
      <c r="D628" s="125">
        <v>0.4166666666666667</v>
      </c>
      <c r="E628" s="125">
        <v>0.75</v>
      </c>
    </row>
    <row r="629">
      <c r="A629" s="26" t="s">
        <v>265</v>
      </c>
      <c r="B629" s="124">
        <v>46059.0</v>
      </c>
      <c r="C629" s="26" t="s">
        <v>5592</v>
      </c>
      <c r="D629" s="125">
        <v>0.3333333333333333</v>
      </c>
      <c r="E629" s="125">
        <v>0.6666666666666666</v>
      </c>
    </row>
    <row r="630">
      <c r="A630" s="26" t="s">
        <v>269</v>
      </c>
      <c r="B630" s="124">
        <v>46059.0</v>
      </c>
      <c r="C630" s="26" t="s">
        <v>5592</v>
      </c>
      <c r="D630" s="125">
        <v>0.3333333333333333</v>
      </c>
      <c r="E630" s="125">
        <v>0.6666666666666666</v>
      </c>
    </row>
    <row r="631">
      <c r="A631" s="26" t="s">
        <v>276</v>
      </c>
      <c r="B631" s="124">
        <v>46059.0</v>
      </c>
      <c r="C631" s="26" t="s">
        <v>5592</v>
      </c>
      <c r="D631" s="125">
        <v>0.3333333333333333</v>
      </c>
      <c r="E631" s="125">
        <v>0.6666666666666666</v>
      </c>
    </row>
    <row r="632">
      <c r="A632" s="26" t="s">
        <v>280</v>
      </c>
      <c r="B632" s="124">
        <v>46059.0</v>
      </c>
      <c r="C632" s="26" t="s">
        <v>5592</v>
      </c>
      <c r="D632" s="125">
        <v>0.4166666666666667</v>
      </c>
      <c r="E632" s="125">
        <v>0.75</v>
      </c>
    </row>
    <row r="633">
      <c r="A633" s="26" t="s">
        <v>243</v>
      </c>
      <c r="B633" s="124">
        <v>46058.0</v>
      </c>
      <c r="C633" s="26" t="s">
        <v>5592</v>
      </c>
      <c r="D633" s="125">
        <v>0.3333333333333333</v>
      </c>
      <c r="E633" s="125">
        <v>0.6666666666666666</v>
      </c>
    </row>
    <row r="634">
      <c r="A634" s="26" t="s">
        <v>248</v>
      </c>
      <c r="B634" s="124">
        <v>46058.0</v>
      </c>
      <c r="C634" s="26" t="s">
        <v>5592</v>
      </c>
      <c r="D634" s="125">
        <v>0.3333333333333333</v>
      </c>
      <c r="E634" s="125">
        <v>0.6666666666666666</v>
      </c>
    </row>
    <row r="635">
      <c r="A635" s="26" t="s">
        <v>253</v>
      </c>
      <c r="B635" s="124">
        <v>46058.0</v>
      </c>
      <c r="C635" s="26" t="s">
        <v>5592</v>
      </c>
      <c r="D635" s="125">
        <v>0.4166666666666667</v>
      </c>
      <c r="E635" s="125">
        <v>0.75</v>
      </c>
    </row>
    <row r="636">
      <c r="A636" s="26" t="s">
        <v>258</v>
      </c>
      <c r="B636" s="124">
        <v>46058.0</v>
      </c>
      <c r="C636" s="26" t="s">
        <v>5592</v>
      </c>
      <c r="D636" s="125">
        <v>0.3333333333333333</v>
      </c>
      <c r="E636" s="125">
        <v>0.6666666666666666</v>
      </c>
    </row>
    <row r="637">
      <c r="A637" s="26" t="s">
        <v>261</v>
      </c>
      <c r="B637" s="124">
        <v>46058.0</v>
      </c>
      <c r="C637" s="26" t="s">
        <v>5592</v>
      </c>
      <c r="D637" s="125">
        <v>0.4166666666666667</v>
      </c>
      <c r="E637" s="125">
        <v>0.75</v>
      </c>
    </row>
    <row r="638">
      <c r="A638" s="26" t="s">
        <v>265</v>
      </c>
      <c r="B638" s="124">
        <v>46058.0</v>
      </c>
      <c r="C638" s="26" t="s">
        <v>5592</v>
      </c>
      <c r="D638" s="125">
        <v>0.3333333333333333</v>
      </c>
      <c r="E638" s="125">
        <v>0.6666666666666666</v>
      </c>
    </row>
    <row r="639">
      <c r="A639" s="26" t="s">
        <v>269</v>
      </c>
      <c r="B639" s="124">
        <v>46058.0</v>
      </c>
      <c r="C639" s="26" t="s">
        <v>5592</v>
      </c>
      <c r="D639" s="125">
        <v>0.3333333333333333</v>
      </c>
      <c r="E639" s="125">
        <v>0.6666666666666666</v>
      </c>
    </row>
    <row r="640">
      <c r="A640" s="26" t="s">
        <v>276</v>
      </c>
      <c r="B640" s="124">
        <v>46058.0</v>
      </c>
      <c r="C640" s="26" t="s">
        <v>5592</v>
      </c>
      <c r="D640" s="125">
        <v>0.3333333333333333</v>
      </c>
      <c r="E640" s="125">
        <v>0.6666666666666666</v>
      </c>
    </row>
    <row r="641">
      <c r="A641" s="26" t="s">
        <v>280</v>
      </c>
      <c r="B641" s="124">
        <v>46058.0</v>
      </c>
      <c r="C641" s="26" t="s">
        <v>5592</v>
      </c>
      <c r="D641" s="125">
        <v>0.4166666666666667</v>
      </c>
      <c r="E641" s="125">
        <v>0.75</v>
      </c>
    </row>
    <row r="642">
      <c r="A642" s="26" t="s">
        <v>243</v>
      </c>
      <c r="B642" s="124">
        <v>46057.0</v>
      </c>
      <c r="C642" s="26" t="s">
        <v>5592</v>
      </c>
      <c r="D642" s="125">
        <v>0.3333333333333333</v>
      </c>
      <c r="E642" s="125">
        <v>0.6666666666666666</v>
      </c>
    </row>
    <row r="643">
      <c r="A643" s="26" t="s">
        <v>248</v>
      </c>
      <c r="B643" s="124">
        <v>46057.0</v>
      </c>
      <c r="C643" s="26" t="s">
        <v>5592</v>
      </c>
      <c r="D643" s="125">
        <v>0.3333333333333333</v>
      </c>
      <c r="E643" s="125">
        <v>0.6666666666666666</v>
      </c>
    </row>
    <row r="644">
      <c r="A644" s="26" t="s">
        <v>253</v>
      </c>
      <c r="B644" s="124">
        <v>46057.0</v>
      </c>
      <c r="C644" s="26" t="s">
        <v>5592</v>
      </c>
      <c r="D644" s="125">
        <v>0.4166666666666667</v>
      </c>
      <c r="E644" s="125">
        <v>0.75</v>
      </c>
    </row>
    <row r="645">
      <c r="A645" s="26" t="s">
        <v>258</v>
      </c>
      <c r="B645" s="124">
        <v>46057.0</v>
      </c>
      <c r="C645" s="26" t="s">
        <v>5592</v>
      </c>
      <c r="D645" s="125">
        <v>0.3333333333333333</v>
      </c>
      <c r="E645" s="125">
        <v>0.6666666666666666</v>
      </c>
    </row>
    <row r="646">
      <c r="A646" s="26" t="s">
        <v>261</v>
      </c>
      <c r="B646" s="124">
        <v>46057.0</v>
      </c>
      <c r="C646" s="26" t="s">
        <v>5592</v>
      </c>
      <c r="D646" s="125">
        <v>0.4166666666666667</v>
      </c>
      <c r="E646" s="125">
        <v>0.75</v>
      </c>
    </row>
    <row r="647">
      <c r="A647" s="26" t="s">
        <v>265</v>
      </c>
      <c r="B647" s="124">
        <v>46057.0</v>
      </c>
      <c r="C647" s="26" t="s">
        <v>5592</v>
      </c>
      <c r="D647" s="125">
        <v>0.3333333333333333</v>
      </c>
      <c r="E647" s="125">
        <v>0.6666666666666666</v>
      </c>
    </row>
    <row r="648">
      <c r="A648" s="26" t="s">
        <v>269</v>
      </c>
      <c r="B648" s="124">
        <v>46057.0</v>
      </c>
      <c r="C648" s="26" t="s">
        <v>5592</v>
      </c>
      <c r="D648" s="125">
        <v>0.3333333333333333</v>
      </c>
      <c r="E648" s="125">
        <v>0.6666666666666666</v>
      </c>
    </row>
    <row r="649">
      <c r="A649" s="26" t="s">
        <v>276</v>
      </c>
      <c r="B649" s="124">
        <v>46057.0</v>
      </c>
      <c r="C649" s="26" t="s">
        <v>5592</v>
      </c>
      <c r="D649" s="125">
        <v>0.3333333333333333</v>
      </c>
      <c r="E649" s="125">
        <v>0.6666666666666666</v>
      </c>
    </row>
    <row r="650">
      <c r="A650" s="26" t="s">
        <v>280</v>
      </c>
      <c r="B650" s="124">
        <v>46057.0</v>
      </c>
      <c r="C650" s="26" t="s">
        <v>5592</v>
      </c>
      <c r="D650" s="125">
        <v>0.4166666666666667</v>
      </c>
      <c r="E650" s="125">
        <v>0.75</v>
      </c>
    </row>
    <row r="651">
      <c r="A651" s="26" t="s">
        <v>243</v>
      </c>
      <c r="B651" s="124">
        <v>46056.0</v>
      </c>
      <c r="C651" s="26" t="s">
        <v>5592</v>
      </c>
      <c r="D651" s="125">
        <v>0.3333333333333333</v>
      </c>
      <c r="E651" s="125">
        <v>0.6666666666666666</v>
      </c>
    </row>
    <row r="652">
      <c r="A652" s="26" t="s">
        <v>248</v>
      </c>
      <c r="B652" s="124">
        <v>46056.0</v>
      </c>
      <c r="C652" s="26" t="s">
        <v>5592</v>
      </c>
      <c r="D652" s="125">
        <v>0.3333333333333333</v>
      </c>
      <c r="E652" s="125">
        <v>0.6666666666666666</v>
      </c>
    </row>
    <row r="653">
      <c r="A653" s="26" t="s">
        <v>253</v>
      </c>
      <c r="B653" s="124">
        <v>46056.0</v>
      </c>
      <c r="C653" s="26" t="s">
        <v>5592</v>
      </c>
      <c r="D653" s="125">
        <v>0.4166666666666667</v>
      </c>
      <c r="E653" s="125">
        <v>0.75</v>
      </c>
    </row>
    <row r="654">
      <c r="A654" s="26" t="s">
        <v>258</v>
      </c>
      <c r="B654" s="124">
        <v>46056.0</v>
      </c>
      <c r="C654" s="26" t="s">
        <v>5592</v>
      </c>
      <c r="D654" s="125">
        <v>0.3333333333333333</v>
      </c>
      <c r="E654" s="125">
        <v>0.6666666666666666</v>
      </c>
    </row>
    <row r="655">
      <c r="A655" s="26" t="s">
        <v>261</v>
      </c>
      <c r="B655" s="124">
        <v>46056.0</v>
      </c>
      <c r="C655" s="26" t="s">
        <v>5592</v>
      </c>
      <c r="D655" s="125">
        <v>0.4166666666666667</v>
      </c>
      <c r="E655" s="125">
        <v>0.75</v>
      </c>
    </row>
    <row r="656">
      <c r="A656" s="26" t="s">
        <v>265</v>
      </c>
      <c r="B656" s="124">
        <v>46056.0</v>
      </c>
      <c r="C656" s="26" t="s">
        <v>5592</v>
      </c>
      <c r="D656" s="125">
        <v>0.3333333333333333</v>
      </c>
      <c r="E656" s="125">
        <v>0.6666666666666666</v>
      </c>
    </row>
    <row r="657">
      <c r="A657" s="26" t="s">
        <v>269</v>
      </c>
      <c r="B657" s="124">
        <v>46056.0</v>
      </c>
      <c r="C657" s="26" t="s">
        <v>5592</v>
      </c>
      <c r="D657" s="125">
        <v>0.3333333333333333</v>
      </c>
      <c r="E657" s="125">
        <v>0.6666666666666666</v>
      </c>
    </row>
    <row r="658">
      <c r="A658" s="26" t="s">
        <v>276</v>
      </c>
      <c r="B658" s="124">
        <v>46056.0</v>
      </c>
      <c r="C658" s="26" t="s">
        <v>5592</v>
      </c>
      <c r="D658" s="125">
        <v>0.3333333333333333</v>
      </c>
      <c r="E658" s="125">
        <v>0.6666666666666666</v>
      </c>
    </row>
    <row r="659">
      <c r="A659" s="26" t="s">
        <v>280</v>
      </c>
      <c r="B659" s="124">
        <v>46056.0</v>
      </c>
      <c r="C659" s="26" t="s">
        <v>5592</v>
      </c>
      <c r="D659" s="125">
        <v>0.4166666666666667</v>
      </c>
      <c r="E659" s="125">
        <v>0.75</v>
      </c>
    </row>
    <row r="660">
      <c r="A660" s="26" t="s">
        <v>243</v>
      </c>
      <c r="B660" s="124">
        <v>46055.0</v>
      </c>
      <c r="C660" s="26" t="s">
        <v>5592</v>
      </c>
      <c r="D660" s="125">
        <v>0.3333333333333333</v>
      </c>
      <c r="E660" s="125">
        <v>0.6666666666666666</v>
      </c>
    </row>
    <row r="661">
      <c r="A661" s="26" t="s">
        <v>248</v>
      </c>
      <c r="B661" s="124">
        <v>46055.0</v>
      </c>
      <c r="C661" s="26" t="s">
        <v>5592</v>
      </c>
      <c r="D661" s="125">
        <v>0.3333333333333333</v>
      </c>
      <c r="E661" s="125">
        <v>0.6666666666666666</v>
      </c>
    </row>
    <row r="662">
      <c r="A662" s="26" t="s">
        <v>253</v>
      </c>
      <c r="B662" s="124">
        <v>46055.0</v>
      </c>
      <c r="C662" s="26" t="s">
        <v>5592</v>
      </c>
      <c r="D662" s="125">
        <v>0.4166666666666667</v>
      </c>
      <c r="E662" s="125">
        <v>0.75</v>
      </c>
    </row>
    <row r="663">
      <c r="A663" s="26" t="s">
        <v>258</v>
      </c>
      <c r="B663" s="124">
        <v>46055.0</v>
      </c>
      <c r="C663" s="26" t="s">
        <v>5592</v>
      </c>
      <c r="D663" s="125">
        <v>0.3333333333333333</v>
      </c>
      <c r="E663" s="125">
        <v>0.6666666666666666</v>
      </c>
    </row>
    <row r="664">
      <c r="A664" s="26" t="s">
        <v>261</v>
      </c>
      <c r="B664" s="124">
        <v>46055.0</v>
      </c>
      <c r="C664" s="26" t="s">
        <v>5592</v>
      </c>
      <c r="D664" s="125">
        <v>0.4166666666666667</v>
      </c>
      <c r="E664" s="125">
        <v>0.75</v>
      </c>
    </row>
    <row r="665">
      <c r="A665" s="26" t="s">
        <v>265</v>
      </c>
      <c r="B665" s="124">
        <v>46055.0</v>
      </c>
      <c r="C665" s="26" t="s">
        <v>5592</v>
      </c>
      <c r="D665" s="125">
        <v>0.3333333333333333</v>
      </c>
      <c r="E665" s="125">
        <v>0.6666666666666666</v>
      </c>
    </row>
    <row r="666">
      <c r="A666" s="26" t="s">
        <v>269</v>
      </c>
      <c r="B666" s="124">
        <v>46055.0</v>
      </c>
      <c r="C666" s="26" t="s">
        <v>5592</v>
      </c>
      <c r="D666" s="125">
        <v>0.3333333333333333</v>
      </c>
      <c r="E666" s="125">
        <v>0.6666666666666666</v>
      </c>
    </row>
    <row r="667">
      <c r="A667" s="26" t="s">
        <v>276</v>
      </c>
      <c r="B667" s="124">
        <v>46055.0</v>
      </c>
      <c r="C667" s="26" t="s">
        <v>5592</v>
      </c>
      <c r="D667" s="125">
        <v>0.3333333333333333</v>
      </c>
      <c r="E667" s="125">
        <v>0.6666666666666666</v>
      </c>
    </row>
    <row r="668">
      <c r="A668" s="26" t="s">
        <v>280</v>
      </c>
      <c r="B668" s="124">
        <v>46055.0</v>
      </c>
      <c r="C668" s="26" t="s">
        <v>5592</v>
      </c>
      <c r="D668" s="125">
        <v>0.4166666666666667</v>
      </c>
      <c r="E668" s="125">
        <v>0.75</v>
      </c>
    </row>
    <row r="669">
      <c r="A669" s="26" t="s">
        <v>243</v>
      </c>
      <c r="B669" s="124">
        <v>46053.0</v>
      </c>
      <c r="C669" s="26" t="s">
        <v>5592</v>
      </c>
      <c r="D669" s="125">
        <v>0.3333333333333333</v>
      </c>
      <c r="E669" s="125">
        <v>0.6666666666666666</v>
      </c>
    </row>
    <row r="670">
      <c r="A670" s="26" t="s">
        <v>248</v>
      </c>
      <c r="B670" s="124">
        <v>46053.0</v>
      </c>
      <c r="C670" s="26" t="s">
        <v>5592</v>
      </c>
      <c r="D670" s="125">
        <v>0.3333333333333333</v>
      </c>
      <c r="E670" s="125">
        <v>0.6666666666666666</v>
      </c>
    </row>
    <row r="671">
      <c r="A671" s="26" t="s">
        <v>253</v>
      </c>
      <c r="B671" s="124">
        <v>46053.0</v>
      </c>
      <c r="C671" s="26" t="s">
        <v>5592</v>
      </c>
      <c r="D671" s="125">
        <v>0.4166666666666667</v>
      </c>
      <c r="E671" s="125">
        <v>0.75</v>
      </c>
    </row>
    <row r="672">
      <c r="A672" s="26" t="s">
        <v>258</v>
      </c>
      <c r="B672" s="124">
        <v>46053.0</v>
      </c>
      <c r="C672" s="26" t="s">
        <v>5592</v>
      </c>
      <c r="D672" s="125">
        <v>0.3333333333333333</v>
      </c>
      <c r="E672" s="125">
        <v>0.6666666666666666</v>
      </c>
    </row>
    <row r="673">
      <c r="A673" s="26" t="s">
        <v>261</v>
      </c>
      <c r="B673" s="124">
        <v>46053.0</v>
      </c>
      <c r="C673" s="26" t="s">
        <v>5592</v>
      </c>
      <c r="D673" s="125">
        <v>0.4166666666666667</v>
      </c>
      <c r="E673" s="125">
        <v>0.75</v>
      </c>
    </row>
    <row r="674">
      <c r="A674" s="26" t="s">
        <v>265</v>
      </c>
      <c r="B674" s="124">
        <v>46053.0</v>
      </c>
      <c r="C674" s="26" t="s">
        <v>5592</v>
      </c>
      <c r="D674" s="125">
        <v>0.3333333333333333</v>
      </c>
      <c r="E674" s="125">
        <v>0.6666666666666666</v>
      </c>
    </row>
    <row r="675">
      <c r="A675" s="26" t="s">
        <v>269</v>
      </c>
      <c r="B675" s="124">
        <v>46053.0</v>
      </c>
      <c r="C675" s="26" t="s">
        <v>5592</v>
      </c>
      <c r="D675" s="125">
        <v>0.3333333333333333</v>
      </c>
      <c r="E675" s="125">
        <v>0.6666666666666666</v>
      </c>
    </row>
    <row r="676">
      <c r="A676" s="26" t="s">
        <v>276</v>
      </c>
      <c r="B676" s="124">
        <v>46053.0</v>
      </c>
      <c r="C676" s="26" t="s">
        <v>5592</v>
      </c>
      <c r="D676" s="125">
        <v>0.3333333333333333</v>
      </c>
      <c r="E676" s="125">
        <v>0.6666666666666666</v>
      </c>
    </row>
    <row r="677">
      <c r="A677" s="26" t="s">
        <v>280</v>
      </c>
      <c r="B677" s="124">
        <v>46053.0</v>
      </c>
      <c r="C677" s="26" t="s">
        <v>5592</v>
      </c>
      <c r="D677" s="125">
        <v>0.4166666666666667</v>
      </c>
      <c r="E677" s="125">
        <v>0.75</v>
      </c>
    </row>
    <row r="678">
      <c r="A678" s="26" t="s">
        <v>243</v>
      </c>
      <c r="B678" s="124">
        <v>46052.0</v>
      </c>
      <c r="C678" s="26" t="s">
        <v>5592</v>
      </c>
      <c r="D678" s="125">
        <v>0.3333333333333333</v>
      </c>
      <c r="E678" s="125">
        <v>0.6666666666666666</v>
      </c>
    </row>
    <row r="679">
      <c r="A679" s="26" t="s">
        <v>248</v>
      </c>
      <c r="B679" s="124">
        <v>46052.0</v>
      </c>
      <c r="C679" s="26" t="s">
        <v>5592</v>
      </c>
      <c r="D679" s="125">
        <v>0.3333333333333333</v>
      </c>
      <c r="E679" s="125">
        <v>0.6666666666666666</v>
      </c>
    </row>
    <row r="680">
      <c r="A680" s="26" t="s">
        <v>253</v>
      </c>
      <c r="B680" s="124">
        <v>46052.0</v>
      </c>
      <c r="C680" s="26" t="s">
        <v>5592</v>
      </c>
      <c r="D680" s="125">
        <v>0.4166666666666667</v>
      </c>
      <c r="E680" s="125">
        <v>0.75</v>
      </c>
    </row>
    <row r="681">
      <c r="A681" s="26" t="s">
        <v>258</v>
      </c>
      <c r="B681" s="124">
        <v>46052.0</v>
      </c>
      <c r="C681" s="26" t="s">
        <v>5592</v>
      </c>
      <c r="D681" s="125">
        <v>0.3333333333333333</v>
      </c>
      <c r="E681" s="125">
        <v>0.6666666666666666</v>
      </c>
    </row>
    <row r="682">
      <c r="A682" s="26" t="s">
        <v>261</v>
      </c>
      <c r="B682" s="124">
        <v>46052.0</v>
      </c>
      <c r="C682" s="26" t="s">
        <v>5592</v>
      </c>
      <c r="D682" s="125">
        <v>0.4166666666666667</v>
      </c>
      <c r="E682" s="125">
        <v>0.75</v>
      </c>
    </row>
    <row r="683">
      <c r="A683" s="26" t="s">
        <v>265</v>
      </c>
      <c r="B683" s="124">
        <v>46052.0</v>
      </c>
      <c r="C683" s="26" t="s">
        <v>5592</v>
      </c>
      <c r="D683" s="125">
        <v>0.3333333333333333</v>
      </c>
      <c r="E683" s="125">
        <v>0.6666666666666666</v>
      </c>
    </row>
    <row r="684">
      <c r="A684" s="26" t="s">
        <v>269</v>
      </c>
      <c r="B684" s="124">
        <v>46052.0</v>
      </c>
      <c r="C684" s="26" t="s">
        <v>5592</v>
      </c>
      <c r="D684" s="125">
        <v>0.3333333333333333</v>
      </c>
      <c r="E684" s="125">
        <v>0.6666666666666666</v>
      </c>
    </row>
    <row r="685">
      <c r="A685" s="26" t="s">
        <v>276</v>
      </c>
      <c r="B685" s="124">
        <v>46052.0</v>
      </c>
      <c r="C685" s="26" t="s">
        <v>5592</v>
      </c>
      <c r="D685" s="125">
        <v>0.3333333333333333</v>
      </c>
      <c r="E685" s="125">
        <v>0.6666666666666666</v>
      </c>
    </row>
    <row r="686">
      <c r="A686" s="26" t="s">
        <v>280</v>
      </c>
      <c r="B686" s="124">
        <v>46052.0</v>
      </c>
      <c r="C686" s="26" t="s">
        <v>5592</v>
      </c>
      <c r="D686" s="125">
        <v>0.4166666666666667</v>
      </c>
      <c r="E686" s="125">
        <v>0.75</v>
      </c>
    </row>
    <row r="687">
      <c r="A687" s="26" t="s">
        <v>243</v>
      </c>
      <c r="B687" s="124">
        <v>46051.0</v>
      </c>
      <c r="C687" s="26" t="s">
        <v>5592</v>
      </c>
      <c r="D687" s="125">
        <v>0.3333333333333333</v>
      </c>
      <c r="E687" s="125">
        <v>0.6666666666666666</v>
      </c>
    </row>
    <row r="688">
      <c r="A688" s="26" t="s">
        <v>248</v>
      </c>
      <c r="B688" s="124">
        <v>46051.0</v>
      </c>
      <c r="C688" s="26" t="s">
        <v>5592</v>
      </c>
      <c r="D688" s="125">
        <v>0.3333333333333333</v>
      </c>
      <c r="E688" s="125">
        <v>0.6666666666666666</v>
      </c>
    </row>
    <row r="689">
      <c r="A689" s="26" t="s">
        <v>253</v>
      </c>
      <c r="B689" s="124">
        <v>46051.0</v>
      </c>
      <c r="C689" s="26" t="s">
        <v>5592</v>
      </c>
      <c r="D689" s="125">
        <v>0.4166666666666667</v>
      </c>
      <c r="E689" s="125">
        <v>0.75</v>
      </c>
    </row>
    <row r="690">
      <c r="A690" s="26" t="s">
        <v>258</v>
      </c>
      <c r="B690" s="124">
        <v>46051.0</v>
      </c>
      <c r="C690" s="26" t="s">
        <v>5592</v>
      </c>
      <c r="D690" s="125">
        <v>0.3333333333333333</v>
      </c>
      <c r="E690" s="125">
        <v>0.6666666666666666</v>
      </c>
    </row>
    <row r="691">
      <c r="A691" s="26" t="s">
        <v>261</v>
      </c>
      <c r="B691" s="124">
        <v>46051.0</v>
      </c>
      <c r="C691" s="26" t="s">
        <v>5592</v>
      </c>
      <c r="D691" s="125">
        <v>0.4166666666666667</v>
      </c>
      <c r="E691" s="125">
        <v>0.75</v>
      </c>
    </row>
    <row r="692">
      <c r="A692" s="26" t="s">
        <v>265</v>
      </c>
      <c r="B692" s="124">
        <v>46051.0</v>
      </c>
      <c r="C692" s="26" t="s">
        <v>5592</v>
      </c>
      <c r="D692" s="125">
        <v>0.3333333333333333</v>
      </c>
      <c r="E692" s="125">
        <v>0.6666666666666666</v>
      </c>
    </row>
    <row r="693">
      <c r="A693" s="26" t="s">
        <v>269</v>
      </c>
      <c r="B693" s="124">
        <v>46051.0</v>
      </c>
      <c r="C693" s="26" t="s">
        <v>5592</v>
      </c>
      <c r="D693" s="125">
        <v>0.3333333333333333</v>
      </c>
      <c r="E693" s="125">
        <v>0.6666666666666666</v>
      </c>
    </row>
    <row r="694">
      <c r="A694" s="26" t="s">
        <v>276</v>
      </c>
      <c r="B694" s="124">
        <v>46051.0</v>
      </c>
      <c r="C694" s="26" t="s">
        <v>5592</v>
      </c>
      <c r="D694" s="125">
        <v>0.3333333333333333</v>
      </c>
      <c r="E694" s="125">
        <v>0.6666666666666666</v>
      </c>
    </row>
    <row r="695">
      <c r="A695" s="26" t="s">
        <v>280</v>
      </c>
      <c r="B695" s="124">
        <v>46051.0</v>
      </c>
      <c r="C695" s="26" t="s">
        <v>5592</v>
      </c>
      <c r="D695" s="125">
        <v>0.4166666666666667</v>
      </c>
      <c r="E695" s="125">
        <v>0.75</v>
      </c>
    </row>
    <row r="696">
      <c r="A696" s="26" t="s">
        <v>243</v>
      </c>
      <c r="B696" s="124">
        <v>46050.0</v>
      </c>
      <c r="C696" s="26" t="s">
        <v>5592</v>
      </c>
      <c r="D696" s="125">
        <v>0.3333333333333333</v>
      </c>
      <c r="E696" s="125">
        <v>0.6666666666666666</v>
      </c>
    </row>
    <row r="697">
      <c r="A697" s="26" t="s">
        <v>248</v>
      </c>
      <c r="B697" s="124">
        <v>46050.0</v>
      </c>
      <c r="C697" s="26" t="s">
        <v>5592</v>
      </c>
      <c r="D697" s="125">
        <v>0.3333333333333333</v>
      </c>
      <c r="E697" s="125">
        <v>0.6666666666666666</v>
      </c>
    </row>
    <row r="698">
      <c r="A698" s="26" t="s">
        <v>253</v>
      </c>
      <c r="B698" s="124">
        <v>46050.0</v>
      </c>
      <c r="C698" s="26" t="s">
        <v>5592</v>
      </c>
      <c r="D698" s="125">
        <v>0.4166666666666667</v>
      </c>
      <c r="E698" s="125">
        <v>0.75</v>
      </c>
    </row>
    <row r="699">
      <c r="A699" s="26" t="s">
        <v>258</v>
      </c>
      <c r="B699" s="124">
        <v>46050.0</v>
      </c>
      <c r="C699" s="26" t="s">
        <v>5592</v>
      </c>
      <c r="D699" s="125">
        <v>0.3333333333333333</v>
      </c>
      <c r="E699" s="125">
        <v>0.6666666666666666</v>
      </c>
    </row>
    <row r="700">
      <c r="A700" s="26" t="s">
        <v>261</v>
      </c>
      <c r="B700" s="124">
        <v>46050.0</v>
      </c>
      <c r="C700" s="26" t="s">
        <v>5592</v>
      </c>
      <c r="D700" s="125">
        <v>0.4166666666666667</v>
      </c>
      <c r="E700" s="125">
        <v>0.75</v>
      </c>
    </row>
    <row r="701">
      <c r="A701" s="26" t="s">
        <v>265</v>
      </c>
      <c r="B701" s="124">
        <v>46050.0</v>
      </c>
      <c r="C701" s="26" t="s">
        <v>5592</v>
      </c>
      <c r="D701" s="125">
        <v>0.3333333333333333</v>
      </c>
      <c r="E701" s="125">
        <v>0.6666666666666666</v>
      </c>
    </row>
    <row r="702">
      <c r="A702" s="26" t="s">
        <v>269</v>
      </c>
      <c r="B702" s="124">
        <v>46050.0</v>
      </c>
      <c r="C702" s="26" t="s">
        <v>5592</v>
      </c>
      <c r="D702" s="125">
        <v>0.3333333333333333</v>
      </c>
      <c r="E702" s="125">
        <v>0.6666666666666666</v>
      </c>
    </row>
    <row r="703">
      <c r="A703" s="26" t="s">
        <v>276</v>
      </c>
      <c r="B703" s="124">
        <v>46050.0</v>
      </c>
      <c r="C703" s="26" t="s">
        <v>5592</v>
      </c>
      <c r="D703" s="125">
        <v>0.3333333333333333</v>
      </c>
      <c r="E703" s="125">
        <v>0.6666666666666666</v>
      </c>
    </row>
    <row r="704">
      <c r="A704" s="26" t="s">
        <v>280</v>
      </c>
      <c r="B704" s="124">
        <v>46050.0</v>
      </c>
      <c r="C704" s="26" t="s">
        <v>5592</v>
      </c>
      <c r="D704" s="125">
        <v>0.4166666666666667</v>
      </c>
      <c r="E704" s="125">
        <v>0.75</v>
      </c>
    </row>
    <row r="705">
      <c r="A705" s="26" t="s">
        <v>243</v>
      </c>
      <c r="B705" s="124">
        <v>46049.0</v>
      </c>
      <c r="C705" s="26" t="s">
        <v>5592</v>
      </c>
      <c r="D705" s="125">
        <v>0.3333333333333333</v>
      </c>
      <c r="E705" s="125">
        <v>0.6666666666666666</v>
      </c>
    </row>
    <row r="706">
      <c r="A706" s="26" t="s">
        <v>248</v>
      </c>
      <c r="B706" s="124">
        <v>46049.0</v>
      </c>
      <c r="C706" s="26" t="s">
        <v>5592</v>
      </c>
      <c r="D706" s="125">
        <v>0.3333333333333333</v>
      </c>
      <c r="E706" s="125">
        <v>0.6666666666666666</v>
      </c>
    </row>
    <row r="707">
      <c r="A707" s="26" t="s">
        <v>253</v>
      </c>
      <c r="B707" s="124">
        <v>46049.0</v>
      </c>
      <c r="C707" s="26" t="s">
        <v>5592</v>
      </c>
      <c r="D707" s="125">
        <v>0.4166666666666667</v>
      </c>
      <c r="E707" s="125">
        <v>0.75</v>
      </c>
    </row>
    <row r="708">
      <c r="A708" s="26" t="s">
        <v>258</v>
      </c>
      <c r="B708" s="124">
        <v>46049.0</v>
      </c>
      <c r="C708" s="26" t="s">
        <v>5592</v>
      </c>
      <c r="D708" s="125">
        <v>0.3333333333333333</v>
      </c>
      <c r="E708" s="125">
        <v>0.6666666666666666</v>
      </c>
    </row>
    <row r="709">
      <c r="A709" s="26" t="s">
        <v>261</v>
      </c>
      <c r="B709" s="124">
        <v>46049.0</v>
      </c>
      <c r="C709" s="26" t="s">
        <v>5592</v>
      </c>
      <c r="D709" s="125">
        <v>0.4166666666666667</v>
      </c>
      <c r="E709" s="125">
        <v>0.75</v>
      </c>
    </row>
    <row r="710">
      <c r="A710" s="26" t="s">
        <v>265</v>
      </c>
      <c r="B710" s="124">
        <v>46049.0</v>
      </c>
      <c r="C710" s="26" t="s">
        <v>5592</v>
      </c>
      <c r="D710" s="125">
        <v>0.3333333333333333</v>
      </c>
      <c r="E710" s="125">
        <v>0.6666666666666666</v>
      </c>
    </row>
    <row r="711">
      <c r="A711" s="26" t="s">
        <v>269</v>
      </c>
      <c r="B711" s="124">
        <v>46049.0</v>
      </c>
      <c r="C711" s="26" t="s">
        <v>5592</v>
      </c>
      <c r="D711" s="125">
        <v>0.3333333333333333</v>
      </c>
      <c r="E711" s="125">
        <v>0.6666666666666666</v>
      </c>
    </row>
    <row r="712">
      <c r="A712" s="26" t="s">
        <v>276</v>
      </c>
      <c r="B712" s="124">
        <v>46049.0</v>
      </c>
      <c r="C712" s="26" t="s">
        <v>5592</v>
      </c>
      <c r="D712" s="125">
        <v>0.3333333333333333</v>
      </c>
      <c r="E712" s="125">
        <v>0.6666666666666666</v>
      </c>
    </row>
    <row r="713">
      <c r="A713" s="26" t="s">
        <v>280</v>
      </c>
      <c r="B713" s="124">
        <v>46049.0</v>
      </c>
      <c r="C713" s="26" t="s">
        <v>5592</v>
      </c>
      <c r="D713" s="125">
        <v>0.4166666666666667</v>
      </c>
      <c r="E713" s="125">
        <v>0.75</v>
      </c>
    </row>
    <row r="714">
      <c r="A714" s="26" t="s">
        <v>243</v>
      </c>
      <c r="B714" s="124">
        <v>46048.0</v>
      </c>
      <c r="C714" s="26" t="s">
        <v>5592</v>
      </c>
      <c r="D714" s="125">
        <v>0.3333333333333333</v>
      </c>
      <c r="E714" s="125">
        <v>0.6666666666666666</v>
      </c>
    </row>
    <row r="715">
      <c r="A715" s="26" t="s">
        <v>248</v>
      </c>
      <c r="B715" s="124">
        <v>46048.0</v>
      </c>
      <c r="C715" s="26" t="s">
        <v>5592</v>
      </c>
      <c r="D715" s="125">
        <v>0.3333333333333333</v>
      </c>
      <c r="E715" s="125">
        <v>0.6666666666666666</v>
      </c>
    </row>
    <row r="716">
      <c r="A716" s="26" t="s">
        <v>253</v>
      </c>
      <c r="B716" s="124">
        <v>46048.0</v>
      </c>
      <c r="C716" s="26" t="s">
        <v>5592</v>
      </c>
      <c r="D716" s="125">
        <v>0.4166666666666667</v>
      </c>
      <c r="E716" s="125">
        <v>0.75</v>
      </c>
    </row>
    <row r="717">
      <c r="A717" s="26" t="s">
        <v>258</v>
      </c>
      <c r="B717" s="124">
        <v>46048.0</v>
      </c>
      <c r="C717" s="26" t="s">
        <v>5592</v>
      </c>
      <c r="D717" s="125">
        <v>0.3333333333333333</v>
      </c>
      <c r="E717" s="125">
        <v>0.6666666666666666</v>
      </c>
    </row>
    <row r="718">
      <c r="A718" s="26" t="s">
        <v>261</v>
      </c>
      <c r="B718" s="124">
        <v>46048.0</v>
      </c>
      <c r="C718" s="26" t="s">
        <v>5592</v>
      </c>
      <c r="D718" s="125">
        <v>0.4166666666666667</v>
      </c>
      <c r="E718" s="125">
        <v>0.75</v>
      </c>
    </row>
    <row r="719">
      <c r="A719" s="26" t="s">
        <v>265</v>
      </c>
      <c r="B719" s="124">
        <v>46048.0</v>
      </c>
      <c r="C719" s="26" t="s">
        <v>5592</v>
      </c>
      <c r="D719" s="125">
        <v>0.3333333333333333</v>
      </c>
      <c r="E719" s="125">
        <v>0.6666666666666666</v>
      </c>
    </row>
    <row r="720">
      <c r="A720" s="26" t="s">
        <v>269</v>
      </c>
      <c r="B720" s="124">
        <v>46048.0</v>
      </c>
      <c r="C720" s="26" t="s">
        <v>5592</v>
      </c>
      <c r="D720" s="125">
        <v>0.3333333333333333</v>
      </c>
      <c r="E720" s="125">
        <v>0.6666666666666666</v>
      </c>
    </row>
    <row r="721">
      <c r="A721" s="26" t="s">
        <v>276</v>
      </c>
      <c r="B721" s="124">
        <v>46048.0</v>
      </c>
      <c r="C721" s="26" t="s">
        <v>5592</v>
      </c>
      <c r="D721" s="125">
        <v>0.3333333333333333</v>
      </c>
      <c r="E721" s="125">
        <v>0.6666666666666666</v>
      </c>
    </row>
    <row r="722">
      <c r="A722" s="26" t="s">
        <v>280</v>
      </c>
      <c r="B722" s="124">
        <v>46048.0</v>
      </c>
      <c r="C722" s="26" t="s">
        <v>5592</v>
      </c>
      <c r="D722" s="125">
        <v>0.4166666666666667</v>
      </c>
      <c r="E722" s="125">
        <v>0.75</v>
      </c>
    </row>
    <row r="723">
      <c r="A723" s="26" t="s">
        <v>243</v>
      </c>
      <c r="B723" s="124">
        <v>46046.0</v>
      </c>
      <c r="C723" s="26" t="s">
        <v>5592</v>
      </c>
      <c r="D723" s="125">
        <v>0.3333333333333333</v>
      </c>
      <c r="E723" s="125">
        <v>0.6666666666666666</v>
      </c>
    </row>
    <row r="724">
      <c r="A724" s="26" t="s">
        <v>248</v>
      </c>
      <c r="B724" s="124">
        <v>46046.0</v>
      </c>
      <c r="C724" s="26" t="s">
        <v>5592</v>
      </c>
      <c r="D724" s="125">
        <v>0.3333333333333333</v>
      </c>
      <c r="E724" s="125">
        <v>0.6666666666666666</v>
      </c>
    </row>
    <row r="725">
      <c r="A725" s="26" t="s">
        <v>253</v>
      </c>
      <c r="B725" s="124">
        <v>46046.0</v>
      </c>
      <c r="C725" s="26" t="s">
        <v>5592</v>
      </c>
      <c r="D725" s="125">
        <v>0.4166666666666667</v>
      </c>
      <c r="E725" s="125">
        <v>0.75</v>
      </c>
    </row>
    <row r="726">
      <c r="A726" s="26" t="s">
        <v>258</v>
      </c>
      <c r="B726" s="124">
        <v>46046.0</v>
      </c>
      <c r="C726" s="26" t="s">
        <v>5592</v>
      </c>
      <c r="D726" s="125">
        <v>0.3333333333333333</v>
      </c>
      <c r="E726" s="125">
        <v>0.6666666666666666</v>
      </c>
    </row>
    <row r="727">
      <c r="A727" s="26" t="s">
        <v>261</v>
      </c>
      <c r="B727" s="124">
        <v>46046.0</v>
      </c>
      <c r="C727" s="26" t="s">
        <v>5592</v>
      </c>
      <c r="D727" s="125">
        <v>0.4166666666666667</v>
      </c>
      <c r="E727" s="125">
        <v>0.75</v>
      </c>
    </row>
    <row r="728">
      <c r="A728" s="26" t="s">
        <v>265</v>
      </c>
      <c r="B728" s="124">
        <v>46046.0</v>
      </c>
      <c r="C728" s="26" t="s">
        <v>5592</v>
      </c>
      <c r="D728" s="125">
        <v>0.3333333333333333</v>
      </c>
      <c r="E728" s="125">
        <v>0.6666666666666666</v>
      </c>
    </row>
    <row r="729">
      <c r="A729" s="26" t="s">
        <v>269</v>
      </c>
      <c r="B729" s="124">
        <v>46046.0</v>
      </c>
      <c r="C729" s="26" t="s">
        <v>5592</v>
      </c>
      <c r="D729" s="125">
        <v>0.3333333333333333</v>
      </c>
      <c r="E729" s="125">
        <v>0.6666666666666666</v>
      </c>
    </row>
    <row r="730">
      <c r="A730" s="26" t="s">
        <v>276</v>
      </c>
      <c r="B730" s="124">
        <v>46046.0</v>
      </c>
      <c r="C730" s="26" t="s">
        <v>5592</v>
      </c>
      <c r="D730" s="125">
        <v>0.3333333333333333</v>
      </c>
      <c r="E730" s="125">
        <v>0.6666666666666666</v>
      </c>
    </row>
    <row r="731">
      <c r="A731" s="26" t="s">
        <v>280</v>
      </c>
      <c r="B731" s="124">
        <v>46046.0</v>
      </c>
      <c r="C731" s="26" t="s">
        <v>5592</v>
      </c>
      <c r="D731" s="125">
        <v>0.4166666666666667</v>
      </c>
      <c r="E731" s="125">
        <v>0.75</v>
      </c>
    </row>
    <row r="732">
      <c r="A732" s="26" t="s">
        <v>243</v>
      </c>
      <c r="B732" s="124">
        <v>46045.0</v>
      </c>
      <c r="C732" s="26" t="s">
        <v>5592</v>
      </c>
      <c r="D732" s="125">
        <v>0.3333333333333333</v>
      </c>
      <c r="E732" s="125">
        <v>0.6666666666666666</v>
      </c>
    </row>
    <row r="733">
      <c r="A733" s="26" t="s">
        <v>248</v>
      </c>
      <c r="B733" s="124">
        <v>46045.0</v>
      </c>
      <c r="C733" s="26" t="s">
        <v>5592</v>
      </c>
      <c r="D733" s="125">
        <v>0.3333333333333333</v>
      </c>
      <c r="E733" s="125">
        <v>0.6666666666666666</v>
      </c>
    </row>
    <row r="734">
      <c r="A734" s="26" t="s">
        <v>253</v>
      </c>
      <c r="B734" s="124">
        <v>46045.0</v>
      </c>
      <c r="C734" s="26" t="s">
        <v>5592</v>
      </c>
      <c r="D734" s="125">
        <v>0.4166666666666667</v>
      </c>
      <c r="E734" s="125">
        <v>0.75</v>
      </c>
    </row>
    <row r="735">
      <c r="A735" s="26" t="s">
        <v>258</v>
      </c>
      <c r="B735" s="124">
        <v>46045.0</v>
      </c>
      <c r="C735" s="26" t="s">
        <v>5592</v>
      </c>
      <c r="D735" s="125">
        <v>0.3333333333333333</v>
      </c>
      <c r="E735" s="125">
        <v>0.6666666666666666</v>
      </c>
    </row>
    <row r="736">
      <c r="A736" s="26" t="s">
        <v>261</v>
      </c>
      <c r="B736" s="124">
        <v>46045.0</v>
      </c>
      <c r="C736" s="26" t="s">
        <v>5592</v>
      </c>
      <c r="D736" s="125">
        <v>0.4166666666666667</v>
      </c>
      <c r="E736" s="125">
        <v>0.75</v>
      </c>
    </row>
    <row r="737">
      <c r="A737" s="26" t="s">
        <v>265</v>
      </c>
      <c r="B737" s="124">
        <v>46045.0</v>
      </c>
      <c r="C737" s="26" t="s">
        <v>5592</v>
      </c>
      <c r="D737" s="125">
        <v>0.3333333333333333</v>
      </c>
      <c r="E737" s="125">
        <v>0.6666666666666666</v>
      </c>
    </row>
    <row r="738">
      <c r="A738" s="26" t="s">
        <v>269</v>
      </c>
      <c r="B738" s="124">
        <v>46045.0</v>
      </c>
      <c r="C738" s="26" t="s">
        <v>5592</v>
      </c>
      <c r="D738" s="125">
        <v>0.3333333333333333</v>
      </c>
      <c r="E738" s="125">
        <v>0.6666666666666666</v>
      </c>
    </row>
    <row r="739">
      <c r="A739" s="26" t="s">
        <v>276</v>
      </c>
      <c r="B739" s="124">
        <v>46045.0</v>
      </c>
      <c r="C739" s="26" t="s">
        <v>5592</v>
      </c>
      <c r="D739" s="125">
        <v>0.3333333333333333</v>
      </c>
      <c r="E739" s="125">
        <v>0.6666666666666666</v>
      </c>
    </row>
    <row r="740">
      <c r="A740" s="26" t="s">
        <v>280</v>
      </c>
      <c r="B740" s="124">
        <v>46045.0</v>
      </c>
      <c r="C740" s="26" t="s">
        <v>5592</v>
      </c>
      <c r="D740" s="125">
        <v>0.4166666666666667</v>
      </c>
      <c r="E740" s="125">
        <v>0.75</v>
      </c>
    </row>
    <row r="741">
      <c r="A741" s="26" t="s">
        <v>243</v>
      </c>
      <c r="B741" s="124">
        <v>46044.0</v>
      </c>
      <c r="C741" s="26" t="s">
        <v>5592</v>
      </c>
      <c r="D741" s="125">
        <v>0.3333333333333333</v>
      </c>
      <c r="E741" s="125">
        <v>0.6666666666666666</v>
      </c>
    </row>
    <row r="742">
      <c r="A742" s="26" t="s">
        <v>248</v>
      </c>
      <c r="B742" s="124">
        <v>46044.0</v>
      </c>
      <c r="C742" s="26" t="s">
        <v>5592</v>
      </c>
      <c r="D742" s="125">
        <v>0.3333333333333333</v>
      </c>
      <c r="E742" s="125">
        <v>0.6666666666666666</v>
      </c>
    </row>
    <row r="743">
      <c r="A743" s="26" t="s">
        <v>253</v>
      </c>
      <c r="B743" s="124">
        <v>46044.0</v>
      </c>
      <c r="C743" s="26" t="s">
        <v>5592</v>
      </c>
      <c r="D743" s="125">
        <v>0.4166666666666667</v>
      </c>
      <c r="E743" s="125">
        <v>0.75</v>
      </c>
    </row>
    <row r="744">
      <c r="A744" s="26" t="s">
        <v>258</v>
      </c>
      <c r="B744" s="124">
        <v>46044.0</v>
      </c>
      <c r="C744" s="26" t="s">
        <v>5592</v>
      </c>
      <c r="D744" s="125">
        <v>0.3333333333333333</v>
      </c>
      <c r="E744" s="125">
        <v>0.6666666666666666</v>
      </c>
    </row>
    <row r="745">
      <c r="A745" s="26" t="s">
        <v>261</v>
      </c>
      <c r="B745" s="124">
        <v>46044.0</v>
      </c>
      <c r="C745" s="26" t="s">
        <v>5592</v>
      </c>
      <c r="D745" s="125">
        <v>0.4166666666666667</v>
      </c>
      <c r="E745" s="125">
        <v>0.75</v>
      </c>
    </row>
    <row r="746">
      <c r="A746" s="26" t="s">
        <v>265</v>
      </c>
      <c r="B746" s="124">
        <v>46044.0</v>
      </c>
      <c r="C746" s="26" t="s">
        <v>5592</v>
      </c>
      <c r="D746" s="125">
        <v>0.3333333333333333</v>
      </c>
      <c r="E746" s="125">
        <v>0.6666666666666666</v>
      </c>
    </row>
    <row r="747">
      <c r="A747" s="26" t="s">
        <v>269</v>
      </c>
      <c r="B747" s="124">
        <v>46044.0</v>
      </c>
      <c r="C747" s="26" t="s">
        <v>5592</v>
      </c>
      <c r="D747" s="125">
        <v>0.3333333333333333</v>
      </c>
      <c r="E747" s="125">
        <v>0.6666666666666666</v>
      </c>
    </row>
    <row r="748">
      <c r="A748" s="26" t="s">
        <v>276</v>
      </c>
      <c r="B748" s="124">
        <v>46044.0</v>
      </c>
      <c r="C748" s="26" t="s">
        <v>5592</v>
      </c>
      <c r="D748" s="125">
        <v>0.3333333333333333</v>
      </c>
      <c r="E748" s="125">
        <v>0.6666666666666666</v>
      </c>
    </row>
    <row r="749">
      <c r="A749" s="26" t="s">
        <v>280</v>
      </c>
      <c r="B749" s="124">
        <v>46044.0</v>
      </c>
      <c r="C749" s="26" t="s">
        <v>5592</v>
      </c>
      <c r="D749" s="125">
        <v>0.4166666666666667</v>
      </c>
      <c r="E749" s="125">
        <v>0.75</v>
      </c>
    </row>
    <row r="750">
      <c r="A750" s="26" t="s">
        <v>243</v>
      </c>
      <c r="B750" s="124">
        <v>46043.0</v>
      </c>
      <c r="C750" s="26" t="s">
        <v>5592</v>
      </c>
      <c r="D750" s="125">
        <v>0.3333333333333333</v>
      </c>
      <c r="E750" s="125">
        <v>0.6666666666666666</v>
      </c>
    </row>
    <row r="751">
      <c r="A751" s="26" t="s">
        <v>248</v>
      </c>
      <c r="B751" s="124">
        <v>46043.0</v>
      </c>
      <c r="C751" s="26" t="s">
        <v>5592</v>
      </c>
      <c r="D751" s="125">
        <v>0.3333333333333333</v>
      </c>
      <c r="E751" s="125">
        <v>0.6666666666666666</v>
      </c>
    </row>
    <row r="752">
      <c r="A752" s="26" t="s">
        <v>253</v>
      </c>
      <c r="B752" s="124">
        <v>46043.0</v>
      </c>
      <c r="C752" s="26" t="s">
        <v>5592</v>
      </c>
      <c r="D752" s="125">
        <v>0.4166666666666667</v>
      </c>
      <c r="E752" s="125">
        <v>0.75</v>
      </c>
    </row>
    <row r="753">
      <c r="A753" s="26" t="s">
        <v>258</v>
      </c>
      <c r="B753" s="124">
        <v>46043.0</v>
      </c>
      <c r="C753" s="26" t="s">
        <v>5592</v>
      </c>
      <c r="D753" s="125">
        <v>0.3333333333333333</v>
      </c>
      <c r="E753" s="125">
        <v>0.6666666666666666</v>
      </c>
    </row>
    <row r="754">
      <c r="A754" s="26" t="s">
        <v>261</v>
      </c>
      <c r="B754" s="124">
        <v>46043.0</v>
      </c>
      <c r="C754" s="26" t="s">
        <v>5592</v>
      </c>
      <c r="D754" s="125">
        <v>0.4166666666666667</v>
      </c>
      <c r="E754" s="125">
        <v>0.75</v>
      </c>
    </row>
    <row r="755">
      <c r="A755" s="26" t="s">
        <v>265</v>
      </c>
      <c r="B755" s="124">
        <v>46043.0</v>
      </c>
      <c r="C755" s="26" t="s">
        <v>5592</v>
      </c>
      <c r="D755" s="125">
        <v>0.3333333333333333</v>
      </c>
      <c r="E755" s="125">
        <v>0.6666666666666666</v>
      </c>
    </row>
    <row r="756">
      <c r="A756" s="26" t="s">
        <v>269</v>
      </c>
      <c r="B756" s="124">
        <v>46043.0</v>
      </c>
      <c r="C756" s="26" t="s">
        <v>5592</v>
      </c>
      <c r="D756" s="125">
        <v>0.3333333333333333</v>
      </c>
      <c r="E756" s="125">
        <v>0.6666666666666666</v>
      </c>
    </row>
    <row r="757">
      <c r="A757" s="26" t="s">
        <v>276</v>
      </c>
      <c r="B757" s="124">
        <v>46043.0</v>
      </c>
      <c r="C757" s="26" t="s">
        <v>5592</v>
      </c>
      <c r="D757" s="125">
        <v>0.3333333333333333</v>
      </c>
      <c r="E757" s="125">
        <v>0.6666666666666666</v>
      </c>
    </row>
    <row r="758">
      <c r="A758" s="26" t="s">
        <v>280</v>
      </c>
      <c r="B758" s="124">
        <v>46043.0</v>
      </c>
      <c r="C758" s="26" t="s">
        <v>5592</v>
      </c>
      <c r="D758" s="125">
        <v>0.4166666666666667</v>
      </c>
      <c r="E758" s="125">
        <v>0.75</v>
      </c>
    </row>
    <row r="759">
      <c r="A759" s="26" t="s">
        <v>243</v>
      </c>
      <c r="B759" s="124">
        <v>46042.0</v>
      </c>
      <c r="C759" s="26" t="s">
        <v>5592</v>
      </c>
      <c r="D759" s="125">
        <v>0.3333333333333333</v>
      </c>
      <c r="E759" s="125">
        <v>0.6666666666666666</v>
      </c>
    </row>
    <row r="760">
      <c r="A760" s="26" t="s">
        <v>248</v>
      </c>
      <c r="B760" s="124">
        <v>46042.0</v>
      </c>
      <c r="C760" s="26" t="s">
        <v>5592</v>
      </c>
      <c r="D760" s="125">
        <v>0.3333333333333333</v>
      </c>
      <c r="E760" s="125">
        <v>0.6666666666666666</v>
      </c>
    </row>
    <row r="761">
      <c r="A761" s="26" t="s">
        <v>253</v>
      </c>
      <c r="B761" s="124">
        <v>46042.0</v>
      </c>
      <c r="C761" s="26" t="s">
        <v>5592</v>
      </c>
      <c r="D761" s="125">
        <v>0.4166666666666667</v>
      </c>
      <c r="E761" s="125">
        <v>0.75</v>
      </c>
    </row>
    <row r="762">
      <c r="A762" s="26" t="s">
        <v>258</v>
      </c>
      <c r="B762" s="124">
        <v>46042.0</v>
      </c>
      <c r="C762" s="26" t="s">
        <v>5592</v>
      </c>
      <c r="D762" s="125">
        <v>0.3333333333333333</v>
      </c>
      <c r="E762" s="125">
        <v>0.6666666666666666</v>
      </c>
    </row>
    <row r="763">
      <c r="A763" s="26" t="s">
        <v>261</v>
      </c>
      <c r="B763" s="124">
        <v>46042.0</v>
      </c>
      <c r="C763" s="26" t="s">
        <v>5592</v>
      </c>
      <c r="D763" s="125">
        <v>0.4166666666666667</v>
      </c>
      <c r="E763" s="125">
        <v>0.75</v>
      </c>
    </row>
    <row r="764">
      <c r="A764" s="26" t="s">
        <v>265</v>
      </c>
      <c r="B764" s="124">
        <v>46042.0</v>
      </c>
      <c r="C764" s="26" t="s">
        <v>5592</v>
      </c>
      <c r="D764" s="125">
        <v>0.3333333333333333</v>
      </c>
      <c r="E764" s="125">
        <v>0.6666666666666666</v>
      </c>
    </row>
    <row r="765">
      <c r="A765" s="26" t="s">
        <v>269</v>
      </c>
      <c r="B765" s="124">
        <v>46042.0</v>
      </c>
      <c r="C765" s="26" t="s">
        <v>5592</v>
      </c>
      <c r="D765" s="125">
        <v>0.3333333333333333</v>
      </c>
      <c r="E765" s="125">
        <v>0.6666666666666666</v>
      </c>
    </row>
    <row r="766">
      <c r="A766" s="26" t="s">
        <v>276</v>
      </c>
      <c r="B766" s="124">
        <v>46042.0</v>
      </c>
      <c r="C766" s="26" t="s">
        <v>5592</v>
      </c>
      <c r="D766" s="125">
        <v>0.3333333333333333</v>
      </c>
      <c r="E766" s="125">
        <v>0.6666666666666666</v>
      </c>
    </row>
    <row r="767">
      <c r="A767" s="26" t="s">
        <v>280</v>
      </c>
      <c r="B767" s="124">
        <v>46042.0</v>
      </c>
      <c r="C767" s="26" t="s">
        <v>5592</v>
      </c>
      <c r="D767" s="125">
        <v>0.4166666666666667</v>
      </c>
      <c r="E767" s="125">
        <v>0.75</v>
      </c>
    </row>
    <row r="768">
      <c r="A768" s="26" t="s">
        <v>243</v>
      </c>
      <c r="B768" s="124">
        <v>46041.0</v>
      </c>
      <c r="C768" s="26" t="s">
        <v>5592</v>
      </c>
      <c r="D768" s="125">
        <v>0.3333333333333333</v>
      </c>
      <c r="E768" s="125">
        <v>0.6666666666666666</v>
      </c>
    </row>
    <row r="769">
      <c r="A769" s="26" t="s">
        <v>248</v>
      </c>
      <c r="B769" s="124">
        <v>46041.0</v>
      </c>
      <c r="C769" s="26" t="s">
        <v>5592</v>
      </c>
      <c r="D769" s="125">
        <v>0.3333333333333333</v>
      </c>
      <c r="E769" s="125">
        <v>0.6666666666666666</v>
      </c>
    </row>
    <row r="770">
      <c r="A770" s="26" t="s">
        <v>253</v>
      </c>
      <c r="B770" s="124">
        <v>46041.0</v>
      </c>
      <c r="C770" s="26" t="s">
        <v>5592</v>
      </c>
      <c r="D770" s="125">
        <v>0.4166666666666667</v>
      </c>
      <c r="E770" s="125">
        <v>0.75</v>
      </c>
    </row>
    <row r="771">
      <c r="A771" s="26" t="s">
        <v>258</v>
      </c>
      <c r="B771" s="124">
        <v>46041.0</v>
      </c>
      <c r="C771" s="26" t="s">
        <v>5592</v>
      </c>
      <c r="D771" s="125">
        <v>0.3333333333333333</v>
      </c>
      <c r="E771" s="125">
        <v>0.6666666666666666</v>
      </c>
    </row>
    <row r="772">
      <c r="A772" s="26" t="s">
        <v>261</v>
      </c>
      <c r="B772" s="124">
        <v>46041.0</v>
      </c>
      <c r="C772" s="26" t="s">
        <v>5592</v>
      </c>
      <c r="D772" s="125">
        <v>0.4166666666666667</v>
      </c>
      <c r="E772" s="125">
        <v>0.75</v>
      </c>
    </row>
    <row r="773">
      <c r="A773" s="26" t="s">
        <v>265</v>
      </c>
      <c r="B773" s="124">
        <v>46041.0</v>
      </c>
      <c r="C773" s="26" t="s">
        <v>5592</v>
      </c>
      <c r="D773" s="125">
        <v>0.3333333333333333</v>
      </c>
      <c r="E773" s="125">
        <v>0.6666666666666666</v>
      </c>
    </row>
    <row r="774">
      <c r="A774" s="26" t="s">
        <v>269</v>
      </c>
      <c r="B774" s="124">
        <v>46041.0</v>
      </c>
      <c r="C774" s="26" t="s">
        <v>5592</v>
      </c>
      <c r="D774" s="125">
        <v>0.3333333333333333</v>
      </c>
      <c r="E774" s="125">
        <v>0.6666666666666666</v>
      </c>
    </row>
    <row r="775">
      <c r="A775" s="26" t="s">
        <v>276</v>
      </c>
      <c r="B775" s="124">
        <v>46041.0</v>
      </c>
      <c r="C775" s="26" t="s">
        <v>5592</v>
      </c>
      <c r="D775" s="125">
        <v>0.3333333333333333</v>
      </c>
      <c r="E775" s="125">
        <v>0.6666666666666666</v>
      </c>
    </row>
    <row r="776">
      <c r="A776" s="26" t="s">
        <v>280</v>
      </c>
      <c r="B776" s="124">
        <v>46041.0</v>
      </c>
      <c r="C776" s="26" t="s">
        <v>5592</v>
      </c>
      <c r="D776" s="125">
        <v>0.4166666666666667</v>
      </c>
      <c r="E776" s="125">
        <v>0.75</v>
      </c>
    </row>
    <row r="777">
      <c r="A777" s="26" t="s">
        <v>243</v>
      </c>
      <c r="B777" s="124">
        <v>46039.0</v>
      </c>
      <c r="C777" s="26" t="s">
        <v>5592</v>
      </c>
      <c r="D777" s="125">
        <v>0.3333333333333333</v>
      </c>
      <c r="E777" s="125">
        <v>0.6666666666666666</v>
      </c>
    </row>
    <row r="778">
      <c r="A778" s="26" t="s">
        <v>248</v>
      </c>
      <c r="B778" s="124">
        <v>46039.0</v>
      </c>
      <c r="C778" s="26" t="s">
        <v>5592</v>
      </c>
      <c r="D778" s="125">
        <v>0.3333333333333333</v>
      </c>
      <c r="E778" s="125">
        <v>0.6666666666666666</v>
      </c>
    </row>
    <row r="779">
      <c r="A779" s="26" t="s">
        <v>253</v>
      </c>
      <c r="B779" s="124">
        <v>46039.0</v>
      </c>
      <c r="C779" s="26" t="s">
        <v>5592</v>
      </c>
      <c r="D779" s="125">
        <v>0.4166666666666667</v>
      </c>
      <c r="E779" s="125">
        <v>0.75</v>
      </c>
    </row>
    <row r="780">
      <c r="A780" s="26" t="s">
        <v>258</v>
      </c>
      <c r="B780" s="124">
        <v>46039.0</v>
      </c>
      <c r="C780" s="26" t="s">
        <v>5592</v>
      </c>
      <c r="D780" s="125">
        <v>0.3333333333333333</v>
      </c>
      <c r="E780" s="125">
        <v>0.6666666666666666</v>
      </c>
    </row>
    <row r="781">
      <c r="A781" s="26" t="s">
        <v>261</v>
      </c>
      <c r="B781" s="124">
        <v>46039.0</v>
      </c>
      <c r="C781" s="26" t="s">
        <v>5592</v>
      </c>
      <c r="D781" s="125">
        <v>0.4166666666666667</v>
      </c>
      <c r="E781" s="125">
        <v>0.75</v>
      </c>
    </row>
    <row r="782">
      <c r="A782" s="26" t="s">
        <v>265</v>
      </c>
      <c r="B782" s="124">
        <v>46039.0</v>
      </c>
      <c r="C782" s="26" t="s">
        <v>5592</v>
      </c>
      <c r="D782" s="125">
        <v>0.3333333333333333</v>
      </c>
      <c r="E782" s="125">
        <v>0.6666666666666666</v>
      </c>
    </row>
    <row r="783">
      <c r="A783" s="26" t="s">
        <v>269</v>
      </c>
      <c r="B783" s="124">
        <v>46039.0</v>
      </c>
      <c r="C783" s="26" t="s">
        <v>5592</v>
      </c>
      <c r="D783" s="125">
        <v>0.3333333333333333</v>
      </c>
      <c r="E783" s="125">
        <v>0.6666666666666666</v>
      </c>
    </row>
    <row r="784">
      <c r="A784" s="26" t="s">
        <v>276</v>
      </c>
      <c r="B784" s="124">
        <v>46039.0</v>
      </c>
      <c r="C784" s="26" t="s">
        <v>5592</v>
      </c>
      <c r="D784" s="125">
        <v>0.3333333333333333</v>
      </c>
      <c r="E784" s="125">
        <v>0.6666666666666666</v>
      </c>
    </row>
    <row r="785">
      <c r="A785" s="26" t="s">
        <v>280</v>
      </c>
      <c r="B785" s="124">
        <v>46039.0</v>
      </c>
      <c r="C785" s="26" t="s">
        <v>5592</v>
      </c>
      <c r="D785" s="125">
        <v>0.4166666666666667</v>
      </c>
      <c r="E785" s="125">
        <v>0.75</v>
      </c>
    </row>
    <row r="786">
      <c r="A786" s="26" t="s">
        <v>243</v>
      </c>
      <c r="B786" s="124">
        <v>46038.0</v>
      </c>
      <c r="C786" s="26" t="s">
        <v>5592</v>
      </c>
      <c r="D786" s="125">
        <v>0.3333333333333333</v>
      </c>
      <c r="E786" s="125">
        <v>0.6666666666666666</v>
      </c>
    </row>
    <row r="787">
      <c r="A787" s="26" t="s">
        <v>248</v>
      </c>
      <c r="B787" s="124">
        <v>46038.0</v>
      </c>
      <c r="C787" s="26" t="s">
        <v>5592</v>
      </c>
      <c r="D787" s="125">
        <v>0.3333333333333333</v>
      </c>
      <c r="E787" s="125">
        <v>0.6666666666666666</v>
      </c>
    </row>
    <row r="788">
      <c r="A788" s="26" t="s">
        <v>253</v>
      </c>
      <c r="B788" s="124">
        <v>46038.0</v>
      </c>
      <c r="C788" s="26" t="s">
        <v>5592</v>
      </c>
      <c r="D788" s="125">
        <v>0.4166666666666667</v>
      </c>
      <c r="E788" s="125">
        <v>0.75</v>
      </c>
    </row>
    <row r="789">
      <c r="A789" s="26" t="s">
        <v>258</v>
      </c>
      <c r="B789" s="124">
        <v>46038.0</v>
      </c>
      <c r="C789" s="26" t="s">
        <v>5592</v>
      </c>
      <c r="D789" s="125">
        <v>0.3333333333333333</v>
      </c>
      <c r="E789" s="125">
        <v>0.6666666666666666</v>
      </c>
    </row>
    <row r="790">
      <c r="A790" s="26" t="s">
        <v>261</v>
      </c>
      <c r="B790" s="124">
        <v>46038.0</v>
      </c>
      <c r="C790" s="26" t="s">
        <v>5592</v>
      </c>
      <c r="D790" s="125">
        <v>0.4166666666666667</v>
      </c>
      <c r="E790" s="125">
        <v>0.75</v>
      </c>
    </row>
    <row r="791">
      <c r="A791" s="26" t="s">
        <v>265</v>
      </c>
      <c r="B791" s="124">
        <v>46038.0</v>
      </c>
      <c r="C791" s="26" t="s">
        <v>5592</v>
      </c>
      <c r="D791" s="125">
        <v>0.3333333333333333</v>
      </c>
      <c r="E791" s="125">
        <v>0.6666666666666666</v>
      </c>
    </row>
    <row r="792">
      <c r="A792" s="26" t="s">
        <v>269</v>
      </c>
      <c r="B792" s="124">
        <v>46038.0</v>
      </c>
      <c r="C792" s="26" t="s">
        <v>5592</v>
      </c>
      <c r="D792" s="125">
        <v>0.3333333333333333</v>
      </c>
      <c r="E792" s="125">
        <v>0.6666666666666666</v>
      </c>
    </row>
    <row r="793">
      <c r="A793" s="26" t="s">
        <v>276</v>
      </c>
      <c r="B793" s="124">
        <v>46038.0</v>
      </c>
      <c r="C793" s="26" t="s">
        <v>5592</v>
      </c>
      <c r="D793" s="125">
        <v>0.3333333333333333</v>
      </c>
      <c r="E793" s="125">
        <v>0.6666666666666666</v>
      </c>
    </row>
    <row r="794">
      <c r="A794" s="26" t="s">
        <v>280</v>
      </c>
      <c r="B794" s="124">
        <v>46038.0</v>
      </c>
      <c r="C794" s="26" t="s">
        <v>5592</v>
      </c>
      <c r="D794" s="125">
        <v>0.4166666666666667</v>
      </c>
      <c r="E794" s="125">
        <v>0.75</v>
      </c>
    </row>
    <row r="795">
      <c r="A795" s="26" t="s">
        <v>243</v>
      </c>
      <c r="B795" s="124">
        <v>46037.0</v>
      </c>
      <c r="C795" s="26" t="s">
        <v>5592</v>
      </c>
      <c r="D795" s="125">
        <v>0.3333333333333333</v>
      </c>
      <c r="E795" s="125">
        <v>0.6666666666666666</v>
      </c>
    </row>
    <row r="796">
      <c r="A796" s="26" t="s">
        <v>248</v>
      </c>
      <c r="B796" s="124">
        <v>46037.0</v>
      </c>
      <c r="C796" s="26" t="s">
        <v>5592</v>
      </c>
      <c r="D796" s="125">
        <v>0.3333333333333333</v>
      </c>
      <c r="E796" s="125">
        <v>0.6666666666666666</v>
      </c>
    </row>
    <row r="797">
      <c r="A797" s="26" t="s">
        <v>253</v>
      </c>
      <c r="B797" s="124">
        <v>46037.0</v>
      </c>
      <c r="C797" s="26" t="s">
        <v>5592</v>
      </c>
      <c r="D797" s="125">
        <v>0.4166666666666667</v>
      </c>
      <c r="E797" s="125">
        <v>0.75</v>
      </c>
    </row>
    <row r="798">
      <c r="A798" s="26" t="s">
        <v>258</v>
      </c>
      <c r="B798" s="124">
        <v>46037.0</v>
      </c>
      <c r="C798" s="26" t="s">
        <v>5592</v>
      </c>
      <c r="D798" s="125">
        <v>0.3333333333333333</v>
      </c>
      <c r="E798" s="125">
        <v>0.6666666666666666</v>
      </c>
    </row>
    <row r="799">
      <c r="A799" s="26" t="s">
        <v>261</v>
      </c>
      <c r="B799" s="124">
        <v>46037.0</v>
      </c>
      <c r="C799" s="26" t="s">
        <v>5592</v>
      </c>
      <c r="D799" s="125">
        <v>0.4166666666666667</v>
      </c>
      <c r="E799" s="125">
        <v>0.75</v>
      </c>
    </row>
    <row r="800">
      <c r="A800" s="26" t="s">
        <v>265</v>
      </c>
      <c r="B800" s="124">
        <v>46037.0</v>
      </c>
      <c r="C800" s="26" t="s">
        <v>5592</v>
      </c>
      <c r="D800" s="125">
        <v>0.3333333333333333</v>
      </c>
      <c r="E800" s="125">
        <v>0.6666666666666666</v>
      </c>
    </row>
    <row r="801">
      <c r="A801" s="26" t="s">
        <v>269</v>
      </c>
      <c r="B801" s="124">
        <v>46037.0</v>
      </c>
      <c r="C801" s="26" t="s">
        <v>5592</v>
      </c>
      <c r="D801" s="125">
        <v>0.3333333333333333</v>
      </c>
      <c r="E801" s="125">
        <v>0.6666666666666666</v>
      </c>
    </row>
    <row r="802">
      <c r="A802" s="26" t="s">
        <v>276</v>
      </c>
      <c r="B802" s="124">
        <v>46037.0</v>
      </c>
      <c r="C802" s="26" t="s">
        <v>5592</v>
      </c>
      <c r="D802" s="125">
        <v>0.3333333333333333</v>
      </c>
      <c r="E802" s="125">
        <v>0.6666666666666666</v>
      </c>
    </row>
    <row r="803">
      <c r="A803" s="26" t="s">
        <v>280</v>
      </c>
      <c r="B803" s="124">
        <v>46037.0</v>
      </c>
      <c r="C803" s="26" t="s">
        <v>5592</v>
      </c>
      <c r="D803" s="125">
        <v>0.4166666666666667</v>
      </c>
      <c r="E803" s="125">
        <v>0.75</v>
      </c>
    </row>
    <row r="804">
      <c r="A804" s="26" t="s">
        <v>243</v>
      </c>
      <c r="B804" s="124">
        <v>46036.0</v>
      </c>
      <c r="C804" s="26" t="s">
        <v>5592</v>
      </c>
      <c r="D804" s="125">
        <v>0.3333333333333333</v>
      </c>
      <c r="E804" s="125">
        <v>0.6666666666666666</v>
      </c>
    </row>
    <row r="805">
      <c r="A805" s="26" t="s">
        <v>248</v>
      </c>
      <c r="B805" s="124">
        <v>46036.0</v>
      </c>
      <c r="C805" s="26" t="s">
        <v>5592</v>
      </c>
      <c r="D805" s="125">
        <v>0.3333333333333333</v>
      </c>
      <c r="E805" s="125">
        <v>0.6666666666666666</v>
      </c>
    </row>
    <row r="806">
      <c r="A806" s="26" t="s">
        <v>253</v>
      </c>
      <c r="B806" s="124">
        <v>46036.0</v>
      </c>
      <c r="C806" s="26" t="s">
        <v>5592</v>
      </c>
      <c r="D806" s="125">
        <v>0.4166666666666667</v>
      </c>
      <c r="E806" s="125">
        <v>0.75</v>
      </c>
    </row>
    <row r="807">
      <c r="A807" s="26" t="s">
        <v>258</v>
      </c>
      <c r="B807" s="124">
        <v>46036.0</v>
      </c>
      <c r="C807" s="26" t="s">
        <v>5592</v>
      </c>
      <c r="D807" s="125">
        <v>0.3333333333333333</v>
      </c>
      <c r="E807" s="125">
        <v>0.6666666666666666</v>
      </c>
    </row>
    <row r="808">
      <c r="A808" s="26" t="s">
        <v>261</v>
      </c>
      <c r="B808" s="124">
        <v>46036.0</v>
      </c>
      <c r="C808" s="26" t="s">
        <v>5592</v>
      </c>
      <c r="D808" s="125">
        <v>0.4166666666666667</v>
      </c>
      <c r="E808" s="125">
        <v>0.75</v>
      </c>
    </row>
    <row r="809">
      <c r="A809" s="26" t="s">
        <v>265</v>
      </c>
      <c r="B809" s="124">
        <v>46036.0</v>
      </c>
      <c r="C809" s="26" t="s">
        <v>5592</v>
      </c>
      <c r="D809" s="125">
        <v>0.3333333333333333</v>
      </c>
      <c r="E809" s="125">
        <v>0.6666666666666666</v>
      </c>
    </row>
    <row r="810">
      <c r="A810" s="26" t="s">
        <v>269</v>
      </c>
      <c r="B810" s="124">
        <v>46036.0</v>
      </c>
      <c r="C810" s="26" t="s">
        <v>5592</v>
      </c>
      <c r="D810" s="125">
        <v>0.3333333333333333</v>
      </c>
      <c r="E810" s="125">
        <v>0.6666666666666666</v>
      </c>
    </row>
    <row r="811">
      <c r="A811" s="26" t="s">
        <v>276</v>
      </c>
      <c r="B811" s="124">
        <v>46036.0</v>
      </c>
      <c r="C811" s="26" t="s">
        <v>5592</v>
      </c>
      <c r="D811" s="125">
        <v>0.3333333333333333</v>
      </c>
      <c r="E811" s="125">
        <v>0.6666666666666666</v>
      </c>
    </row>
    <row r="812">
      <c r="A812" s="26" t="s">
        <v>280</v>
      </c>
      <c r="B812" s="124">
        <v>46036.0</v>
      </c>
      <c r="C812" s="26" t="s">
        <v>5592</v>
      </c>
      <c r="D812" s="125">
        <v>0.4166666666666667</v>
      </c>
      <c r="E812" s="125">
        <v>0.75</v>
      </c>
    </row>
    <row r="813">
      <c r="A813" s="26" t="s">
        <v>243</v>
      </c>
      <c r="B813" s="124">
        <v>46035.0</v>
      </c>
      <c r="C813" s="26" t="s">
        <v>5592</v>
      </c>
      <c r="D813" s="125">
        <v>0.3333333333333333</v>
      </c>
      <c r="E813" s="125">
        <v>0.6666666666666666</v>
      </c>
    </row>
    <row r="814">
      <c r="A814" s="26" t="s">
        <v>248</v>
      </c>
      <c r="B814" s="124">
        <v>46035.0</v>
      </c>
      <c r="C814" s="26" t="s">
        <v>5592</v>
      </c>
      <c r="D814" s="125">
        <v>0.3333333333333333</v>
      </c>
      <c r="E814" s="125">
        <v>0.6666666666666666</v>
      </c>
    </row>
    <row r="815">
      <c r="A815" s="26" t="s">
        <v>253</v>
      </c>
      <c r="B815" s="124">
        <v>46035.0</v>
      </c>
      <c r="C815" s="26" t="s">
        <v>5592</v>
      </c>
      <c r="D815" s="125">
        <v>0.4166666666666667</v>
      </c>
      <c r="E815" s="125">
        <v>0.75</v>
      </c>
    </row>
    <row r="816">
      <c r="A816" s="26" t="s">
        <v>258</v>
      </c>
      <c r="B816" s="124">
        <v>46035.0</v>
      </c>
      <c r="C816" s="26" t="s">
        <v>5592</v>
      </c>
      <c r="D816" s="125">
        <v>0.3333333333333333</v>
      </c>
      <c r="E816" s="125">
        <v>0.6666666666666666</v>
      </c>
    </row>
    <row r="817">
      <c r="A817" s="26" t="s">
        <v>261</v>
      </c>
      <c r="B817" s="124">
        <v>46035.0</v>
      </c>
      <c r="C817" s="26" t="s">
        <v>5592</v>
      </c>
      <c r="D817" s="125">
        <v>0.4166666666666667</v>
      </c>
      <c r="E817" s="125">
        <v>0.75</v>
      </c>
    </row>
    <row r="818">
      <c r="A818" s="26" t="s">
        <v>265</v>
      </c>
      <c r="B818" s="124">
        <v>46035.0</v>
      </c>
      <c r="C818" s="26" t="s">
        <v>5592</v>
      </c>
      <c r="D818" s="125">
        <v>0.3333333333333333</v>
      </c>
      <c r="E818" s="125">
        <v>0.6666666666666666</v>
      </c>
    </row>
    <row r="819">
      <c r="A819" s="26" t="s">
        <v>269</v>
      </c>
      <c r="B819" s="124">
        <v>46035.0</v>
      </c>
      <c r="C819" s="26" t="s">
        <v>5592</v>
      </c>
      <c r="D819" s="125">
        <v>0.3333333333333333</v>
      </c>
      <c r="E819" s="125">
        <v>0.6666666666666666</v>
      </c>
    </row>
    <row r="820">
      <c r="A820" s="26" t="s">
        <v>276</v>
      </c>
      <c r="B820" s="124">
        <v>46035.0</v>
      </c>
      <c r="C820" s="26" t="s">
        <v>5592</v>
      </c>
      <c r="D820" s="125">
        <v>0.3333333333333333</v>
      </c>
      <c r="E820" s="125">
        <v>0.6666666666666666</v>
      </c>
    </row>
    <row r="821">
      <c r="A821" s="26" t="s">
        <v>280</v>
      </c>
      <c r="B821" s="124">
        <v>46035.0</v>
      </c>
      <c r="C821" s="26" t="s">
        <v>5592</v>
      </c>
      <c r="D821" s="125">
        <v>0.4166666666666667</v>
      </c>
      <c r="E821" s="125">
        <v>0.75</v>
      </c>
    </row>
    <row r="822">
      <c r="A822" s="26" t="s">
        <v>243</v>
      </c>
      <c r="B822" s="124">
        <v>46034.0</v>
      </c>
      <c r="C822" s="26" t="s">
        <v>5592</v>
      </c>
      <c r="D822" s="125">
        <v>0.3333333333333333</v>
      </c>
      <c r="E822" s="125">
        <v>0.6666666666666666</v>
      </c>
    </row>
    <row r="823">
      <c r="A823" s="26" t="s">
        <v>248</v>
      </c>
      <c r="B823" s="124">
        <v>46034.0</v>
      </c>
      <c r="C823" s="26" t="s">
        <v>5592</v>
      </c>
      <c r="D823" s="125">
        <v>0.3333333333333333</v>
      </c>
      <c r="E823" s="125">
        <v>0.6666666666666666</v>
      </c>
    </row>
    <row r="824">
      <c r="A824" s="26" t="s">
        <v>253</v>
      </c>
      <c r="B824" s="124">
        <v>46034.0</v>
      </c>
      <c r="C824" s="26" t="s">
        <v>5592</v>
      </c>
      <c r="D824" s="125">
        <v>0.4166666666666667</v>
      </c>
      <c r="E824" s="125">
        <v>0.75</v>
      </c>
    </row>
    <row r="825">
      <c r="A825" s="26" t="s">
        <v>258</v>
      </c>
      <c r="B825" s="124">
        <v>46034.0</v>
      </c>
      <c r="C825" s="26" t="s">
        <v>5592</v>
      </c>
      <c r="D825" s="125">
        <v>0.3333333333333333</v>
      </c>
      <c r="E825" s="125">
        <v>0.6666666666666666</v>
      </c>
    </row>
    <row r="826">
      <c r="A826" s="26" t="s">
        <v>261</v>
      </c>
      <c r="B826" s="124">
        <v>46034.0</v>
      </c>
      <c r="C826" s="26" t="s">
        <v>5592</v>
      </c>
      <c r="D826" s="125">
        <v>0.4166666666666667</v>
      </c>
      <c r="E826" s="125">
        <v>0.75</v>
      </c>
    </row>
    <row r="827">
      <c r="A827" s="26" t="s">
        <v>265</v>
      </c>
      <c r="B827" s="124">
        <v>46034.0</v>
      </c>
      <c r="C827" s="26" t="s">
        <v>5592</v>
      </c>
      <c r="D827" s="125">
        <v>0.3333333333333333</v>
      </c>
      <c r="E827" s="125">
        <v>0.6666666666666666</v>
      </c>
    </row>
    <row r="828">
      <c r="A828" s="26" t="s">
        <v>269</v>
      </c>
      <c r="B828" s="124">
        <v>46034.0</v>
      </c>
      <c r="C828" s="26" t="s">
        <v>5592</v>
      </c>
      <c r="D828" s="125">
        <v>0.3333333333333333</v>
      </c>
      <c r="E828" s="125">
        <v>0.6666666666666666</v>
      </c>
    </row>
    <row r="829">
      <c r="A829" s="26" t="s">
        <v>276</v>
      </c>
      <c r="B829" s="124">
        <v>46034.0</v>
      </c>
      <c r="C829" s="26" t="s">
        <v>5592</v>
      </c>
      <c r="D829" s="125">
        <v>0.3333333333333333</v>
      </c>
      <c r="E829" s="125">
        <v>0.6666666666666666</v>
      </c>
    </row>
    <row r="830">
      <c r="A830" s="26" t="s">
        <v>280</v>
      </c>
      <c r="B830" s="124">
        <v>46034.0</v>
      </c>
      <c r="C830" s="26" t="s">
        <v>5592</v>
      </c>
      <c r="D830" s="125">
        <v>0.4166666666666667</v>
      </c>
      <c r="E830" s="125">
        <v>0.75</v>
      </c>
    </row>
    <row r="831">
      <c r="A831" s="26" t="s">
        <v>243</v>
      </c>
      <c r="B831" s="124">
        <v>46032.0</v>
      </c>
      <c r="C831" s="26" t="s">
        <v>5592</v>
      </c>
      <c r="D831" s="125">
        <v>0.3333333333333333</v>
      </c>
      <c r="E831" s="125">
        <v>0.6666666666666666</v>
      </c>
    </row>
    <row r="832">
      <c r="A832" s="26" t="s">
        <v>248</v>
      </c>
      <c r="B832" s="124">
        <v>46032.0</v>
      </c>
      <c r="C832" s="26" t="s">
        <v>5592</v>
      </c>
      <c r="D832" s="125">
        <v>0.3333333333333333</v>
      </c>
      <c r="E832" s="125">
        <v>0.6666666666666666</v>
      </c>
    </row>
    <row r="833">
      <c r="A833" s="26" t="s">
        <v>253</v>
      </c>
      <c r="B833" s="124">
        <v>46032.0</v>
      </c>
      <c r="C833" s="26" t="s">
        <v>5592</v>
      </c>
      <c r="D833" s="125">
        <v>0.4166666666666667</v>
      </c>
      <c r="E833" s="125">
        <v>0.75</v>
      </c>
    </row>
    <row r="834">
      <c r="A834" s="26" t="s">
        <v>258</v>
      </c>
      <c r="B834" s="124">
        <v>46032.0</v>
      </c>
      <c r="C834" s="26" t="s">
        <v>5592</v>
      </c>
      <c r="D834" s="125">
        <v>0.3333333333333333</v>
      </c>
      <c r="E834" s="125">
        <v>0.6666666666666666</v>
      </c>
    </row>
    <row r="835">
      <c r="A835" s="26" t="s">
        <v>261</v>
      </c>
      <c r="B835" s="124">
        <v>46032.0</v>
      </c>
      <c r="C835" s="26" t="s">
        <v>5592</v>
      </c>
      <c r="D835" s="125">
        <v>0.4166666666666667</v>
      </c>
      <c r="E835" s="125">
        <v>0.75</v>
      </c>
    </row>
    <row r="836">
      <c r="A836" s="26" t="s">
        <v>265</v>
      </c>
      <c r="B836" s="124">
        <v>46032.0</v>
      </c>
      <c r="C836" s="26" t="s">
        <v>5592</v>
      </c>
      <c r="D836" s="125">
        <v>0.3333333333333333</v>
      </c>
      <c r="E836" s="125">
        <v>0.6666666666666666</v>
      </c>
    </row>
    <row r="837">
      <c r="A837" s="26" t="s">
        <v>269</v>
      </c>
      <c r="B837" s="124">
        <v>46032.0</v>
      </c>
      <c r="C837" s="26" t="s">
        <v>5592</v>
      </c>
      <c r="D837" s="125">
        <v>0.3333333333333333</v>
      </c>
      <c r="E837" s="125">
        <v>0.6666666666666666</v>
      </c>
    </row>
    <row r="838">
      <c r="A838" s="26" t="s">
        <v>276</v>
      </c>
      <c r="B838" s="124">
        <v>46032.0</v>
      </c>
      <c r="C838" s="26" t="s">
        <v>5592</v>
      </c>
      <c r="D838" s="125">
        <v>0.3333333333333333</v>
      </c>
      <c r="E838" s="125">
        <v>0.6666666666666666</v>
      </c>
    </row>
    <row r="839">
      <c r="A839" s="26" t="s">
        <v>280</v>
      </c>
      <c r="B839" s="124">
        <v>46032.0</v>
      </c>
      <c r="C839" s="26" t="s">
        <v>5592</v>
      </c>
      <c r="D839" s="125">
        <v>0.4166666666666667</v>
      </c>
      <c r="E839" s="125">
        <v>0.75</v>
      </c>
    </row>
    <row r="840">
      <c r="A840" s="26" t="s">
        <v>243</v>
      </c>
      <c r="B840" s="124">
        <v>46031.0</v>
      </c>
      <c r="C840" s="26" t="s">
        <v>5592</v>
      </c>
      <c r="D840" s="125">
        <v>0.3333333333333333</v>
      </c>
      <c r="E840" s="125">
        <v>0.6666666666666666</v>
      </c>
    </row>
    <row r="841">
      <c r="A841" s="26" t="s">
        <v>248</v>
      </c>
      <c r="B841" s="124">
        <v>46031.0</v>
      </c>
      <c r="C841" s="26" t="s">
        <v>5592</v>
      </c>
      <c r="D841" s="125">
        <v>0.3333333333333333</v>
      </c>
      <c r="E841" s="125">
        <v>0.6666666666666666</v>
      </c>
    </row>
    <row r="842">
      <c r="A842" s="26" t="s">
        <v>253</v>
      </c>
      <c r="B842" s="124">
        <v>46031.0</v>
      </c>
      <c r="C842" s="26" t="s">
        <v>5592</v>
      </c>
      <c r="D842" s="125">
        <v>0.4166666666666667</v>
      </c>
      <c r="E842" s="125">
        <v>0.75</v>
      </c>
    </row>
    <row r="843">
      <c r="A843" s="26" t="s">
        <v>258</v>
      </c>
      <c r="B843" s="124">
        <v>46031.0</v>
      </c>
      <c r="C843" s="26" t="s">
        <v>5592</v>
      </c>
      <c r="D843" s="125">
        <v>0.3333333333333333</v>
      </c>
      <c r="E843" s="125">
        <v>0.6666666666666666</v>
      </c>
    </row>
    <row r="844">
      <c r="A844" s="26" t="s">
        <v>261</v>
      </c>
      <c r="B844" s="124">
        <v>46031.0</v>
      </c>
      <c r="C844" s="26" t="s">
        <v>5592</v>
      </c>
      <c r="D844" s="125">
        <v>0.4166666666666667</v>
      </c>
      <c r="E844" s="125">
        <v>0.75</v>
      </c>
    </row>
    <row r="845">
      <c r="A845" s="26" t="s">
        <v>265</v>
      </c>
      <c r="B845" s="124">
        <v>46031.0</v>
      </c>
      <c r="C845" s="26" t="s">
        <v>5592</v>
      </c>
      <c r="D845" s="125">
        <v>0.3333333333333333</v>
      </c>
      <c r="E845" s="125">
        <v>0.6666666666666666</v>
      </c>
    </row>
    <row r="846">
      <c r="A846" s="26" t="s">
        <v>269</v>
      </c>
      <c r="B846" s="124">
        <v>46031.0</v>
      </c>
      <c r="C846" s="26" t="s">
        <v>5592</v>
      </c>
      <c r="D846" s="125">
        <v>0.3333333333333333</v>
      </c>
      <c r="E846" s="125">
        <v>0.6666666666666666</v>
      </c>
    </row>
    <row r="847">
      <c r="A847" s="26" t="s">
        <v>276</v>
      </c>
      <c r="B847" s="124">
        <v>46031.0</v>
      </c>
      <c r="C847" s="26" t="s">
        <v>5592</v>
      </c>
      <c r="D847" s="125">
        <v>0.3333333333333333</v>
      </c>
      <c r="E847" s="125">
        <v>0.6666666666666666</v>
      </c>
    </row>
    <row r="848">
      <c r="A848" s="26" t="s">
        <v>280</v>
      </c>
      <c r="B848" s="124">
        <v>46031.0</v>
      </c>
      <c r="C848" s="26" t="s">
        <v>5592</v>
      </c>
      <c r="D848" s="125">
        <v>0.4166666666666667</v>
      </c>
      <c r="E848" s="125">
        <v>0.75</v>
      </c>
    </row>
    <row r="849">
      <c r="A849" s="26" t="s">
        <v>243</v>
      </c>
      <c r="B849" s="124">
        <v>46030.0</v>
      </c>
      <c r="C849" s="26" t="s">
        <v>5592</v>
      </c>
      <c r="D849" s="125">
        <v>0.3333333333333333</v>
      </c>
      <c r="E849" s="125">
        <v>0.6666666666666666</v>
      </c>
    </row>
    <row r="850">
      <c r="A850" s="26" t="s">
        <v>248</v>
      </c>
      <c r="B850" s="124">
        <v>46030.0</v>
      </c>
      <c r="C850" s="26" t="s">
        <v>5592</v>
      </c>
      <c r="D850" s="125">
        <v>0.3333333333333333</v>
      </c>
      <c r="E850" s="125">
        <v>0.6666666666666666</v>
      </c>
    </row>
    <row r="851">
      <c r="A851" s="26" t="s">
        <v>253</v>
      </c>
      <c r="B851" s="124">
        <v>46030.0</v>
      </c>
      <c r="C851" s="26" t="s">
        <v>5592</v>
      </c>
      <c r="D851" s="125">
        <v>0.4166666666666667</v>
      </c>
      <c r="E851" s="125">
        <v>0.75</v>
      </c>
    </row>
    <row r="852">
      <c r="A852" s="26" t="s">
        <v>258</v>
      </c>
      <c r="B852" s="124">
        <v>46030.0</v>
      </c>
      <c r="C852" s="26" t="s">
        <v>5592</v>
      </c>
      <c r="D852" s="125">
        <v>0.3333333333333333</v>
      </c>
      <c r="E852" s="125">
        <v>0.6666666666666666</v>
      </c>
    </row>
    <row r="853">
      <c r="A853" s="26" t="s">
        <v>261</v>
      </c>
      <c r="B853" s="124">
        <v>46030.0</v>
      </c>
      <c r="C853" s="26" t="s">
        <v>5592</v>
      </c>
      <c r="D853" s="125">
        <v>0.4166666666666667</v>
      </c>
      <c r="E853" s="125">
        <v>0.75</v>
      </c>
    </row>
    <row r="854">
      <c r="A854" s="26" t="s">
        <v>265</v>
      </c>
      <c r="B854" s="124">
        <v>46030.0</v>
      </c>
      <c r="C854" s="26" t="s">
        <v>5592</v>
      </c>
      <c r="D854" s="125">
        <v>0.3333333333333333</v>
      </c>
      <c r="E854" s="125">
        <v>0.6666666666666666</v>
      </c>
    </row>
    <row r="855">
      <c r="A855" s="26" t="s">
        <v>269</v>
      </c>
      <c r="B855" s="124">
        <v>46030.0</v>
      </c>
      <c r="C855" s="26" t="s">
        <v>5592</v>
      </c>
      <c r="D855" s="125">
        <v>0.3333333333333333</v>
      </c>
      <c r="E855" s="125">
        <v>0.6666666666666666</v>
      </c>
    </row>
    <row r="856">
      <c r="A856" s="26" t="s">
        <v>276</v>
      </c>
      <c r="B856" s="124">
        <v>46030.0</v>
      </c>
      <c r="C856" s="26" t="s">
        <v>5592</v>
      </c>
      <c r="D856" s="125">
        <v>0.3333333333333333</v>
      </c>
      <c r="E856" s="125">
        <v>0.6666666666666666</v>
      </c>
    </row>
    <row r="857">
      <c r="A857" s="26" t="s">
        <v>280</v>
      </c>
      <c r="B857" s="124">
        <v>46030.0</v>
      </c>
      <c r="C857" s="26" t="s">
        <v>5592</v>
      </c>
      <c r="D857" s="125">
        <v>0.4166666666666667</v>
      </c>
      <c r="E857" s="125">
        <v>0.75</v>
      </c>
    </row>
    <row r="858">
      <c r="A858" s="26" t="s">
        <v>243</v>
      </c>
      <c r="B858" s="124">
        <v>46029.0</v>
      </c>
      <c r="C858" s="26" t="s">
        <v>5592</v>
      </c>
      <c r="D858" s="125">
        <v>0.3333333333333333</v>
      </c>
      <c r="E858" s="125">
        <v>0.6666666666666666</v>
      </c>
    </row>
    <row r="859">
      <c r="A859" s="26" t="s">
        <v>248</v>
      </c>
      <c r="B859" s="124">
        <v>46029.0</v>
      </c>
      <c r="C859" s="26" t="s">
        <v>5592</v>
      </c>
      <c r="D859" s="125">
        <v>0.3333333333333333</v>
      </c>
      <c r="E859" s="125">
        <v>0.6666666666666666</v>
      </c>
    </row>
    <row r="860">
      <c r="A860" s="26" t="s">
        <v>253</v>
      </c>
      <c r="B860" s="124">
        <v>46029.0</v>
      </c>
      <c r="C860" s="26" t="s">
        <v>5592</v>
      </c>
      <c r="D860" s="125">
        <v>0.4166666666666667</v>
      </c>
      <c r="E860" s="125">
        <v>0.75</v>
      </c>
    </row>
    <row r="861">
      <c r="A861" s="26" t="s">
        <v>258</v>
      </c>
      <c r="B861" s="124">
        <v>46029.0</v>
      </c>
      <c r="C861" s="26" t="s">
        <v>5592</v>
      </c>
      <c r="D861" s="125">
        <v>0.3333333333333333</v>
      </c>
      <c r="E861" s="125">
        <v>0.6666666666666666</v>
      </c>
    </row>
    <row r="862">
      <c r="A862" s="26" t="s">
        <v>261</v>
      </c>
      <c r="B862" s="124">
        <v>46029.0</v>
      </c>
      <c r="C862" s="26" t="s">
        <v>5592</v>
      </c>
      <c r="D862" s="125">
        <v>0.4166666666666667</v>
      </c>
      <c r="E862" s="125">
        <v>0.75</v>
      </c>
    </row>
    <row r="863">
      <c r="A863" s="26" t="s">
        <v>265</v>
      </c>
      <c r="B863" s="124">
        <v>46029.0</v>
      </c>
      <c r="C863" s="26" t="s">
        <v>5592</v>
      </c>
      <c r="D863" s="125">
        <v>0.3333333333333333</v>
      </c>
      <c r="E863" s="125">
        <v>0.6666666666666666</v>
      </c>
    </row>
    <row r="864">
      <c r="A864" s="26" t="s">
        <v>269</v>
      </c>
      <c r="B864" s="124">
        <v>46029.0</v>
      </c>
      <c r="C864" s="26" t="s">
        <v>5592</v>
      </c>
      <c r="D864" s="125">
        <v>0.3333333333333333</v>
      </c>
      <c r="E864" s="125">
        <v>0.6666666666666666</v>
      </c>
    </row>
    <row r="865">
      <c r="A865" s="26" t="s">
        <v>276</v>
      </c>
      <c r="B865" s="124">
        <v>46029.0</v>
      </c>
      <c r="C865" s="26" t="s">
        <v>5592</v>
      </c>
      <c r="D865" s="125">
        <v>0.3333333333333333</v>
      </c>
      <c r="E865" s="125">
        <v>0.6666666666666666</v>
      </c>
    </row>
    <row r="866">
      <c r="A866" s="26" t="s">
        <v>280</v>
      </c>
      <c r="B866" s="124">
        <v>46029.0</v>
      </c>
      <c r="C866" s="26" t="s">
        <v>5592</v>
      </c>
      <c r="D866" s="125">
        <v>0.4166666666666667</v>
      </c>
      <c r="E866" s="125">
        <v>0.75</v>
      </c>
    </row>
    <row r="867">
      <c r="A867" s="26" t="s">
        <v>243</v>
      </c>
      <c r="B867" s="124">
        <v>46028.0</v>
      </c>
      <c r="C867" s="26" t="s">
        <v>5592</v>
      </c>
      <c r="D867" s="125">
        <v>0.3333333333333333</v>
      </c>
      <c r="E867" s="125">
        <v>0.6666666666666666</v>
      </c>
    </row>
    <row r="868">
      <c r="A868" s="26" t="s">
        <v>248</v>
      </c>
      <c r="B868" s="124">
        <v>46028.0</v>
      </c>
      <c r="C868" s="26" t="s">
        <v>5592</v>
      </c>
      <c r="D868" s="125">
        <v>0.3333333333333333</v>
      </c>
      <c r="E868" s="125">
        <v>0.6666666666666666</v>
      </c>
    </row>
    <row r="869">
      <c r="A869" s="26" t="s">
        <v>253</v>
      </c>
      <c r="B869" s="124">
        <v>46028.0</v>
      </c>
      <c r="C869" s="26" t="s">
        <v>5592</v>
      </c>
      <c r="D869" s="125">
        <v>0.4166666666666667</v>
      </c>
      <c r="E869" s="125">
        <v>0.75</v>
      </c>
    </row>
    <row r="870">
      <c r="A870" s="26" t="s">
        <v>258</v>
      </c>
      <c r="B870" s="124">
        <v>46028.0</v>
      </c>
      <c r="C870" s="26" t="s">
        <v>5592</v>
      </c>
      <c r="D870" s="125">
        <v>0.3333333333333333</v>
      </c>
      <c r="E870" s="125">
        <v>0.6666666666666666</v>
      </c>
    </row>
    <row r="871">
      <c r="A871" s="26" t="s">
        <v>261</v>
      </c>
      <c r="B871" s="124">
        <v>46028.0</v>
      </c>
      <c r="C871" s="26" t="s">
        <v>5592</v>
      </c>
      <c r="D871" s="125">
        <v>0.4166666666666667</v>
      </c>
      <c r="E871" s="125">
        <v>0.75</v>
      </c>
    </row>
    <row r="872">
      <c r="A872" s="26" t="s">
        <v>265</v>
      </c>
      <c r="B872" s="124">
        <v>46028.0</v>
      </c>
      <c r="C872" s="26" t="s">
        <v>5592</v>
      </c>
      <c r="D872" s="125">
        <v>0.3333333333333333</v>
      </c>
      <c r="E872" s="125">
        <v>0.6666666666666666</v>
      </c>
    </row>
    <row r="873">
      <c r="A873" s="26" t="s">
        <v>269</v>
      </c>
      <c r="B873" s="124">
        <v>46028.0</v>
      </c>
      <c r="C873" s="26" t="s">
        <v>5592</v>
      </c>
      <c r="D873" s="125">
        <v>0.3333333333333333</v>
      </c>
      <c r="E873" s="125">
        <v>0.6666666666666666</v>
      </c>
    </row>
    <row r="874">
      <c r="A874" s="26" t="s">
        <v>276</v>
      </c>
      <c r="B874" s="124">
        <v>46028.0</v>
      </c>
      <c r="C874" s="26" t="s">
        <v>5592</v>
      </c>
      <c r="D874" s="125">
        <v>0.3333333333333333</v>
      </c>
      <c r="E874" s="125">
        <v>0.6666666666666666</v>
      </c>
    </row>
    <row r="875">
      <c r="A875" s="26" t="s">
        <v>280</v>
      </c>
      <c r="B875" s="124">
        <v>46028.0</v>
      </c>
      <c r="C875" s="26" t="s">
        <v>5592</v>
      </c>
      <c r="D875" s="125">
        <v>0.4166666666666667</v>
      </c>
      <c r="E875" s="125">
        <v>0.75</v>
      </c>
    </row>
    <row r="876">
      <c r="A876" s="26" t="s">
        <v>243</v>
      </c>
      <c r="B876" s="124">
        <v>46027.0</v>
      </c>
      <c r="C876" s="26" t="s">
        <v>5592</v>
      </c>
      <c r="D876" s="125">
        <v>0.3333333333333333</v>
      </c>
      <c r="E876" s="125">
        <v>0.6666666666666666</v>
      </c>
    </row>
    <row r="877">
      <c r="A877" s="26" t="s">
        <v>248</v>
      </c>
      <c r="B877" s="124">
        <v>46027.0</v>
      </c>
      <c r="C877" s="26" t="s">
        <v>5592</v>
      </c>
      <c r="D877" s="125">
        <v>0.3333333333333333</v>
      </c>
      <c r="E877" s="125">
        <v>0.6666666666666666</v>
      </c>
    </row>
    <row r="878">
      <c r="A878" s="26" t="s">
        <v>253</v>
      </c>
      <c r="B878" s="124">
        <v>46027.0</v>
      </c>
      <c r="C878" s="26" t="s">
        <v>5592</v>
      </c>
      <c r="D878" s="125">
        <v>0.4166666666666667</v>
      </c>
      <c r="E878" s="125">
        <v>0.75</v>
      </c>
    </row>
    <row r="879">
      <c r="A879" s="26" t="s">
        <v>258</v>
      </c>
      <c r="B879" s="124">
        <v>46027.0</v>
      </c>
      <c r="C879" s="26" t="s">
        <v>5592</v>
      </c>
      <c r="D879" s="125">
        <v>0.3333333333333333</v>
      </c>
      <c r="E879" s="125">
        <v>0.6666666666666666</v>
      </c>
    </row>
    <row r="880">
      <c r="A880" s="26" t="s">
        <v>261</v>
      </c>
      <c r="B880" s="124">
        <v>46027.0</v>
      </c>
      <c r="C880" s="26" t="s">
        <v>5592</v>
      </c>
      <c r="D880" s="125">
        <v>0.4166666666666667</v>
      </c>
      <c r="E880" s="125">
        <v>0.75</v>
      </c>
    </row>
    <row r="881">
      <c r="A881" s="26" t="s">
        <v>265</v>
      </c>
      <c r="B881" s="124">
        <v>46027.0</v>
      </c>
      <c r="C881" s="26" t="s">
        <v>5592</v>
      </c>
      <c r="D881" s="125">
        <v>0.3333333333333333</v>
      </c>
      <c r="E881" s="125">
        <v>0.6666666666666666</v>
      </c>
    </row>
    <row r="882">
      <c r="A882" s="26" t="s">
        <v>269</v>
      </c>
      <c r="B882" s="124">
        <v>46027.0</v>
      </c>
      <c r="C882" s="26" t="s">
        <v>5592</v>
      </c>
      <c r="D882" s="125">
        <v>0.3333333333333333</v>
      </c>
      <c r="E882" s="125">
        <v>0.6666666666666666</v>
      </c>
    </row>
    <row r="883">
      <c r="A883" s="26" t="s">
        <v>276</v>
      </c>
      <c r="B883" s="124">
        <v>46027.0</v>
      </c>
      <c r="C883" s="26" t="s">
        <v>5592</v>
      </c>
      <c r="D883" s="125">
        <v>0.3333333333333333</v>
      </c>
      <c r="E883" s="125">
        <v>0.6666666666666666</v>
      </c>
    </row>
    <row r="884">
      <c r="A884" s="26" t="s">
        <v>280</v>
      </c>
      <c r="B884" s="124">
        <v>46027.0</v>
      </c>
      <c r="C884" s="26" t="s">
        <v>5592</v>
      </c>
      <c r="D884" s="125">
        <v>0.4166666666666667</v>
      </c>
      <c r="E884" s="125">
        <v>0.75</v>
      </c>
    </row>
    <row r="885">
      <c r="A885" s="26" t="s">
        <v>243</v>
      </c>
      <c r="B885" s="124">
        <v>46025.0</v>
      </c>
      <c r="C885" s="26" t="s">
        <v>5592</v>
      </c>
      <c r="D885" s="125">
        <v>0.3333333333333333</v>
      </c>
      <c r="E885" s="125">
        <v>0.6666666666666666</v>
      </c>
    </row>
    <row r="886">
      <c r="A886" s="26" t="s">
        <v>248</v>
      </c>
      <c r="B886" s="124">
        <v>46025.0</v>
      </c>
      <c r="C886" s="26" t="s">
        <v>5592</v>
      </c>
      <c r="D886" s="125">
        <v>0.3333333333333333</v>
      </c>
      <c r="E886" s="125">
        <v>0.6666666666666666</v>
      </c>
    </row>
    <row r="887">
      <c r="A887" s="26" t="s">
        <v>253</v>
      </c>
      <c r="B887" s="124">
        <v>46025.0</v>
      </c>
      <c r="C887" s="26" t="s">
        <v>5592</v>
      </c>
      <c r="D887" s="125">
        <v>0.4166666666666667</v>
      </c>
      <c r="E887" s="125">
        <v>0.75</v>
      </c>
    </row>
    <row r="888">
      <c r="A888" s="26" t="s">
        <v>258</v>
      </c>
      <c r="B888" s="124">
        <v>46025.0</v>
      </c>
      <c r="C888" s="26" t="s">
        <v>5592</v>
      </c>
      <c r="D888" s="125">
        <v>0.3333333333333333</v>
      </c>
      <c r="E888" s="125">
        <v>0.6666666666666666</v>
      </c>
    </row>
    <row r="889">
      <c r="A889" s="26" t="s">
        <v>261</v>
      </c>
      <c r="B889" s="124">
        <v>46025.0</v>
      </c>
      <c r="C889" s="26" t="s">
        <v>5592</v>
      </c>
      <c r="D889" s="125">
        <v>0.4166666666666667</v>
      </c>
      <c r="E889" s="125">
        <v>0.75</v>
      </c>
    </row>
    <row r="890">
      <c r="A890" s="26" t="s">
        <v>265</v>
      </c>
      <c r="B890" s="124">
        <v>46025.0</v>
      </c>
      <c r="C890" s="26" t="s">
        <v>5592</v>
      </c>
      <c r="D890" s="125">
        <v>0.3333333333333333</v>
      </c>
      <c r="E890" s="125">
        <v>0.6666666666666666</v>
      </c>
    </row>
    <row r="891">
      <c r="A891" s="26" t="s">
        <v>269</v>
      </c>
      <c r="B891" s="124">
        <v>46025.0</v>
      </c>
      <c r="C891" s="26" t="s">
        <v>5592</v>
      </c>
      <c r="D891" s="125">
        <v>0.3333333333333333</v>
      </c>
      <c r="E891" s="125">
        <v>0.6666666666666666</v>
      </c>
    </row>
    <row r="892">
      <c r="A892" s="26" t="s">
        <v>276</v>
      </c>
      <c r="B892" s="124">
        <v>46025.0</v>
      </c>
      <c r="C892" s="26" t="s">
        <v>5592</v>
      </c>
      <c r="D892" s="125">
        <v>0.3333333333333333</v>
      </c>
      <c r="E892" s="125">
        <v>0.6666666666666666</v>
      </c>
    </row>
    <row r="893">
      <c r="A893" s="26" t="s">
        <v>280</v>
      </c>
      <c r="B893" s="124">
        <v>46025.0</v>
      </c>
      <c r="C893" s="26" t="s">
        <v>5592</v>
      </c>
      <c r="D893" s="125">
        <v>0.4166666666666667</v>
      </c>
      <c r="E893" s="125">
        <v>0.75</v>
      </c>
    </row>
    <row r="894">
      <c r="A894" s="26" t="s">
        <v>243</v>
      </c>
      <c r="B894" s="124">
        <v>46024.0</v>
      </c>
      <c r="C894" s="26" t="s">
        <v>5592</v>
      </c>
      <c r="D894" s="125">
        <v>0.3333333333333333</v>
      </c>
      <c r="E894" s="125">
        <v>0.6666666666666666</v>
      </c>
    </row>
    <row r="895">
      <c r="A895" s="26" t="s">
        <v>248</v>
      </c>
      <c r="B895" s="124">
        <v>46024.0</v>
      </c>
      <c r="C895" s="26" t="s">
        <v>5592</v>
      </c>
      <c r="D895" s="125">
        <v>0.3333333333333333</v>
      </c>
      <c r="E895" s="125">
        <v>0.6666666666666666</v>
      </c>
    </row>
    <row r="896">
      <c r="A896" s="26" t="s">
        <v>253</v>
      </c>
      <c r="B896" s="124">
        <v>46024.0</v>
      </c>
      <c r="C896" s="26" t="s">
        <v>5592</v>
      </c>
      <c r="D896" s="125">
        <v>0.4166666666666667</v>
      </c>
      <c r="E896" s="125">
        <v>0.75</v>
      </c>
    </row>
    <row r="897">
      <c r="A897" s="26" t="s">
        <v>258</v>
      </c>
      <c r="B897" s="124">
        <v>46024.0</v>
      </c>
      <c r="C897" s="26" t="s">
        <v>5592</v>
      </c>
      <c r="D897" s="125">
        <v>0.3333333333333333</v>
      </c>
      <c r="E897" s="125">
        <v>0.6666666666666666</v>
      </c>
    </row>
    <row r="898">
      <c r="A898" s="26" t="s">
        <v>261</v>
      </c>
      <c r="B898" s="124">
        <v>46024.0</v>
      </c>
      <c r="C898" s="26" t="s">
        <v>5592</v>
      </c>
      <c r="D898" s="125">
        <v>0.4166666666666667</v>
      </c>
      <c r="E898" s="125">
        <v>0.75</v>
      </c>
    </row>
    <row r="899">
      <c r="A899" s="26" t="s">
        <v>265</v>
      </c>
      <c r="B899" s="124">
        <v>46024.0</v>
      </c>
      <c r="C899" s="26" t="s">
        <v>5592</v>
      </c>
      <c r="D899" s="125">
        <v>0.3333333333333333</v>
      </c>
      <c r="E899" s="125">
        <v>0.6666666666666666</v>
      </c>
    </row>
    <row r="900">
      <c r="A900" s="26" t="s">
        <v>269</v>
      </c>
      <c r="B900" s="124">
        <v>46024.0</v>
      </c>
      <c r="C900" s="26" t="s">
        <v>5592</v>
      </c>
      <c r="D900" s="125">
        <v>0.3333333333333333</v>
      </c>
      <c r="E900" s="125">
        <v>0.6666666666666666</v>
      </c>
    </row>
    <row r="901">
      <c r="A901" s="26" t="s">
        <v>276</v>
      </c>
      <c r="B901" s="124">
        <v>46024.0</v>
      </c>
      <c r="C901" s="26" t="s">
        <v>5592</v>
      </c>
      <c r="D901" s="125">
        <v>0.3333333333333333</v>
      </c>
      <c r="E901" s="125">
        <v>0.6666666666666666</v>
      </c>
    </row>
    <row r="902">
      <c r="A902" s="26" t="s">
        <v>280</v>
      </c>
      <c r="B902" s="124">
        <v>46024.0</v>
      </c>
      <c r="C902" s="26" t="s">
        <v>5592</v>
      </c>
      <c r="D902" s="125">
        <v>0.4166666666666667</v>
      </c>
      <c r="E902" s="125">
        <v>0.75</v>
      </c>
    </row>
    <row r="903">
      <c r="A903" s="26" t="s">
        <v>243</v>
      </c>
      <c r="B903" s="124">
        <v>46022.0</v>
      </c>
      <c r="C903" s="26" t="s">
        <v>5592</v>
      </c>
      <c r="D903" s="125">
        <v>0.3333333333333333</v>
      </c>
      <c r="E903" s="125">
        <v>0.6666666666666666</v>
      </c>
    </row>
    <row r="904">
      <c r="A904" s="26" t="s">
        <v>248</v>
      </c>
      <c r="B904" s="124">
        <v>46022.0</v>
      </c>
      <c r="C904" s="26" t="s">
        <v>5592</v>
      </c>
      <c r="D904" s="125">
        <v>0.3333333333333333</v>
      </c>
      <c r="E904" s="125">
        <v>0.6666666666666666</v>
      </c>
    </row>
    <row r="905">
      <c r="A905" s="26" t="s">
        <v>253</v>
      </c>
      <c r="B905" s="124">
        <v>46022.0</v>
      </c>
      <c r="C905" s="26" t="s">
        <v>5592</v>
      </c>
      <c r="D905" s="125">
        <v>0.4166666666666667</v>
      </c>
      <c r="E905" s="125">
        <v>0.75</v>
      </c>
    </row>
    <row r="906">
      <c r="A906" s="26" t="s">
        <v>258</v>
      </c>
      <c r="B906" s="124">
        <v>46022.0</v>
      </c>
      <c r="C906" s="26" t="s">
        <v>5592</v>
      </c>
      <c r="D906" s="125">
        <v>0.3333333333333333</v>
      </c>
      <c r="E906" s="125">
        <v>0.6666666666666666</v>
      </c>
    </row>
    <row r="907">
      <c r="A907" s="26" t="s">
        <v>261</v>
      </c>
      <c r="B907" s="124">
        <v>46022.0</v>
      </c>
      <c r="C907" s="26" t="s">
        <v>5592</v>
      </c>
      <c r="D907" s="125">
        <v>0.4166666666666667</v>
      </c>
      <c r="E907" s="125">
        <v>0.75</v>
      </c>
    </row>
    <row r="908">
      <c r="A908" s="26" t="s">
        <v>265</v>
      </c>
      <c r="B908" s="124">
        <v>46022.0</v>
      </c>
      <c r="C908" s="26" t="s">
        <v>5592</v>
      </c>
      <c r="D908" s="125">
        <v>0.3333333333333333</v>
      </c>
      <c r="E908" s="125">
        <v>0.6666666666666666</v>
      </c>
    </row>
    <row r="909">
      <c r="A909" s="26" t="s">
        <v>269</v>
      </c>
      <c r="B909" s="124">
        <v>46022.0</v>
      </c>
      <c r="C909" s="26" t="s">
        <v>5592</v>
      </c>
      <c r="D909" s="125">
        <v>0.3333333333333333</v>
      </c>
      <c r="E909" s="125">
        <v>0.6666666666666666</v>
      </c>
    </row>
    <row r="910">
      <c r="A910" s="26" t="s">
        <v>276</v>
      </c>
      <c r="B910" s="124">
        <v>46022.0</v>
      </c>
      <c r="C910" s="26" t="s">
        <v>5592</v>
      </c>
      <c r="D910" s="125">
        <v>0.3333333333333333</v>
      </c>
      <c r="E910" s="125">
        <v>0.6666666666666666</v>
      </c>
    </row>
    <row r="911">
      <c r="A911" s="26" t="s">
        <v>280</v>
      </c>
      <c r="B911" s="124">
        <v>46022.0</v>
      </c>
      <c r="C911" s="26" t="s">
        <v>5592</v>
      </c>
      <c r="D911" s="125">
        <v>0.4166666666666667</v>
      </c>
      <c r="E911" s="125">
        <v>0.75</v>
      </c>
    </row>
    <row r="912">
      <c r="A912" s="26" t="s">
        <v>243</v>
      </c>
      <c r="B912" s="124">
        <v>46021.0</v>
      </c>
      <c r="C912" s="26" t="s">
        <v>5592</v>
      </c>
      <c r="D912" s="125">
        <v>0.3333333333333333</v>
      </c>
      <c r="E912" s="125">
        <v>0.6666666666666666</v>
      </c>
    </row>
    <row r="913">
      <c r="A913" s="26" t="s">
        <v>248</v>
      </c>
      <c r="B913" s="124">
        <v>46021.0</v>
      </c>
      <c r="C913" s="26" t="s">
        <v>5592</v>
      </c>
      <c r="D913" s="125">
        <v>0.3333333333333333</v>
      </c>
      <c r="E913" s="125">
        <v>0.6666666666666666</v>
      </c>
    </row>
    <row r="914">
      <c r="A914" s="26" t="s">
        <v>253</v>
      </c>
      <c r="B914" s="124">
        <v>46021.0</v>
      </c>
      <c r="C914" s="26" t="s">
        <v>5592</v>
      </c>
      <c r="D914" s="125">
        <v>0.4166666666666667</v>
      </c>
      <c r="E914" s="125">
        <v>0.75</v>
      </c>
    </row>
    <row r="915">
      <c r="A915" s="26" t="s">
        <v>258</v>
      </c>
      <c r="B915" s="124">
        <v>46021.0</v>
      </c>
      <c r="C915" s="26" t="s">
        <v>5592</v>
      </c>
      <c r="D915" s="125">
        <v>0.3333333333333333</v>
      </c>
      <c r="E915" s="125">
        <v>0.6666666666666666</v>
      </c>
    </row>
    <row r="916">
      <c r="A916" s="26" t="s">
        <v>261</v>
      </c>
      <c r="B916" s="124">
        <v>46021.0</v>
      </c>
      <c r="C916" s="26" t="s">
        <v>5592</v>
      </c>
      <c r="D916" s="125">
        <v>0.4166666666666667</v>
      </c>
      <c r="E916" s="125">
        <v>0.75</v>
      </c>
    </row>
    <row r="917">
      <c r="A917" s="26" t="s">
        <v>265</v>
      </c>
      <c r="B917" s="124">
        <v>46021.0</v>
      </c>
      <c r="C917" s="26" t="s">
        <v>5592</v>
      </c>
      <c r="D917" s="125">
        <v>0.3333333333333333</v>
      </c>
      <c r="E917" s="125">
        <v>0.6666666666666666</v>
      </c>
    </row>
    <row r="918">
      <c r="A918" s="26" t="s">
        <v>269</v>
      </c>
      <c r="B918" s="124">
        <v>46021.0</v>
      </c>
      <c r="C918" s="26" t="s">
        <v>5592</v>
      </c>
      <c r="D918" s="125">
        <v>0.3333333333333333</v>
      </c>
      <c r="E918" s="125">
        <v>0.6666666666666666</v>
      </c>
    </row>
    <row r="919">
      <c r="A919" s="26" t="s">
        <v>276</v>
      </c>
      <c r="B919" s="124">
        <v>46021.0</v>
      </c>
      <c r="C919" s="26" t="s">
        <v>5592</v>
      </c>
      <c r="D919" s="125">
        <v>0.3333333333333333</v>
      </c>
      <c r="E919" s="125">
        <v>0.6666666666666666</v>
      </c>
    </row>
    <row r="920">
      <c r="A920" s="26" t="s">
        <v>280</v>
      </c>
      <c r="B920" s="124">
        <v>46021.0</v>
      </c>
      <c r="C920" s="26" t="s">
        <v>5592</v>
      </c>
      <c r="D920" s="125">
        <v>0.4166666666666667</v>
      </c>
      <c r="E920" s="125">
        <v>0.75</v>
      </c>
    </row>
    <row r="921">
      <c r="A921" s="26" t="s">
        <v>243</v>
      </c>
      <c r="B921" s="124">
        <v>46020.0</v>
      </c>
      <c r="C921" s="26" t="s">
        <v>5592</v>
      </c>
      <c r="D921" s="125">
        <v>0.3333333333333333</v>
      </c>
      <c r="E921" s="125">
        <v>0.6666666666666666</v>
      </c>
    </row>
    <row r="922">
      <c r="A922" s="26" t="s">
        <v>248</v>
      </c>
      <c r="B922" s="124">
        <v>46020.0</v>
      </c>
      <c r="C922" s="26" t="s">
        <v>5592</v>
      </c>
      <c r="D922" s="125">
        <v>0.3333333333333333</v>
      </c>
      <c r="E922" s="125">
        <v>0.6666666666666666</v>
      </c>
    </row>
    <row r="923">
      <c r="A923" s="26" t="s">
        <v>253</v>
      </c>
      <c r="B923" s="124">
        <v>46020.0</v>
      </c>
      <c r="C923" s="26" t="s">
        <v>5592</v>
      </c>
      <c r="D923" s="125">
        <v>0.4166666666666667</v>
      </c>
      <c r="E923" s="125">
        <v>0.75</v>
      </c>
    </row>
    <row r="924">
      <c r="A924" s="26" t="s">
        <v>258</v>
      </c>
      <c r="B924" s="124">
        <v>46020.0</v>
      </c>
      <c r="C924" s="26" t="s">
        <v>5592</v>
      </c>
      <c r="D924" s="125">
        <v>0.3333333333333333</v>
      </c>
      <c r="E924" s="125">
        <v>0.6666666666666666</v>
      </c>
    </row>
    <row r="925">
      <c r="A925" s="26" t="s">
        <v>261</v>
      </c>
      <c r="B925" s="124">
        <v>46020.0</v>
      </c>
      <c r="C925" s="26" t="s">
        <v>5592</v>
      </c>
      <c r="D925" s="125">
        <v>0.4166666666666667</v>
      </c>
      <c r="E925" s="125">
        <v>0.75</v>
      </c>
    </row>
    <row r="926">
      <c r="A926" s="26" t="s">
        <v>265</v>
      </c>
      <c r="B926" s="124">
        <v>46020.0</v>
      </c>
      <c r="C926" s="26" t="s">
        <v>5592</v>
      </c>
      <c r="D926" s="125">
        <v>0.3333333333333333</v>
      </c>
      <c r="E926" s="125">
        <v>0.6666666666666666</v>
      </c>
    </row>
    <row r="927">
      <c r="A927" s="26" t="s">
        <v>269</v>
      </c>
      <c r="B927" s="124">
        <v>46020.0</v>
      </c>
      <c r="C927" s="26" t="s">
        <v>5592</v>
      </c>
      <c r="D927" s="125">
        <v>0.3333333333333333</v>
      </c>
      <c r="E927" s="125">
        <v>0.6666666666666666</v>
      </c>
    </row>
    <row r="928">
      <c r="A928" s="26" t="s">
        <v>276</v>
      </c>
      <c r="B928" s="124">
        <v>46020.0</v>
      </c>
      <c r="C928" s="26" t="s">
        <v>5592</v>
      </c>
      <c r="D928" s="125">
        <v>0.3333333333333333</v>
      </c>
      <c r="E928" s="125">
        <v>0.6666666666666666</v>
      </c>
    </row>
    <row r="929">
      <c r="A929" s="26" t="s">
        <v>280</v>
      </c>
      <c r="B929" s="124">
        <v>46020.0</v>
      </c>
      <c r="C929" s="26" t="s">
        <v>5592</v>
      </c>
      <c r="D929" s="125">
        <v>0.4166666666666667</v>
      </c>
      <c r="E929" s="125">
        <v>0.75</v>
      </c>
    </row>
    <row r="930">
      <c r="A930" s="26" t="s">
        <v>243</v>
      </c>
      <c r="B930" s="124">
        <v>46018.0</v>
      </c>
      <c r="C930" s="26" t="s">
        <v>5592</v>
      </c>
      <c r="D930" s="125">
        <v>0.3333333333333333</v>
      </c>
      <c r="E930" s="125">
        <v>0.6666666666666666</v>
      </c>
    </row>
    <row r="931">
      <c r="A931" s="26" t="s">
        <v>248</v>
      </c>
      <c r="B931" s="124">
        <v>46018.0</v>
      </c>
      <c r="C931" s="26" t="s">
        <v>5592</v>
      </c>
      <c r="D931" s="125">
        <v>0.3333333333333333</v>
      </c>
      <c r="E931" s="125">
        <v>0.6666666666666666</v>
      </c>
    </row>
    <row r="932">
      <c r="A932" s="26" t="s">
        <v>253</v>
      </c>
      <c r="B932" s="124">
        <v>46018.0</v>
      </c>
      <c r="C932" s="26" t="s">
        <v>5592</v>
      </c>
      <c r="D932" s="125">
        <v>0.4166666666666667</v>
      </c>
      <c r="E932" s="125">
        <v>0.75</v>
      </c>
    </row>
    <row r="933">
      <c r="A933" s="26" t="s">
        <v>258</v>
      </c>
      <c r="B933" s="124">
        <v>46018.0</v>
      </c>
      <c r="C933" s="26" t="s">
        <v>5592</v>
      </c>
      <c r="D933" s="125">
        <v>0.3333333333333333</v>
      </c>
      <c r="E933" s="125">
        <v>0.6666666666666666</v>
      </c>
    </row>
    <row r="934">
      <c r="A934" s="26" t="s">
        <v>261</v>
      </c>
      <c r="B934" s="124">
        <v>46018.0</v>
      </c>
      <c r="C934" s="26" t="s">
        <v>5592</v>
      </c>
      <c r="D934" s="125">
        <v>0.4166666666666667</v>
      </c>
      <c r="E934" s="125">
        <v>0.75</v>
      </c>
    </row>
    <row r="935">
      <c r="A935" s="26" t="s">
        <v>265</v>
      </c>
      <c r="B935" s="124">
        <v>46018.0</v>
      </c>
      <c r="C935" s="26" t="s">
        <v>5592</v>
      </c>
      <c r="D935" s="125">
        <v>0.3333333333333333</v>
      </c>
      <c r="E935" s="125">
        <v>0.6666666666666666</v>
      </c>
    </row>
    <row r="936">
      <c r="A936" s="26" t="s">
        <v>269</v>
      </c>
      <c r="B936" s="124">
        <v>46018.0</v>
      </c>
      <c r="C936" s="26" t="s">
        <v>5592</v>
      </c>
      <c r="D936" s="125">
        <v>0.3333333333333333</v>
      </c>
      <c r="E936" s="125">
        <v>0.6666666666666666</v>
      </c>
    </row>
    <row r="937">
      <c r="A937" s="26" t="s">
        <v>276</v>
      </c>
      <c r="B937" s="124">
        <v>46018.0</v>
      </c>
      <c r="C937" s="26" t="s">
        <v>5592</v>
      </c>
      <c r="D937" s="125">
        <v>0.3333333333333333</v>
      </c>
      <c r="E937" s="125">
        <v>0.6666666666666666</v>
      </c>
    </row>
    <row r="938">
      <c r="A938" s="26" t="s">
        <v>280</v>
      </c>
      <c r="B938" s="124">
        <v>46018.0</v>
      </c>
      <c r="C938" s="26" t="s">
        <v>5592</v>
      </c>
      <c r="D938" s="125">
        <v>0.4166666666666667</v>
      </c>
      <c r="E938" s="125">
        <v>0.75</v>
      </c>
    </row>
    <row r="939">
      <c r="A939" s="26" t="s">
        <v>243</v>
      </c>
      <c r="B939" s="124">
        <v>46017.0</v>
      </c>
      <c r="C939" s="26" t="s">
        <v>5592</v>
      </c>
      <c r="D939" s="125">
        <v>0.3333333333333333</v>
      </c>
      <c r="E939" s="125">
        <v>0.6666666666666666</v>
      </c>
    </row>
    <row r="940">
      <c r="A940" s="26" t="s">
        <v>248</v>
      </c>
      <c r="B940" s="124">
        <v>46017.0</v>
      </c>
      <c r="C940" s="26" t="s">
        <v>5592</v>
      </c>
      <c r="D940" s="125">
        <v>0.3333333333333333</v>
      </c>
      <c r="E940" s="125">
        <v>0.6666666666666666</v>
      </c>
    </row>
    <row r="941">
      <c r="A941" s="26" t="s">
        <v>253</v>
      </c>
      <c r="B941" s="124">
        <v>46017.0</v>
      </c>
      <c r="C941" s="26" t="s">
        <v>5592</v>
      </c>
      <c r="D941" s="125">
        <v>0.4166666666666667</v>
      </c>
      <c r="E941" s="125">
        <v>0.75</v>
      </c>
    </row>
    <row r="942">
      <c r="A942" s="26" t="s">
        <v>258</v>
      </c>
      <c r="B942" s="124">
        <v>46017.0</v>
      </c>
      <c r="C942" s="26" t="s">
        <v>5592</v>
      </c>
      <c r="D942" s="125">
        <v>0.3333333333333333</v>
      </c>
      <c r="E942" s="125">
        <v>0.6666666666666666</v>
      </c>
    </row>
    <row r="943">
      <c r="A943" s="26" t="s">
        <v>261</v>
      </c>
      <c r="B943" s="124">
        <v>46017.0</v>
      </c>
      <c r="C943" s="26" t="s">
        <v>5592</v>
      </c>
      <c r="D943" s="125">
        <v>0.4166666666666667</v>
      </c>
      <c r="E943" s="125">
        <v>0.75</v>
      </c>
    </row>
    <row r="944">
      <c r="A944" s="26" t="s">
        <v>265</v>
      </c>
      <c r="B944" s="124">
        <v>46017.0</v>
      </c>
      <c r="C944" s="26" t="s">
        <v>5592</v>
      </c>
      <c r="D944" s="125">
        <v>0.3333333333333333</v>
      </c>
      <c r="E944" s="125">
        <v>0.6666666666666666</v>
      </c>
    </row>
    <row r="945">
      <c r="A945" s="26" t="s">
        <v>269</v>
      </c>
      <c r="B945" s="124">
        <v>46017.0</v>
      </c>
      <c r="C945" s="26" t="s">
        <v>5592</v>
      </c>
      <c r="D945" s="125">
        <v>0.3333333333333333</v>
      </c>
      <c r="E945" s="125">
        <v>0.6666666666666666</v>
      </c>
    </row>
    <row r="946">
      <c r="A946" s="26" t="s">
        <v>276</v>
      </c>
      <c r="B946" s="124">
        <v>46017.0</v>
      </c>
      <c r="C946" s="26" t="s">
        <v>5592</v>
      </c>
      <c r="D946" s="125">
        <v>0.3333333333333333</v>
      </c>
      <c r="E946" s="125">
        <v>0.6666666666666666</v>
      </c>
    </row>
    <row r="947">
      <c r="A947" s="26" t="s">
        <v>280</v>
      </c>
      <c r="B947" s="124">
        <v>46017.0</v>
      </c>
      <c r="C947" s="26" t="s">
        <v>5592</v>
      </c>
      <c r="D947" s="125">
        <v>0.4166666666666667</v>
      </c>
      <c r="E947" s="125">
        <v>0.75</v>
      </c>
    </row>
    <row r="948">
      <c r="A948" s="26" t="s">
        <v>243</v>
      </c>
      <c r="B948" s="124">
        <v>46016.0</v>
      </c>
      <c r="C948" s="26" t="s">
        <v>5592</v>
      </c>
      <c r="D948" s="125">
        <v>0.3333333333333333</v>
      </c>
      <c r="E948" s="125">
        <v>0.6666666666666666</v>
      </c>
    </row>
    <row r="949">
      <c r="A949" s="26" t="s">
        <v>248</v>
      </c>
      <c r="B949" s="124">
        <v>46016.0</v>
      </c>
      <c r="C949" s="26" t="s">
        <v>5592</v>
      </c>
      <c r="D949" s="125">
        <v>0.3333333333333333</v>
      </c>
      <c r="E949" s="125">
        <v>0.6666666666666666</v>
      </c>
    </row>
    <row r="950">
      <c r="A950" s="26" t="s">
        <v>253</v>
      </c>
      <c r="B950" s="124">
        <v>46016.0</v>
      </c>
      <c r="C950" s="26" t="s">
        <v>5592</v>
      </c>
      <c r="D950" s="125">
        <v>0.4166666666666667</v>
      </c>
      <c r="E950" s="125">
        <v>0.75</v>
      </c>
    </row>
    <row r="951">
      <c r="A951" s="26" t="s">
        <v>258</v>
      </c>
      <c r="B951" s="124">
        <v>46016.0</v>
      </c>
      <c r="C951" s="26" t="s">
        <v>5592</v>
      </c>
      <c r="D951" s="125">
        <v>0.3333333333333333</v>
      </c>
      <c r="E951" s="125">
        <v>0.6666666666666666</v>
      </c>
    </row>
    <row r="952">
      <c r="A952" s="26" t="s">
        <v>261</v>
      </c>
      <c r="B952" s="124">
        <v>46016.0</v>
      </c>
      <c r="C952" s="26" t="s">
        <v>5592</v>
      </c>
      <c r="D952" s="125">
        <v>0.4166666666666667</v>
      </c>
      <c r="E952" s="125">
        <v>0.75</v>
      </c>
    </row>
    <row r="953">
      <c r="A953" s="26" t="s">
        <v>265</v>
      </c>
      <c r="B953" s="124">
        <v>46016.0</v>
      </c>
      <c r="C953" s="26" t="s">
        <v>5592</v>
      </c>
      <c r="D953" s="125">
        <v>0.3333333333333333</v>
      </c>
      <c r="E953" s="125">
        <v>0.6666666666666666</v>
      </c>
    </row>
    <row r="954">
      <c r="A954" s="26" t="s">
        <v>269</v>
      </c>
      <c r="B954" s="124">
        <v>46016.0</v>
      </c>
      <c r="C954" s="26" t="s">
        <v>5592</v>
      </c>
      <c r="D954" s="125">
        <v>0.3333333333333333</v>
      </c>
      <c r="E954" s="125">
        <v>0.6666666666666666</v>
      </c>
    </row>
    <row r="955">
      <c r="A955" s="26" t="s">
        <v>276</v>
      </c>
      <c r="B955" s="124">
        <v>46016.0</v>
      </c>
      <c r="C955" s="26" t="s">
        <v>5592</v>
      </c>
      <c r="D955" s="125">
        <v>0.3333333333333333</v>
      </c>
      <c r="E955" s="125">
        <v>0.6666666666666666</v>
      </c>
    </row>
    <row r="956">
      <c r="A956" s="26" t="s">
        <v>280</v>
      </c>
      <c r="B956" s="124">
        <v>46016.0</v>
      </c>
      <c r="C956" s="26" t="s">
        <v>5592</v>
      </c>
      <c r="D956" s="125">
        <v>0.4166666666666667</v>
      </c>
      <c r="E956" s="125">
        <v>0.75</v>
      </c>
    </row>
    <row r="957">
      <c r="A957" s="26" t="s">
        <v>243</v>
      </c>
      <c r="B957" s="124">
        <v>46015.0</v>
      </c>
      <c r="C957" s="26" t="s">
        <v>5592</v>
      </c>
      <c r="D957" s="125">
        <v>0.3333333333333333</v>
      </c>
      <c r="E957" s="125">
        <v>0.6666666666666666</v>
      </c>
    </row>
    <row r="958">
      <c r="A958" s="26" t="s">
        <v>248</v>
      </c>
      <c r="B958" s="124">
        <v>46015.0</v>
      </c>
      <c r="C958" s="26" t="s">
        <v>5592</v>
      </c>
      <c r="D958" s="125">
        <v>0.3333333333333333</v>
      </c>
      <c r="E958" s="125">
        <v>0.6666666666666666</v>
      </c>
    </row>
    <row r="959">
      <c r="A959" s="26" t="s">
        <v>253</v>
      </c>
      <c r="B959" s="124">
        <v>46015.0</v>
      </c>
      <c r="C959" s="26" t="s">
        <v>5592</v>
      </c>
      <c r="D959" s="125">
        <v>0.4166666666666667</v>
      </c>
      <c r="E959" s="125">
        <v>0.75</v>
      </c>
    </row>
    <row r="960">
      <c r="A960" s="26" t="s">
        <v>258</v>
      </c>
      <c r="B960" s="124">
        <v>46015.0</v>
      </c>
      <c r="C960" s="26" t="s">
        <v>5592</v>
      </c>
      <c r="D960" s="125">
        <v>0.3333333333333333</v>
      </c>
      <c r="E960" s="125">
        <v>0.6666666666666666</v>
      </c>
    </row>
    <row r="961">
      <c r="A961" s="26" t="s">
        <v>261</v>
      </c>
      <c r="B961" s="124">
        <v>46015.0</v>
      </c>
      <c r="C961" s="26" t="s">
        <v>5592</v>
      </c>
      <c r="D961" s="125">
        <v>0.4166666666666667</v>
      </c>
      <c r="E961" s="125">
        <v>0.75</v>
      </c>
    </row>
    <row r="962">
      <c r="A962" s="26" t="s">
        <v>265</v>
      </c>
      <c r="B962" s="124">
        <v>46015.0</v>
      </c>
      <c r="C962" s="26" t="s">
        <v>5592</v>
      </c>
      <c r="D962" s="125">
        <v>0.3333333333333333</v>
      </c>
      <c r="E962" s="125">
        <v>0.6666666666666666</v>
      </c>
    </row>
    <row r="963">
      <c r="A963" s="26" t="s">
        <v>269</v>
      </c>
      <c r="B963" s="124">
        <v>46015.0</v>
      </c>
      <c r="C963" s="26" t="s">
        <v>5592</v>
      </c>
      <c r="D963" s="125">
        <v>0.3333333333333333</v>
      </c>
      <c r="E963" s="125">
        <v>0.6666666666666666</v>
      </c>
    </row>
    <row r="964">
      <c r="A964" s="26" t="s">
        <v>276</v>
      </c>
      <c r="B964" s="124">
        <v>46015.0</v>
      </c>
      <c r="C964" s="26" t="s">
        <v>5592</v>
      </c>
      <c r="D964" s="125">
        <v>0.3333333333333333</v>
      </c>
      <c r="E964" s="125">
        <v>0.6666666666666666</v>
      </c>
    </row>
    <row r="965">
      <c r="A965" s="26" t="s">
        <v>280</v>
      </c>
      <c r="B965" s="124">
        <v>46015.0</v>
      </c>
      <c r="C965" s="26" t="s">
        <v>5592</v>
      </c>
      <c r="D965" s="125">
        <v>0.4166666666666667</v>
      </c>
      <c r="E965" s="125">
        <v>0.75</v>
      </c>
    </row>
    <row r="966">
      <c r="A966" s="26" t="s">
        <v>243</v>
      </c>
      <c r="B966" s="124">
        <v>46014.0</v>
      </c>
      <c r="C966" s="26" t="s">
        <v>5592</v>
      </c>
      <c r="D966" s="125">
        <v>0.3333333333333333</v>
      </c>
      <c r="E966" s="125">
        <v>0.6666666666666666</v>
      </c>
    </row>
    <row r="967">
      <c r="A967" s="26" t="s">
        <v>248</v>
      </c>
      <c r="B967" s="124">
        <v>46014.0</v>
      </c>
      <c r="C967" s="26" t="s">
        <v>5592</v>
      </c>
      <c r="D967" s="125">
        <v>0.3333333333333333</v>
      </c>
      <c r="E967" s="125">
        <v>0.6666666666666666</v>
      </c>
    </row>
    <row r="968">
      <c r="A968" s="26" t="s">
        <v>253</v>
      </c>
      <c r="B968" s="124">
        <v>46014.0</v>
      </c>
      <c r="C968" s="26" t="s">
        <v>5592</v>
      </c>
      <c r="D968" s="125">
        <v>0.4166666666666667</v>
      </c>
      <c r="E968" s="125">
        <v>0.75</v>
      </c>
    </row>
    <row r="969">
      <c r="A969" s="26" t="s">
        <v>258</v>
      </c>
      <c r="B969" s="124">
        <v>46014.0</v>
      </c>
      <c r="C969" s="26" t="s">
        <v>5592</v>
      </c>
      <c r="D969" s="125">
        <v>0.3333333333333333</v>
      </c>
      <c r="E969" s="125">
        <v>0.6666666666666666</v>
      </c>
    </row>
    <row r="970">
      <c r="A970" s="26" t="s">
        <v>261</v>
      </c>
      <c r="B970" s="124">
        <v>46014.0</v>
      </c>
      <c r="C970" s="26" t="s">
        <v>5592</v>
      </c>
      <c r="D970" s="125">
        <v>0.4166666666666667</v>
      </c>
      <c r="E970" s="125">
        <v>0.75</v>
      </c>
    </row>
    <row r="971">
      <c r="A971" s="26" t="s">
        <v>265</v>
      </c>
      <c r="B971" s="124">
        <v>46014.0</v>
      </c>
      <c r="C971" s="26" t="s">
        <v>5592</v>
      </c>
      <c r="D971" s="125">
        <v>0.3333333333333333</v>
      </c>
      <c r="E971" s="125">
        <v>0.6666666666666666</v>
      </c>
    </row>
    <row r="972">
      <c r="A972" s="26" t="s">
        <v>269</v>
      </c>
      <c r="B972" s="124">
        <v>46014.0</v>
      </c>
      <c r="C972" s="26" t="s">
        <v>5592</v>
      </c>
      <c r="D972" s="125">
        <v>0.3333333333333333</v>
      </c>
      <c r="E972" s="125">
        <v>0.6666666666666666</v>
      </c>
    </row>
    <row r="973">
      <c r="A973" s="26" t="s">
        <v>276</v>
      </c>
      <c r="B973" s="124">
        <v>46014.0</v>
      </c>
      <c r="C973" s="26" t="s">
        <v>5592</v>
      </c>
      <c r="D973" s="125">
        <v>0.3333333333333333</v>
      </c>
      <c r="E973" s="125">
        <v>0.6666666666666666</v>
      </c>
    </row>
    <row r="974">
      <c r="A974" s="26" t="s">
        <v>280</v>
      </c>
      <c r="B974" s="124">
        <v>46014.0</v>
      </c>
      <c r="C974" s="26" t="s">
        <v>5592</v>
      </c>
      <c r="D974" s="125">
        <v>0.4166666666666667</v>
      </c>
      <c r="E974" s="125">
        <v>0.75</v>
      </c>
    </row>
    <row r="975">
      <c r="A975" s="26" t="s">
        <v>243</v>
      </c>
      <c r="B975" s="124">
        <v>46013.0</v>
      </c>
      <c r="C975" s="26" t="s">
        <v>5592</v>
      </c>
      <c r="D975" s="125">
        <v>0.3333333333333333</v>
      </c>
      <c r="E975" s="125">
        <v>0.6666666666666666</v>
      </c>
    </row>
    <row r="976">
      <c r="A976" s="26" t="s">
        <v>248</v>
      </c>
      <c r="B976" s="124">
        <v>46013.0</v>
      </c>
      <c r="C976" s="26" t="s">
        <v>5592</v>
      </c>
      <c r="D976" s="125">
        <v>0.3333333333333333</v>
      </c>
      <c r="E976" s="125">
        <v>0.6666666666666666</v>
      </c>
    </row>
    <row r="977">
      <c r="A977" s="26" t="s">
        <v>253</v>
      </c>
      <c r="B977" s="124">
        <v>46013.0</v>
      </c>
      <c r="C977" s="26" t="s">
        <v>5592</v>
      </c>
      <c r="D977" s="125">
        <v>0.4166666666666667</v>
      </c>
      <c r="E977" s="125">
        <v>0.75</v>
      </c>
    </row>
    <row r="978">
      <c r="A978" s="26" t="s">
        <v>258</v>
      </c>
      <c r="B978" s="124">
        <v>46013.0</v>
      </c>
      <c r="C978" s="26" t="s">
        <v>5592</v>
      </c>
      <c r="D978" s="125">
        <v>0.3333333333333333</v>
      </c>
      <c r="E978" s="125">
        <v>0.6666666666666666</v>
      </c>
    </row>
    <row r="979">
      <c r="A979" s="26" t="s">
        <v>261</v>
      </c>
      <c r="B979" s="124">
        <v>46013.0</v>
      </c>
      <c r="C979" s="26" t="s">
        <v>5592</v>
      </c>
      <c r="D979" s="125">
        <v>0.4166666666666667</v>
      </c>
      <c r="E979" s="125">
        <v>0.75</v>
      </c>
    </row>
    <row r="980">
      <c r="A980" s="26" t="s">
        <v>265</v>
      </c>
      <c r="B980" s="124">
        <v>46013.0</v>
      </c>
      <c r="C980" s="26" t="s">
        <v>5592</v>
      </c>
      <c r="D980" s="125">
        <v>0.3333333333333333</v>
      </c>
      <c r="E980" s="125">
        <v>0.6666666666666666</v>
      </c>
    </row>
    <row r="981">
      <c r="A981" s="26" t="s">
        <v>269</v>
      </c>
      <c r="B981" s="124">
        <v>46013.0</v>
      </c>
      <c r="C981" s="26" t="s">
        <v>5592</v>
      </c>
      <c r="D981" s="125">
        <v>0.3333333333333333</v>
      </c>
      <c r="E981" s="125">
        <v>0.6666666666666666</v>
      </c>
    </row>
    <row r="982">
      <c r="A982" s="26" t="s">
        <v>276</v>
      </c>
      <c r="B982" s="124">
        <v>46013.0</v>
      </c>
      <c r="C982" s="26" t="s">
        <v>5592</v>
      </c>
      <c r="D982" s="125">
        <v>0.3333333333333333</v>
      </c>
      <c r="E982" s="125">
        <v>0.6666666666666666</v>
      </c>
    </row>
    <row r="983">
      <c r="A983" s="26" t="s">
        <v>280</v>
      </c>
      <c r="B983" s="124">
        <v>46013.0</v>
      </c>
      <c r="C983" s="26" t="s">
        <v>5592</v>
      </c>
      <c r="D983" s="125">
        <v>0.4166666666666667</v>
      </c>
      <c r="E983" s="125">
        <v>0.75</v>
      </c>
    </row>
    <row r="984">
      <c r="A984" s="26" t="s">
        <v>243</v>
      </c>
      <c r="B984" s="124">
        <v>46011.0</v>
      </c>
      <c r="C984" s="26" t="s">
        <v>5592</v>
      </c>
      <c r="D984" s="125">
        <v>0.3333333333333333</v>
      </c>
      <c r="E984" s="125">
        <v>0.6666666666666666</v>
      </c>
    </row>
    <row r="985">
      <c r="A985" s="26" t="s">
        <v>248</v>
      </c>
      <c r="B985" s="124">
        <v>46011.0</v>
      </c>
      <c r="C985" s="26" t="s">
        <v>5592</v>
      </c>
      <c r="D985" s="125">
        <v>0.3333333333333333</v>
      </c>
      <c r="E985" s="125">
        <v>0.6666666666666666</v>
      </c>
    </row>
    <row r="986">
      <c r="A986" s="26" t="s">
        <v>253</v>
      </c>
      <c r="B986" s="124">
        <v>46011.0</v>
      </c>
      <c r="C986" s="26" t="s">
        <v>5592</v>
      </c>
      <c r="D986" s="125">
        <v>0.4166666666666667</v>
      </c>
      <c r="E986" s="125">
        <v>0.75</v>
      </c>
    </row>
    <row r="987">
      <c r="A987" s="26" t="s">
        <v>258</v>
      </c>
      <c r="B987" s="124">
        <v>46011.0</v>
      </c>
      <c r="C987" s="26" t="s">
        <v>5592</v>
      </c>
      <c r="D987" s="125">
        <v>0.3333333333333333</v>
      </c>
      <c r="E987" s="125">
        <v>0.6666666666666666</v>
      </c>
    </row>
    <row r="988">
      <c r="A988" s="26" t="s">
        <v>261</v>
      </c>
      <c r="B988" s="124">
        <v>46011.0</v>
      </c>
      <c r="C988" s="26" t="s">
        <v>5592</v>
      </c>
      <c r="D988" s="125">
        <v>0.4166666666666667</v>
      </c>
      <c r="E988" s="125">
        <v>0.75</v>
      </c>
    </row>
    <row r="989">
      <c r="A989" s="26" t="s">
        <v>265</v>
      </c>
      <c r="B989" s="124">
        <v>46011.0</v>
      </c>
      <c r="C989" s="26" t="s">
        <v>5592</v>
      </c>
      <c r="D989" s="125">
        <v>0.3333333333333333</v>
      </c>
      <c r="E989" s="125">
        <v>0.6666666666666666</v>
      </c>
    </row>
    <row r="990">
      <c r="A990" s="26" t="s">
        <v>269</v>
      </c>
      <c r="B990" s="124">
        <v>46011.0</v>
      </c>
      <c r="C990" s="26" t="s">
        <v>5592</v>
      </c>
      <c r="D990" s="125">
        <v>0.3333333333333333</v>
      </c>
      <c r="E990" s="125">
        <v>0.6666666666666666</v>
      </c>
    </row>
    <row r="991">
      <c r="A991" s="26" t="s">
        <v>276</v>
      </c>
      <c r="B991" s="124">
        <v>46011.0</v>
      </c>
      <c r="C991" s="26" t="s">
        <v>5592</v>
      </c>
      <c r="D991" s="125">
        <v>0.3333333333333333</v>
      </c>
      <c r="E991" s="125">
        <v>0.6666666666666666</v>
      </c>
    </row>
    <row r="992">
      <c r="A992" s="26" t="s">
        <v>280</v>
      </c>
      <c r="B992" s="124">
        <v>46011.0</v>
      </c>
      <c r="C992" s="26" t="s">
        <v>5592</v>
      </c>
      <c r="D992" s="125">
        <v>0.4166666666666667</v>
      </c>
      <c r="E992" s="125">
        <v>0.75</v>
      </c>
    </row>
    <row r="993">
      <c r="A993" s="26" t="s">
        <v>243</v>
      </c>
      <c r="B993" s="124">
        <v>46010.0</v>
      </c>
      <c r="C993" s="26" t="s">
        <v>5592</v>
      </c>
      <c r="D993" s="125">
        <v>0.3333333333333333</v>
      </c>
      <c r="E993" s="125">
        <v>0.6666666666666666</v>
      </c>
    </row>
    <row r="994">
      <c r="A994" s="26" t="s">
        <v>248</v>
      </c>
      <c r="B994" s="124">
        <v>46010.0</v>
      </c>
      <c r="C994" s="26" t="s">
        <v>5592</v>
      </c>
      <c r="D994" s="125">
        <v>0.3333333333333333</v>
      </c>
      <c r="E994" s="125">
        <v>0.6666666666666666</v>
      </c>
    </row>
    <row r="995">
      <c r="A995" s="26" t="s">
        <v>253</v>
      </c>
      <c r="B995" s="124">
        <v>46010.0</v>
      </c>
      <c r="C995" s="26" t="s">
        <v>5592</v>
      </c>
      <c r="D995" s="125">
        <v>0.4166666666666667</v>
      </c>
      <c r="E995" s="125">
        <v>0.75</v>
      </c>
    </row>
    <row r="996">
      <c r="A996" s="26" t="s">
        <v>258</v>
      </c>
      <c r="B996" s="124">
        <v>46010.0</v>
      </c>
      <c r="C996" s="26" t="s">
        <v>5592</v>
      </c>
      <c r="D996" s="125">
        <v>0.3333333333333333</v>
      </c>
      <c r="E996" s="125">
        <v>0.6666666666666666</v>
      </c>
    </row>
    <row r="997">
      <c r="A997" s="26" t="s">
        <v>261</v>
      </c>
      <c r="B997" s="124">
        <v>46010.0</v>
      </c>
      <c r="C997" s="26" t="s">
        <v>5592</v>
      </c>
      <c r="D997" s="125">
        <v>0.4166666666666667</v>
      </c>
      <c r="E997" s="125">
        <v>0.75</v>
      </c>
    </row>
    <row r="998">
      <c r="A998" s="26" t="s">
        <v>265</v>
      </c>
      <c r="B998" s="124">
        <v>46010.0</v>
      </c>
      <c r="C998" s="26" t="s">
        <v>5592</v>
      </c>
      <c r="D998" s="125">
        <v>0.3333333333333333</v>
      </c>
      <c r="E998" s="125">
        <v>0.6666666666666666</v>
      </c>
    </row>
    <row r="999">
      <c r="A999" s="26" t="s">
        <v>269</v>
      </c>
      <c r="B999" s="124">
        <v>46010.0</v>
      </c>
      <c r="C999" s="26" t="s">
        <v>5592</v>
      </c>
      <c r="D999" s="125">
        <v>0.3333333333333333</v>
      </c>
      <c r="E999" s="125">
        <v>0.6666666666666666</v>
      </c>
    </row>
    <row r="1000">
      <c r="A1000" s="26" t="s">
        <v>276</v>
      </c>
      <c r="B1000" s="124">
        <v>46010.0</v>
      </c>
      <c r="C1000" s="26" t="s">
        <v>5592</v>
      </c>
      <c r="D1000" s="125">
        <v>0.3333333333333333</v>
      </c>
      <c r="E1000" s="125">
        <v>0.6666666666666666</v>
      </c>
    </row>
    <row r="1001">
      <c r="A1001" s="26" t="s">
        <v>280</v>
      </c>
      <c r="B1001" s="124">
        <v>46010.0</v>
      </c>
      <c r="C1001" s="26" t="s">
        <v>5592</v>
      </c>
      <c r="D1001" s="125">
        <v>0.4166666666666667</v>
      </c>
      <c r="E1001" s="125">
        <v>0.75</v>
      </c>
    </row>
    <row r="1002">
      <c r="A1002" s="26" t="s">
        <v>243</v>
      </c>
      <c r="B1002" s="124">
        <v>46009.0</v>
      </c>
      <c r="C1002" s="26" t="s">
        <v>5592</v>
      </c>
      <c r="D1002" s="125">
        <v>0.3333333333333333</v>
      </c>
      <c r="E1002" s="125">
        <v>0.6666666666666666</v>
      </c>
    </row>
    <row r="1003">
      <c r="A1003" s="26" t="s">
        <v>248</v>
      </c>
      <c r="B1003" s="124">
        <v>46009.0</v>
      </c>
      <c r="C1003" s="26" t="s">
        <v>5592</v>
      </c>
      <c r="D1003" s="125">
        <v>0.3333333333333333</v>
      </c>
      <c r="E1003" s="125">
        <v>0.6666666666666666</v>
      </c>
    </row>
    <row r="1004">
      <c r="A1004" s="26" t="s">
        <v>253</v>
      </c>
      <c r="B1004" s="124">
        <v>46009.0</v>
      </c>
      <c r="C1004" s="26" t="s">
        <v>5592</v>
      </c>
      <c r="D1004" s="125">
        <v>0.4166666666666667</v>
      </c>
      <c r="E1004" s="125">
        <v>0.75</v>
      </c>
    </row>
    <row r="1005">
      <c r="A1005" s="26" t="s">
        <v>258</v>
      </c>
      <c r="B1005" s="124">
        <v>46009.0</v>
      </c>
      <c r="C1005" s="26" t="s">
        <v>5592</v>
      </c>
      <c r="D1005" s="125">
        <v>0.3333333333333333</v>
      </c>
      <c r="E1005" s="125">
        <v>0.6666666666666666</v>
      </c>
    </row>
    <row r="1006">
      <c r="A1006" s="26" t="s">
        <v>261</v>
      </c>
      <c r="B1006" s="124">
        <v>46009.0</v>
      </c>
      <c r="C1006" s="26" t="s">
        <v>5592</v>
      </c>
      <c r="D1006" s="125">
        <v>0.4166666666666667</v>
      </c>
      <c r="E1006" s="125">
        <v>0.75</v>
      </c>
    </row>
    <row r="1007">
      <c r="A1007" s="26" t="s">
        <v>265</v>
      </c>
      <c r="B1007" s="124">
        <v>46009.0</v>
      </c>
      <c r="C1007" s="26" t="s">
        <v>5592</v>
      </c>
      <c r="D1007" s="125">
        <v>0.3333333333333333</v>
      </c>
      <c r="E1007" s="125">
        <v>0.6666666666666666</v>
      </c>
    </row>
    <row r="1008">
      <c r="A1008" s="26" t="s">
        <v>269</v>
      </c>
      <c r="B1008" s="124">
        <v>46009.0</v>
      </c>
      <c r="C1008" s="26" t="s">
        <v>5592</v>
      </c>
      <c r="D1008" s="125">
        <v>0.3333333333333333</v>
      </c>
      <c r="E1008" s="125">
        <v>0.6666666666666666</v>
      </c>
    </row>
    <row r="1009">
      <c r="A1009" s="26" t="s">
        <v>276</v>
      </c>
      <c r="B1009" s="124">
        <v>46009.0</v>
      </c>
      <c r="C1009" s="26" t="s">
        <v>5592</v>
      </c>
      <c r="D1009" s="125">
        <v>0.3333333333333333</v>
      </c>
      <c r="E1009" s="125">
        <v>0.6666666666666666</v>
      </c>
    </row>
    <row r="1010">
      <c r="A1010" s="26" t="s">
        <v>280</v>
      </c>
      <c r="B1010" s="124">
        <v>46009.0</v>
      </c>
      <c r="C1010" s="26" t="s">
        <v>5592</v>
      </c>
      <c r="D1010" s="125">
        <v>0.4166666666666667</v>
      </c>
      <c r="E1010" s="125">
        <v>0.75</v>
      </c>
    </row>
    <row r="1011">
      <c r="A1011" s="26" t="s">
        <v>243</v>
      </c>
      <c r="B1011" s="124">
        <v>46008.0</v>
      </c>
      <c r="C1011" s="26" t="s">
        <v>5592</v>
      </c>
      <c r="D1011" s="125">
        <v>0.3333333333333333</v>
      </c>
      <c r="E1011" s="125">
        <v>0.6666666666666666</v>
      </c>
    </row>
    <row r="1012">
      <c r="A1012" s="26" t="s">
        <v>248</v>
      </c>
      <c r="B1012" s="124">
        <v>46008.0</v>
      </c>
      <c r="C1012" s="26" t="s">
        <v>5592</v>
      </c>
      <c r="D1012" s="125">
        <v>0.3333333333333333</v>
      </c>
      <c r="E1012" s="125">
        <v>0.6666666666666666</v>
      </c>
    </row>
    <row r="1013">
      <c r="A1013" s="26" t="s">
        <v>253</v>
      </c>
      <c r="B1013" s="124">
        <v>46008.0</v>
      </c>
      <c r="C1013" s="26" t="s">
        <v>5592</v>
      </c>
      <c r="D1013" s="125">
        <v>0.4166666666666667</v>
      </c>
      <c r="E1013" s="125">
        <v>0.75</v>
      </c>
    </row>
    <row r="1014">
      <c r="A1014" s="26" t="s">
        <v>258</v>
      </c>
      <c r="B1014" s="124">
        <v>46008.0</v>
      </c>
      <c r="C1014" s="26" t="s">
        <v>5592</v>
      </c>
      <c r="D1014" s="125">
        <v>0.3333333333333333</v>
      </c>
      <c r="E1014" s="125">
        <v>0.6666666666666666</v>
      </c>
    </row>
    <row r="1015">
      <c r="A1015" s="26" t="s">
        <v>261</v>
      </c>
      <c r="B1015" s="124">
        <v>46008.0</v>
      </c>
      <c r="C1015" s="26" t="s">
        <v>5592</v>
      </c>
      <c r="D1015" s="125">
        <v>0.4166666666666667</v>
      </c>
      <c r="E1015" s="125">
        <v>0.75</v>
      </c>
    </row>
    <row r="1016">
      <c r="A1016" s="26" t="s">
        <v>265</v>
      </c>
      <c r="B1016" s="124">
        <v>46008.0</v>
      </c>
      <c r="C1016" s="26" t="s">
        <v>5592</v>
      </c>
      <c r="D1016" s="125">
        <v>0.3333333333333333</v>
      </c>
      <c r="E1016" s="125">
        <v>0.6666666666666666</v>
      </c>
    </row>
    <row r="1017">
      <c r="A1017" s="26" t="s">
        <v>269</v>
      </c>
      <c r="B1017" s="124">
        <v>46008.0</v>
      </c>
      <c r="C1017" s="26" t="s">
        <v>5592</v>
      </c>
      <c r="D1017" s="125">
        <v>0.3333333333333333</v>
      </c>
      <c r="E1017" s="125">
        <v>0.6666666666666666</v>
      </c>
    </row>
    <row r="1018">
      <c r="A1018" s="26" t="s">
        <v>276</v>
      </c>
      <c r="B1018" s="124">
        <v>46008.0</v>
      </c>
      <c r="C1018" s="26" t="s">
        <v>5592</v>
      </c>
      <c r="D1018" s="125">
        <v>0.3333333333333333</v>
      </c>
      <c r="E1018" s="125">
        <v>0.6666666666666666</v>
      </c>
    </row>
    <row r="1019">
      <c r="A1019" s="26" t="s">
        <v>280</v>
      </c>
      <c r="B1019" s="124">
        <v>46008.0</v>
      </c>
      <c r="C1019" s="26" t="s">
        <v>5592</v>
      </c>
      <c r="D1019" s="125">
        <v>0.4166666666666667</v>
      </c>
      <c r="E1019" s="125">
        <v>0.75</v>
      </c>
    </row>
    <row r="1020">
      <c r="A1020" s="26" t="s">
        <v>243</v>
      </c>
      <c r="B1020" s="124">
        <v>46007.0</v>
      </c>
      <c r="C1020" s="26" t="s">
        <v>5592</v>
      </c>
      <c r="D1020" s="125">
        <v>0.3333333333333333</v>
      </c>
      <c r="E1020" s="125">
        <v>0.6666666666666666</v>
      </c>
    </row>
    <row r="1021">
      <c r="A1021" s="26" t="s">
        <v>248</v>
      </c>
      <c r="B1021" s="124">
        <v>46007.0</v>
      </c>
      <c r="C1021" s="26" t="s">
        <v>5592</v>
      </c>
      <c r="D1021" s="125">
        <v>0.3333333333333333</v>
      </c>
      <c r="E1021" s="125">
        <v>0.6666666666666666</v>
      </c>
    </row>
    <row r="1022">
      <c r="A1022" s="26" t="s">
        <v>253</v>
      </c>
      <c r="B1022" s="124">
        <v>46007.0</v>
      </c>
      <c r="C1022" s="26" t="s">
        <v>5592</v>
      </c>
      <c r="D1022" s="125">
        <v>0.4166666666666667</v>
      </c>
      <c r="E1022" s="125">
        <v>0.75</v>
      </c>
    </row>
    <row r="1023">
      <c r="A1023" s="26" t="s">
        <v>258</v>
      </c>
      <c r="B1023" s="124">
        <v>46007.0</v>
      </c>
      <c r="C1023" s="26" t="s">
        <v>5592</v>
      </c>
      <c r="D1023" s="125">
        <v>0.3333333333333333</v>
      </c>
      <c r="E1023" s="125">
        <v>0.6666666666666666</v>
      </c>
    </row>
    <row r="1024">
      <c r="A1024" s="26" t="s">
        <v>261</v>
      </c>
      <c r="B1024" s="124">
        <v>46007.0</v>
      </c>
      <c r="C1024" s="26" t="s">
        <v>5592</v>
      </c>
      <c r="D1024" s="125">
        <v>0.4166666666666667</v>
      </c>
      <c r="E1024" s="125">
        <v>0.75</v>
      </c>
    </row>
    <row r="1025">
      <c r="A1025" s="26" t="s">
        <v>265</v>
      </c>
      <c r="B1025" s="124">
        <v>46007.0</v>
      </c>
      <c r="C1025" s="26" t="s">
        <v>5592</v>
      </c>
      <c r="D1025" s="125">
        <v>0.3333333333333333</v>
      </c>
      <c r="E1025" s="125">
        <v>0.6666666666666666</v>
      </c>
    </row>
    <row r="1026">
      <c r="A1026" s="26" t="s">
        <v>269</v>
      </c>
      <c r="B1026" s="124">
        <v>46007.0</v>
      </c>
      <c r="C1026" s="26" t="s">
        <v>5592</v>
      </c>
      <c r="D1026" s="125">
        <v>0.3333333333333333</v>
      </c>
      <c r="E1026" s="125">
        <v>0.6666666666666666</v>
      </c>
    </row>
    <row r="1027">
      <c r="A1027" s="26" t="s">
        <v>276</v>
      </c>
      <c r="B1027" s="124">
        <v>46007.0</v>
      </c>
      <c r="C1027" s="26" t="s">
        <v>5592</v>
      </c>
      <c r="D1027" s="125">
        <v>0.3333333333333333</v>
      </c>
      <c r="E1027" s="125">
        <v>0.6666666666666666</v>
      </c>
    </row>
    <row r="1028">
      <c r="A1028" s="26" t="s">
        <v>280</v>
      </c>
      <c r="B1028" s="124">
        <v>46007.0</v>
      </c>
      <c r="C1028" s="26" t="s">
        <v>5592</v>
      </c>
      <c r="D1028" s="125">
        <v>0.4166666666666667</v>
      </c>
      <c r="E1028" s="125">
        <v>0.75</v>
      </c>
    </row>
    <row r="1029">
      <c r="A1029" s="26" t="s">
        <v>243</v>
      </c>
      <c r="B1029" s="124">
        <v>46006.0</v>
      </c>
      <c r="C1029" s="26" t="s">
        <v>5592</v>
      </c>
      <c r="D1029" s="125">
        <v>0.3333333333333333</v>
      </c>
      <c r="E1029" s="125">
        <v>0.6666666666666666</v>
      </c>
    </row>
    <row r="1030">
      <c r="A1030" s="26" t="s">
        <v>248</v>
      </c>
      <c r="B1030" s="124">
        <v>46006.0</v>
      </c>
      <c r="C1030" s="26" t="s">
        <v>5592</v>
      </c>
      <c r="D1030" s="125">
        <v>0.3333333333333333</v>
      </c>
      <c r="E1030" s="125">
        <v>0.6666666666666666</v>
      </c>
    </row>
    <row r="1031">
      <c r="A1031" s="26" t="s">
        <v>253</v>
      </c>
      <c r="B1031" s="124">
        <v>46006.0</v>
      </c>
      <c r="C1031" s="26" t="s">
        <v>5592</v>
      </c>
      <c r="D1031" s="125">
        <v>0.4166666666666667</v>
      </c>
      <c r="E1031" s="125">
        <v>0.75</v>
      </c>
    </row>
    <row r="1032">
      <c r="A1032" s="26" t="s">
        <v>258</v>
      </c>
      <c r="B1032" s="124">
        <v>46006.0</v>
      </c>
      <c r="C1032" s="26" t="s">
        <v>5592</v>
      </c>
      <c r="D1032" s="125">
        <v>0.3333333333333333</v>
      </c>
      <c r="E1032" s="125">
        <v>0.6666666666666666</v>
      </c>
    </row>
    <row r="1033">
      <c r="A1033" s="26" t="s">
        <v>261</v>
      </c>
      <c r="B1033" s="124">
        <v>46006.0</v>
      </c>
      <c r="C1033" s="26" t="s">
        <v>5592</v>
      </c>
      <c r="D1033" s="125">
        <v>0.4166666666666667</v>
      </c>
      <c r="E1033" s="125">
        <v>0.75</v>
      </c>
    </row>
    <row r="1034">
      <c r="A1034" s="26" t="s">
        <v>265</v>
      </c>
      <c r="B1034" s="124">
        <v>46006.0</v>
      </c>
      <c r="C1034" s="26" t="s">
        <v>5592</v>
      </c>
      <c r="D1034" s="125">
        <v>0.3333333333333333</v>
      </c>
      <c r="E1034" s="125">
        <v>0.6666666666666666</v>
      </c>
    </row>
    <row r="1035">
      <c r="A1035" s="26" t="s">
        <v>269</v>
      </c>
      <c r="B1035" s="124">
        <v>46006.0</v>
      </c>
      <c r="C1035" s="26" t="s">
        <v>5592</v>
      </c>
      <c r="D1035" s="125">
        <v>0.3333333333333333</v>
      </c>
      <c r="E1035" s="125">
        <v>0.6666666666666666</v>
      </c>
    </row>
    <row r="1036">
      <c r="A1036" s="26" t="s">
        <v>276</v>
      </c>
      <c r="B1036" s="124">
        <v>46006.0</v>
      </c>
      <c r="C1036" s="26" t="s">
        <v>5592</v>
      </c>
      <c r="D1036" s="125">
        <v>0.3333333333333333</v>
      </c>
      <c r="E1036" s="125">
        <v>0.6666666666666666</v>
      </c>
    </row>
    <row r="1037">
      <c r="A1037" s="26" t="s">
        <v>280</v>
      </c>
      <c r="B1037" s="124">
        <v>46006.0</v>
      </c>
      <c r="C1037" s="26" t="s">
        <v>5592</v>
      </c>
      <c r="D1037" s="125">
        <v>0.4166666666666667</v>
      </c>
      <c r="E1037" s="125">
        <v>0.75</v>
      </c>
    </row>
    <row r="1038">
      <c r="A1038" s="26" t="s">
        <v>243</v>
      </c>
      <c r="B1038" s="124">
        <v>46004.0</v>
      </c>
      <c r="C1038" s="26" t="s">
        <v>5592</v>
      </c>
      <c r="D1038" s="125">
        <v>0.3333333333333333</v>
      </c>
      <c r="E1038" s="125">
        <v>0.6666666666666666</v>
      </c>
    </row>
    <row r="1039">
      <c r="A1039" s="26" t="s">
        <v>248</v>
      </c>
      <c r="B1039" s="124">
        <v>46004.0</v>
      </c>
      <c r="C1039" s="26" t="s">
        <v>5592</v>
      </c>
      <c r="D1039" s="125">
        <v>0.3333333333333333</v>
      </c>
      <c r="E1039" s="125">
        <v>0.6666666666666666</v>
      </c>
    </row>
    <row r="1040">
      <c r="A1040" s="26" t="s">
        <v>253</v>
      </c>
      <c r="B1040" s="124">
        <v>46004.0</v>
      </c>
      <c r="C1040" s="26" t="s">
        <v>5592</v>
      </c>
      <c r="D1040" s="125">
        <v>0.4166666666666667</v>
      </c>
      <c r="E1040" s="125">
        <v>0.75</v>
      </c>
    </row>
    <row r="1041">
      <c r="A1041" s="26" t="s">
        <v>258</v>
      </c>
      <c r="B1041" s="124">
        <v>46004.0</v>
      </c>
      <c r="C1041" s="26" t="s">
        <v>5592</v>
      </c>
      <c r="D1041" s="125">
        <v>0.3333333333333333</v>
      </c>
      <c r="E1041" s="125">
        <v>0.6666666666666666</v>
      </c>
    </row>
    <row r="1042">
      <c r="A1042" s="26" t="s">
        <v>261</v>
      </c>
      <c r="B1042" s="124">
        <v>46004.0</v>
      </c>
      <c r="C1042" s="26" t="s">
        <v>5592</v>
      </c>
      <c r="D1042" s="125">
        <v>0.4166666666666667</v>
      </c>
      <c r="E1042" s="125">
        <v>0.75</v>
      </c>
    </row>
    <row r="1043">
      <c r="A1043" s="26" t="s">
        <v>265</v>
      </c>
      <c r="B1043" s="124">
        <v>46004.0</v>
      </c>
      <c r="C1043" s="26" t="s">
        <v>5592</v>
      </c>
      <c r="D1043" s="125">
        <v>0.3333333333333333</v>
      </c>
      <c r="E1043" s="125">
        <v>0.6666666666666666</v>
      </c>
    </row>
    <row r="1044">
      <c r="A1044" s="26" t="s">
        <v>269</v>
      </c>
      <c r="B1044" s="124">
        <v>46004.0</v>
      </c>
      <c r="C1044" s="26" t="s">
        <v>5592</v>
      </c>
      <c r="D1044" s="125">
        <v>0.3333333333333333</v>
      </c>
      <c r="E1044" s="125">
        <v>0.6666666666666666</v>
      </c>
    </row>
    <row r="1045">
      <c r="A1045" s="26" t="s">
        <v>276</v>
      </c>
      <c r="B1045" s="124">
        <v>46004.0</v>
      </c>
      <c r="C1045" s="26" t="s">
        <v>5592</v>
      </c>
      <c r="D1045" s="125">
        <v>0.3333333333333333</v>
      </c>
      <c r="E1045" s="125">
        <v>0.6666666666666666</v>
      </c>
    </row>
    <row r="1046">
      <c r="A1046" s="26" t="s">
        <v>280</v>
      </c>
      <c r="B1046" s="124">
        <v>46004.0</v>
      </c>
      <c r="C1046" s="26" t="s">
        <v>5592</v>
      </c>
      <c r="D1046" s="125">
        <v>0.4166666666666667</v>
      </c>
      <c r="E1046" s="125">
        <v>0.75</v>
      </c>
    </row>
    <row r="1047">
      <c r="A1047" s="26" t="s">
        <v>243</v>
      </c>
      <c r="B1047" s="124">
        <v>46003.0</v>
      </c>
      <c r="C1047" s="26" t="s">
        <v>5592</v>
      </c>
      <c r="D1047" s="125">
        <v>0.3333333333333333</v>
      </c>
      <c r="E1047" s="125">
        <v>0.6666666666666666</v>
      </c>
    </row>
    <row r="1048">
      <c r="A1048" s="26" t="s">
        <v>248</v>
      </c>
      <c r="B1048" s="124">
        <v>46003.0</v>
      </c>
      <c r="C1048" s="26" t="s">
        <v>5592</v>
      </c>
      <c r="D1048" s="125">
        <v>0.3333333333333333</v>
      </c>
      <c r="E1048" s="125">
        <v>0.6666666666666666</v>
      </c>
    </row>
    <row r="1049">
      <c r="A1049" s="26" t="s">
        <v>253</v>
      </c>
      <c r="B1049" s="124">
        <v>46003.0</v>
      </c>
      <c r="C1049" s="26" t="s">
        <v>5592</v>
      </c>
      <c r="D1049" s="125">
        <v>0.4166666666666667</v>
      </c>
      <c r="E1049" s="125">
        <v>0.75</v>
      </c>
    </row>
    <row r="1050">
      <c r="A1050" s="26" t="s">
        <v>258</v>
      </c>
      <c r="B1050" s="124">
        <v>46003.0</v>
      </c>
      <c r="C1050" s="26" t="s">
        <v>5592</v>
      </c>
      <c r="D1050" s="125">
        <v>0.3333333333333333</v>
      </c>
      <c r="E1050" s="125">
        <v>0.6666666666666666</v>
      </c>
    </row>
    <row r="1051">
      <c r="A1051" s="26" t="s">
        <v>261</v>
      </c>
      <c r="B1051" s="124">
        <v>46003.0</v>
      </c>
      <c r="C1051" s="26" t="s">
        <v>5592</v>
      </c>
      <c r="D1051" s="125">
        <v>0.4166666666666667</v>
      </c>
      <c r="E1051" s="125">
        <v>0.75</v>
      </c>
    </row>
    <row r="1052">
      <c r="A1052" s="26" t="s">
        <v>265</v>
      </c>
      <c r="B1052" s="124">
        <v>46003.0</v>
      </c>
      <c r="C1052" s="26" t="s">
        <v>5592</v>
      </c>
      <c r="D1052" s="125">
        <v>0.3333333333333333</v>
      </c>
      <c r="E1052" s="125">
        <v>0.6666666666666666</v>
      </c>
    </row>
    <row r="1053">
      <c r="A1053" s="26" t="s">
        <v>269</v>
      </c>
      <c r="B1053" s="124">
        <v>46003.0</v>
      </c>
      <c r="C1053" s="26" t="s">
        <v>5592</v>
      </c>
      <c r="D1053" s="125">
        <v>0.3333333333333333</v>
      </c>
      <c r="E1053" s="125">
        <v>0.6666666666666666</v>
      </c>
    </row>
    <row r="1054">
      <c r="A1054" s="26" t="s">
        <v>276</v>
      </c>
      <c r="B1054" s="124">
        <v>46003.0</v>
      </c>
      <c r="C1054" s="26" t="s">
        <v>5592</v>
      </c>
      <c r="D1054" s="125">
        <v>0.3333333333333333</v>
      </c>
      <c r="E1054" s="125">
        <v>0.6666666666666666</v>
      </c>
    </row>
    <row r="1055">
      <c r="A1055" s="26" t="s">
        <v>280</v>
      </c>
      <c r="B1055" s="124">
        <v>46003.0</v>
      </c>
      <c r="C1055" s="26" t="s">
        <v>5592</v>
      </c>
      <c r="D1055" s="125">
        <v>0.4166666666666667</v>
      </c>
      <c r="E1055" s="125">
        <v>0.75</v>
      </c>
    </row>
    <row r="1056">
      <c r="A1056" s="26" t="s">
        <v>243</v>
      </c>
      <c r="B1056" s="124">
        <v>46002.0</v>
      </c>
      <c r="C1056" s="26" t="s">
        <v>5592</v>
      </c>
      <c r="D1056" s="125">
        <v>0.3333333333333333</v>
      </c>
      <c r="E1056" s="125">
        <v>0.6666666666666666</v>
      </c>
    </row>
    <row r="1057">
      <c r="A1057" s="26" t="s">
        <v>248</v>
      </c>
      <c r="B1057" s="124">
        <v>46002.0</v>
      </c>
      <c r="C1057" s="26" t="s">
        <v>5592</v>
      </c>
      <c r="D1057" s="125">
        <v>0.3333333333333333</v>
      </c>
      <c r="E1057" s="125">
        <v>0.6666666666666666</v>
      </c>
    </row>
    <row r="1058">
      <c r="A1058" s="26" t="s">
        <v>253</v>
      </c>
      <c r="B1058" s="124">
        <v>46002.0</v>
      </c>
      <c r="C1058" s="26" t="s">
        <v>5592</v>
      </c>
      <c r="D1058" s="125">
        <v>0.4166666666666667</v>
      </c>
      <c r="E1058" s="125">
        <v>0.75</v>
      </c>
    </row>
    <row r="1059">
      <c r="A1059" s="26" t="s">
        <v>258</v>
      </c>
      <c r="B1059" s="124">
        <v>46002.0</v>
      </c>
      <c r="C1059" s="26" t="s">
        <v>5592</v>
      </c>
      <c r="D1059" s="125">
        <v>0.3333333333333333</v>
      </c>
      <c r="E1059" s="125">
        <v>0.6666666666666666</v>
      </c>
    </row>
    <row r="1060">
      <c r="A1060" s="26" t="s">
        <v>261</v>
      </c>
      <c r="B1060" s="124">
        <v>46002.0</v>
      </c>
      <c r="C1060" s="26" t="s">
        <v>5592</v>
      </c>
      <c r="D1060" s="125">
        <v>0.4166666666666667</v>
      </c>
      <c r="E1060" s="125">
        <v>0.75</v>
      </c>
    </row>
    <row r="1061">
      <c r="A1061" s="26" t="s">
        <v>265</v>
      </c>
      <c r="B1061" s="124">
        <v>46002.0</v>
      </c>
      <c r="C1061" s="26" t="s">
        <v>5592</v>
      </c>
      <c r="D1061" s="125">
        <v>0.3333333333333333</v>
      </c>
      <c r="E1061" s="125">
        <v>0.6666666666666666</v>
      </c>
    </row>
    <row r="1062">
      <c r="A1062" s="26" t="s">
        <v>269</v>
      </c>
      <c r="B1062" s="124">
        <v>46002.0</v>
      </c>
      <c r="C1062" s="26" t="s">
        <v>5592</v>
      </c>
      <c r="D1062" s="125">
        <v>0.3333333333333333</v>
      </c>
      <c r="E1062" s="125">
        <v>0.6666666666666666</v>
      </c>
    </row>
    <row r="1063">
      <c r="A1063" s="26" t="s">
        <v>276</v>
      </c>
      <c r="B1063" s="124">
        <v>46002.0</v>
      </c>
      <c r="C1063" s="26" t="s">
        <v>5592</v>
      </c>
      <c r="D1063" s="125">
        <v>0.3333333333333333</v>
      </c>
      <c r="E1063" s="125">
        <v>0.6666666666666666</v>
      </c>
    </row>
    <row r="1064">
      <c r="A1064" s="26" t="s">
        <v>280</v>
      </c>
      <c r="B1064" s="124">
        <v>46002.0</v>
      </c>
      <c r="C1064" s="26" t="s">
        <v>5592</v>
      </c>
      <c r="D1064" s="125">
        <v>0.4166666666666667</v>
      </c>
      <c r="E1064" s="125">
        <v>0.75</v>
      </c>
    </row>
    <row r="1065">
      <c r="A1065" s="26" t="s">
        <v>243</v>
      </c>
      <c r="B1065" s="124">
        <v>46001.0</v>
      </c>
      <c r="C1065" s="26" t="s">
        <v>5592</v>
      </c>
      <c r="D1065" s="125">
        <v>0.3333333333333333</v>
      </c>
      <c r="E1065" s="125">
        <v>0.6666666666666666</v>
      </c>
    </row>
    <row r="1066">
      <c r="A1066" s="26" t="s">
        <v>248</v>
      </c>
      <c r="B1066" s="124">
        <v>46001.0</v>
      </c>
      <c r="C1066" s="26" t="s">
        <v>5592</v>
      </c>
      <c r="D1066" s="125">
        <v>0.3333333333333333</v>
      </c>
      <c r="E1066" s="125">
        <v>0.6666666666666666</v>
      </c>
    </row>
    <row r="1067">
      <c r="A1067" s="26" t="s">
        <v>253</v>
      </c>
      <c r="B1067" s="124">
        <v>46001.0</v>
      </c>
      <c r="C1067" s="26" t="s">
        <v>5592</v>
      </c>
      <c r="D1067" s="125">
        <v>0.4166666666666667</v>
      </c>
      <c r="E1067" s="125">
        <v>0.75</v>
      </c>
    </row>
    <row r="1068">
      <c r="A1068" s="26" t="s">
        <v>258</v>
      </c>
      <c r="B1068" s="124">
        <v>46001.0</v>
      </c>
      <c r="C1068" s="26" t="s">
        <v>5592</v>
      </c>
      <c r="D1068" s="125">
        <v>0.3333333333333333</v>
      </c>
      <c r="E1068" s="125">
        <v>0.6666666666666666</v>
      </c>
    </row>
    <row r="1069">
      <c r="A1069" s="26" t="s">
        <v>261</v>
      </c>
      <c r="B1069" s="124">
        <v>46001.0</v>
      </c>
      <c r="C1069" s="26" t="s">
        <v>5592</v>
      </c>
      <c r="D1069" s="125">
        <v>0.4166666666666667</v>
      </c>
      <c r="E1069" s="125">
        <v>0.75</v>
      </c>
    </row>
    <row r="1070">
      <c r="A1070" s="26" t="s">
        <v>265</v>
      </c>
      <c r="B1070" s="124">
        <v>46001.0</v>
      </c>
      <c r="C1070" s="26" t="s">
        <v>5592</v>
      </c>
      <c r="D1070" s="125">
        <v>0.3333333333333333</v>
      </c>
      <c r="E1070" s="125">
        <v>0.6666666666666666</v>
      </c>
    </row>
    <row r="1071">
      <c r="A1071" s="26" t="s">
        <v>269</v>
      </c>
      <c r="B1071" s="124">
        <v>46001.0</v>
      </c>
      <c r="C1071" s="26" t="s">
        <v>5592</v>
      </c>
      <c r="D1071" s="125">
        <v>0.3333333333333333</v>
      </c>
      <c r="E1071" s="125">
        <v>0.6666666666666666</v>
      </c>
    </row>
    <row r="1072">
      <c r="A1072" s="26" t="s">
        <v>276</v>
      </c>
      <c r="B1072" s="124">
        <v>46001.0</v>
      </c>
      <c r="C1072" s="26" t="s">
        <v>5592</v>
      </c>
      <c r="D1072" s="125">
        <v>0.3333333333333333</v>
      </c>
      <c r="E1072" s="125">
        <v>0.6666666666666666</v>
      </c>
    </row>
    <row r="1073">
      <c r="A1073" s="26" t="s">
        <v>280</v>
      </c>
      <c r="B1073" s="124">
        <v>46001.0</v>
      </c>
      <c r="C1073" s="26" t="s">
        <v>5592</v>
      </c>
      <c r="D1073" s="125">
        <v>0.4166666666666667</v>
      </c>
      <c r="E1073" s="125">
        <v>0.75</v>
      </c>
    </row>
    <row r="1074">
      <c r="A1074" s="26" t="s">
        <v>243</v>
      </c>
      <c r="B1074" s="124">
        <v>46000.0</v>
      </c>
      <c r="C1074" s="26" t="s">
        <v>5592</v>
      </c>
      <c r="D1074" s="125">
        <v>0.3333333333333333</v>
      </c>
      <c r="E1074" s="125">
        <v>0.6666666666666666</v>
      </c>
    </row>
    <row r="1075">
      <c r="A1075" s="26" t="s">
        <v>248</v>
      </c>
      <c r="B1075" s="124">
        <v>46000.0</v>
      </c>
      <c r="C1075" s="26" t="s">
        <v>5592</v>
      </c>
      <c r="D1075" s="125">
        <v>0.3333333333333333</v>
      </c>
      <c r="E1075" s="125">
        <v>0.6666666666666666</v>
      </c>
    </row>
    <row r="1076">
      <c r="A1076" s="26" t="s">
        <v>253</v>
      </c>
      <c r="B1076" s="124">
        <v>46000.0</v>
      </c>
      <c r="C1076" s="26" t="s">
        <v>5592</v>
      </c>
      <c r="D1076" s="125">
        <v>0.4166666666666667</v>
      </c>
      <c r="E1076" s="125">
        <v>0.75</v>
      </c>
    </row>
    <row r="1077">
      <c r="A1077" s="26" t="s">
        <v>258</v>
      </c>
      <c r="B1077" s="124">
        <v>46000.0</v>
      </c>
      <c r="C1077" s="26" t="s">
        <v>5592</v>
      </c>
      <c r="D1077" s="125">
        <v>0.3333333333333333</v>
      </c>
      <c r="E1077" s="125">
        <v>0.6666666666666666</v>
      </c>
    </row>
    <row r="1078">
      <c r="A1078" s="26" t="s">
        <v>261</v>
      </c>
      <c r="B1078" s="124">
        <v>46000.0</v>
      </c>
      <c r="C1078" s="26" t="s">
        <v>5592</v>
      </c>
      <c r="D1078" s="125">
        <v>0.4166666666666667</v>
      </c>
      <c r="E1078" s="125">
        <v>0.75</v>
      </c>
    </row>
    <row r="1079">
      <c r="A1079" s="26" t="s">
        <v>265</v>
      </c>
      <c r="B1079" s="124">
        <v>46000.0</v>
      </c>
      <c r="C1079" s="26" t="s">
        <v>5592</v>
      </c>
      <c r="D1079" s="125">
        <v>0.3333333333333333</v>
      </c>
      <c r="E1079" s="125">
        <v>0.6666666666666666</v>
      </c>
    </row>
    <row r="1080">
      <c r="A1080" s="26" t="s">
        <v>269</v>
      </c>
      <c r="B1080" s="124">
        <v>46000.0</v>
      </c>
      <c r="C1080" s="26" t="s">
        <v>5592</v>
      </c>
      <c r="D1080" s="125">
        <v>0.3333333333333333</v>
      </c>
      <c r="E1080" s="125">
        <v>0.6666666666666666</v>
      </c>
    </row>
    <row r="1081">
      <c r="A1081" s="26" t="s">
        <v>276</v>
      </c>
      <c r="B1081" s="124">
        <v>46000.0</v>
      </c>
      <c r="C1081" s="26" t="s">
        <v>5592</v>
      </c>
      <c r="D1081" s="125">
        <v>0.3333333333333333</v>
      </c>
      <c r="E1081" s="125">
        <v>0.6666666666666666</v>
      </c>
    </row>
    <row r="1082">
      <c r="A1082" s="26" t="s">
        <v>280</v>
      </c>
      <c r="B1082" s="124">
        <v>46000.0</v>
      </c>
      <c r="C1082" s="26" t="s">
        <v>5592</v>
      </c>
      <c r="D1082" s="125">
        <v>0.4166666666666667</v>
      </c>
      <c r="E1082" s="125">
        <v>0.75</v>
      </c>
    </row>
    <row r="1083">
      <c r="A1083" s="26" t="s">
        <v>243</v>
      </c>
      <c r="B1083" s="124">
        <v>45999.0</v>
      </c>
      <c r="C1083" s="26" t="s">
        <v>5592</v>
      </c>
      <c r="D1083" s="125">
        <v>0.3333333333333333</v>
      </c>
      <c r="E1083" s="125">
        <v>0.6666666666666666</v>
      </c>
    </row>
    <row r="1084">
      <c r="A1084" s="26" t="s">
        <v>248</v>
      </c>
      <c r="B1084" s="124">
        <v>45999.0</v>
      </c>
      <c r="C1084" s="26" t="s">
        <v>5592</v>
      </c>
      <c r="D1084" s="125">
        <v>0.3333333333333333</v>
      </c>
      <c r="E1084" s="125">
        <v>0.6666666666666666</v>
      </c>
    </row>
    <row r="1085">
      <c r="A1085" s="26" t="s">
        <v>253</v>
      </c>
      <c r="B1085" s="124">
        <v>45999.0</v>
      </c>
      <c r="C1085" s="26" t="s">
        <v>5592</v>
      </c>
      <c r="D1085" s="125">
        <v>0.4166666666666667</v>
      </c>
      <c r="E1085" s="125">
        <v>0.75</v>
      </c>
    </row>
    <row r="1086">
      <c r="A1086" s="26" t="s">
        <v>258</v>
      </c>
      <c r="B1086" s="124">
        <v>45999.0</v>
      </c>
      <c r="C1086" s="26" t="s">
        <v>5592</v>
      </c>
      <c r="D1086" s="125">
        <v>0.3333333333333333</v>
      </c>
      <c r="E1086" s="125">
        <v>0.6666666666666666</v>
      </c>
    </row>
    <row r="1087">
      <c r="A1087" s="26" t="s">
        <v>261</v>
      </c>
      <c r="B1087" s="124">
        <v>45999.0</v>
      </c>
      <c r="C1087" s="26" t="s">
        <v>5592</v>
      </c>
      <c r="D1087" s="125">
        <v>0.4166666666666667</v>
      </c>
      <c r="E1087" s="125">
        <v>0.75</v>
      </c>
    </row>
    <row r="1088">
      <c r="A1088" s="26" t="s">
        <v>265</v>
      </c>
      <c r="B1088" s="124">
        <v>45999.0</v>
      </c>
      <c r="C1088" s="26" t="s">
        <v>5592</v>
      </c>
      <c r="D1088" s="125">
        <v>0.3333333333333333</v>
      </c>
      <c r="E1088" s="125">
        <v>0.6666666666666666</v>
      </c>
    </row>
    <row r="1089">
      <c r="A1089" s="26" t="s">
        <v>269</v>
      </c>
      <c r="B1089" s="124">
        <v>45999.0</v>
      </c>
      <c r="C1089" s="26" t="s">
        <v>5592</v>
      </c>
      <c r="D1089" s="125">
        <v>0.3333333333333333</v>
      </c>
      <c r="E1089" s="125">
        <v>0.6666666666666666</v>
      </c>
    </row>
    <row r="1090">
      <c r="A1090" s="26" t="s">
        <v>276</v>
      </c>
      <c r="B1090" s="124">
        <v>45999.0</v>
      </c>
      <c r="C1090" s="26" t="s">
        <v>5592</v>
      </c>
      <c r="D1090" s="125">
        <v>0.3333333333333333</v>
      </c>
      <c r="E1090" s="125">
        <v>0.6666666666666666</v>
      </c>
    </row>
    <row r="1091">
      <c r="A1091" s="26" t="s">
        <v>280</v>
      </c>
      <c r="B1091" s="124">
        <v>45999.0</v>
      </c>
      <c r="C1091" s="26" t="s">
        <v>5592</v>
      </c>
      <c r="D1091" s="125">
        <v>0.4166666666666667</v>
      </c>
      <c r="E1091" s="125">
        <v>0.75</v>
      </c>
    </row>
    <row r="1092">
      <c r="A1092" s="26" t="s">
        <v>243</v>
      </c>
      <c r="B1092" s="124">
        <v>45997.0</v>
      </c>
      <c r="C1092" s="26" t="s">
        <v>5592</v>
      </c>
      <c r="D1092" s="125">
        <v>0.3333333333333333</v>
      </c>
      <c r="E1092" s="125">
        <v>0.6666666666666666</v>
      </c>
    </row>
    <row r="1093">
      <c r="A1093" s="26" t="s">
        <v>248</v>
      </c>
      <c r="B1093" s="124">
        <v>45997.0</v>
      </c>
      <c r="C1093" s="26" t="s">
        <v>5592</v>
      </c>
      <c r="D1093" s="125">
        <v>0.3333333333333333</v>
      </c>
      <c r="E1093" s="125">
        <v>0.6666666666666666</v>
      </c>
    </row>
    <row r="1094">
      <c r="A1094" s="26" t="s">
        <v>253</v>
      </c>
      <c r="B1094" s="124">
        <v>45997.0</v>
      </c>
      <c r="C1094" s="26" t="s">
        <v>5592</v>
      </c>
      <c r="D1094" s="125">
        <v>0.4166666666666667</v>
      </c>
      <c r="E1094" s="125">
        <v>0.75</v>
      </c>
    </row>
    <row r="1095">
      <c r="A1095" s="26" t="s">
        <v>258</v>
      </c>
      <c r="B1095" s="124">
        <v>45997.0</v>
      </c>
      <c r="C1095" s="26" t="s">
        <v>5592</v>
      </c>
      <c r="D1095" s="125">
        <v>0.3333333333333333</v>
      </c>
      <c r="E1095" s="125">
        <v>0.6666666666666666</v>
      </c>
    </row>
    <row r="1096">
      <c r="A1096" s="26" t="s">
        <v>261</v>
      </c>
      <c r="B1096" s="124">
        <v>45997.0</v>
      </c>
      <c r="C1096" s="26" t="s">
        <v>5592</v>
      </c>
      <c r="D1096" s="125">
        <v>0.4166666666666667</v>
      </c>
      <c r="E1096" s="125">
        <v>0.75</v>
      </c>
    </row>
    <row r="1097">
      <c r="A1097" s="26" t="s">
        <v>265</v>
      </c>
      <c r="B1097" s="124">
        <v>45997.0</v>
      </c>
      <c r="C1097" s="26" t="s">
        <v>5592</v>
      </c>
      <c r="D1097" s="125">
        <v>0.3333333333333333</v>
      </c>
      <c r="E1097" s="125">
        <v>0.6666666666666666</v>
      </c>
    </row>
    <row r="1098">
      <c r="A1098" s="26" t="s">
        <v>269</v>
      </c>
      <c r="B1098" s="124">
        <v>45997.0</v>
      </c>
      <c r="C1098" s="26" t="s">
        <v>5592</v>
      </c>
      <c r="D1098" s="125">
        <v>0.3333333333333333</v>
      </c>
      <c r="E1098" s="125">
        <v>0.6666666666666666</v>
      </c>
    </row>
    <row r="1099">
      <c r="A1099" s="26" t="s">
        <v>276</v>
      </c>
      <c r="B1099" s="124">
        <v>45997.0</v>
      </c>
      <c r="C1099" s="26" t="s">
        <v>5592</v>
      </c>
      <c r="D1099" s="125">
        <v>0.3333333333333333</v>
      </c>
      <c r="E1099" s="125">
        <v>0.6666666666666666</v>
      </c>
    </row>
    <row r="1100">
      <c r="A1100" s="26" t="s">
        <v>280</v>
      </c>
      <c r="B1100" s="124">
        <v>45997.0</v>
      </c>
      <c r="C1100" s="26" t="s">
        <v>5592</v>
      </c>
      <c r="D1100" s="125">
        <v>0.4166666666666667</v>
      </c>
      <c r="E1100" s="125">
        <v>0.75</v>
      </c>
    </row>
    <row r="1101">
      <c r="A1101" s="26" t="s">
        <v>243</v>
      </c>
      <c r="B1101" s="124">
        <v>45996.0</v>
      </c>
      <c r="C1101" s="26" t="s">
        <v>5592</v>
      </c>
      <c r="D1101" s="125">
        <v>0.3333333333333333</v>
      </c>
      <c r="E1101" s="125">
        <v>0.6666666666666666</v>
      </c>
    </row>
    <row r="1102">
      <c r="A1102" s="26" t="s">
        <v>248</v>
      </c>
      <c r="B1102" s="124">
        <v>45996.0</v>
      </c>
      <c r="C1102" s="26" t="s">
        <v>5592</v>
      </c>
      <c r="D1102" s="125">
        <v>0.3333333333333333</v>
      </c>
      <c r="E1102" s="125">
        <v>0.6666666666666666</v>
      </c>
    </row>
    <row r="1103">
      <c r="A1103" s="26" t="s">
        <v>253</v>
      </c>
      <c r="B1103" s="124">
        <v>45996.0</v>
      </c>
      <c r="C1103" s="26" t="s">
        <v>5592</v>
      </c>
      <c r="D1103" s="125">
        <v>0.4166666666666667</v>
      </c>
      <c r="E1103" s="125">
        <v>0.75</v>
      </c>
    </row>
    <row r="1104">
      <c r="A1104" s="26" t="s">
        <v>258</v>
      </c>
      <c r="B1104" s="124">
        <v>45996.0</v>
      </c>
      <c r="C1104" s="26" t="s">
        <v>5592</v>
      </c>
      <c r="D1104" s="125">
        <v>0.3333333333333333</v>
      </c>
      <c r="E1104" s="125">
        <v>0.6666666666666666</v>
      </c>
    </row>
    <row r="1105">
      <c r="A1105" s="26" t="s">
        <v>261</v>
      </c>
      <c r="B1105" s="124">
        <v>45996.0</v>
      </c>
      <c r="C1105" s="26" t="s">
        <v>5592</v>
      </c>
      <c r="D1105" s="125">
        <v>0.4166666666666667</v>
      </c>
      <c r="E1105" s="125">
        <v>0.75</v>
      </c>
    </row>
    <row r="1106">
      <c r="A1106" s="26" t="s">
        <v>265</v>
      </c>
      <c r="B1106" s="124">
        <v>45996.0</v>
      </c>
      <c r="C1106" s="26" t="s">
        <v>5592</v>
      </c>
      <c r="D1106" s="125">
        <v>0.3333333333333333</v>
      </c>
      <c r="E1106" s="125">
        <v>0.6666666666666666</v>
      </c>
    </row>
    <row r="1107">
      <c r="A1107" s="26" t="s">
        <v>269</v>
      </c>
      <c r="B1107" s="124">
        <v>45996.0</v>
      </c>
      <c r="C1107" s="26" t="s">
        <v>5592</v>
      </c>
      <c r="D1107" s="125">
        <v>0.3333333333333333</v>
      </c>
      <c r="E1107" s="125">
        <v>0.6666666666666666</v>
      </c>
    </row>
    <row r="1108">
      <c r="A1108" s="26" t="s">
        <v>276</v>
      </c>
      <c r="B1108" s="124">
        <v>45996.0</v>
      </c>
      <c r="C1108" s="26" t="s">
        <v>5592</v>
      </c>
      <c r="D1108" s="125">
        <v>0.3333333333333333</v>
      </c>
      <c r="E1108" s="125">
        <v>0.6666666666666666</v>
      </c>
    </row>
    <row r="1109">
      <c r="A1109" s="26" t="s">
        <v>280</v>
      </c>
      <c r="B1109" s="124">
        <v>45996.0</v>
      </c>
      <c r="C1109" s="26" t="s">
        <v>5592</v>
      </c>
      <c r="D1109" s="125">
        <v>0.4166666666666667</v>
      </c>
      <c r="E1109" s="125">
        <v>0.75</v>
      </c>
    </row>
    <row r="1110">
      <c r="A1110" s="26" t="s">
        <v>243</v>
      </c>
      <c r="B1110" s="124">
        <v>45995.0</v>
      </c>
      <c r="C1110" s="26" t="s">
        <v>5592</v>
      </c>
      <c r="D1110" s="125">
        <v>0.3333333333333333</v>
      </c>
      <c r="E1110" s="125">
        <v>0.6666666666666666</v>
      </c>
    </row>
    <row r="1111">
      <c r="A1111" s="26" t="s">
        <v>248</v>
      </c>
      <c r="B1111" s="124">
        <v>45995.0</v>
      </c>
      <c r="C1111" s="26" t="s">
        <v>5592</v>
      </c>
      <c r="D1111" s="125">
        <v>0.3333333333333333</v>
      </c>
      <c r="E1111" s="125">
        <v>0.6666666666666666</v>
      </c>
    </row>
    <row r="1112">
      <c r="A1112" s="26" t="s">
        <v>253</v>
      </c>
      <c r="B1112" s="124">
        <v>45995.0</v>
      </c>
      <c r="C1112" s="26" t="s">
        <v>5592</v>
      </c>
      <c r="D1112" s="125">
        <v>0.4166666666666667</v>
      </c>
      <c r="E1112" s="125">
        <v>0.75</v>
      </c>
    </row>
    <row r="1113">
      <c r="A1113" s="26" t="s">
        <v>258</v>
      </c>
      <c r="B1113" s="124">
        <v>45995.0</v>
      </c>
      <c r="C1113" s="26" t="s">
        <v>5592</v>
      </c>
      <c r="D1113" s="125">
        <v>0.3333333333333333</v>
      </c>
      <c r="E1113" s="125">
        <v>0.6666666666666666</v>
      </c>
    </row>
    <row r="1114">
      <c r="A1114" s="26" t="s">
        <v>261</v>
      </c>
      <c r="B1114" s="124">
        <v>45995.0</v>
      </c>
      <c r="C1114" s="26" t="s">
        <v>5592</v>
      </c>
      <c r="D1114" s="125">
        <v>0.4166666666666667</v>
      </c>
      <c r="E1114" s="125">
        <v>0.75</v>
      </c>
    </row>
    <row r="1115">
      <c r="A1115" s="26" t="s">
        <v>265</v>
      </c>
      <c r="B1115" s="124">
        <v>45995.0</v>
      </c>
      <c r="C1115" s="26" t="s">
        <v>5592</v>
      </c>
      <c r="D1115" s="125">
        <v>0.3333333333333333</v>
      </c>
      <c r="E1115" s="125">
        <v>0.6666666666666666</v>
      </c>
    </row>
    <row r="1116">
      <c r="A1116" s="26" t="s">
        <v>269</v>
      </c>
      <c r="B1116" s="124">
        <v>45995.0</v>
      </c>
      <c r="C1116" s="26" t="s">
        <v>5592</v>
      </c>
      <c r="D1116" s="125">
        <v>0.3333333333333333</v>
      </c>
      <c r="E1116" s="125">
        <v>0.6666666666666666</v>
      </c>
    </row>
    <row r="1117">
      <c r="A1117" s="26" t="s">
        <v>276</v>
      </c>
      <c r="B1117" s="124">
        <v>45995.0</v>
      </c>
      <c r="C1117" s="26" t="s">
        <v>5592</v>
      </c>
      <c r="D1117" s="125">
        <v>0.3333333333333333</v>
      </c>
      <c r="E1117" s="125">
        <v>0.6666666666666666</v>
      </c>
    </row>
    <row r="1118">
      <c r="A1118" s="26" t="s">
        <v>280</v>
      </c>
      <c r="B1118" s="124">
        <v>45995.0</v>
      </c>
      <c r="C1118" s="26" t="s">
        <v>5592</v>
      </c>
      <c r="D1118" s="125">
        <v>0.4166666666666667</v>
      </c>
      <c r="E1118" s="125">
        <v>0.75</v>
      </c>
    </row>
    <row r="1119">
      <c r="A1119" s="26" t="s">
        <v>243</v>
      </c>
      <c r="B1119" s="124">
        <v>45994.0</v>
      </c>
      <c r="C1119" s="26" t="s">
        <v>5592</v>
      </c>
      <c r="D1119" s="125">
        <v>0.3333333333333333</v>
      </c>
      <c r="E1119" s="125">
        <v>0.6666666666666666</v>
      </c>
    </row>
    <row r="1120">
      <c r="A1120" s="26" t="s">
        <v>248</v>
      </c>
      <c r="B1120" s="124">
        <v>45994.0</v>
      </c>
      <c r="C1120" s="26" t="s">
        <v>5592</v>
      </c>
      <c r="D1120" s="125">
        <v>0.3333333333333333</v>
      </c>
      <c r="E1120" s="125">
        <v>0.6666666666666666</v>
      </c>
    </row>
    <row r="1121">
      <c r="A1121" s="26" t="s">
        <v>253</v>
      </c>
      <c r="B1121" s="124">
        <v>45994.0</v>
      </c>
      <c r="C1121" s="26" t="s">
        <v>5592</v>
      </c>
      <c r="D1121" s="125">
        <v>0.4166666666666667</v>
      </c>
      <c r="E1121" s="125">
        <v>0.75</v>
      </c>
    </row>
    <row r="1122">
      <c r="A1122" s="26" t="s">
        <v>258</v>
      </c>
      <c r="B1122" s="124">
        <v>45994.0</v>
      </c>
      <c r="C1122" s="26" t="s">
        <v>5592</v>
      </c>
      <c r="D1122" s="125">
        <v>0.3333333333333333</v>
      </c>
      <c r="E1122" s="125">
        <v>0.6666666666666666</v>
      </c>
    </row>
    <row r="1123">
      <c r="A1123" s="26" t="s">
        <v>261</v>
      </c>
      <c r="B1123" s="124">
        <v>45994.0</v>
      </c>
      <c r="C1123" s="26" t="s">
        <v>5592</v>
      </c>
      <c r="D1123" s="125">
        <v>0.4166666666666667</v>
      </c>
      <c r="E1123" s="125">
        <v>0.75</v>
      </c>
    </row>
    <row r="1124">
      <c r="A1124" s="26" t="s">
        <v>265</v>
      </c>
      <c r="B1124" s="124">
        <v>45994.0</v>
      </c>
      <c r="C1124" s="26" t="s">
        <v>5592</v>
      </c>
      <c r="D1124" s="125">
        <v>0.3333333333333333</v>
      </c>
      <c r="E1124" s="125">
        <v>0.6666666666666666</v>
      </c>
    </row>
    <row r="1125">
      <c r="A1125" s="26" t="s">
        <v>269</v>
      </c>
      <c r="B1125" s="124">
        <v>45994.0</v>
      </c>
      <c r="C1125" s="26" t="s">
        <v>5592</v>
      </c>
      <c r="D1125" s="125">
        <v>0.3333333333333333</v>
      </c>
      <c r="E1125" s="125">
        <v>0.6666666666666666</v>
      </c>
    </row>
    <row r="1126">
      <c r="A1126" s="26" t="s">
        <v>276</v>
      </c>
      <c r="B1126" s="124">
        <v>45994.0</v>
      </c>
      <c r="C1126" s="26" t="s">
        <v>5592</v>
      </c>
      <c r="D1126" s="125">
        <v>0.3333333333333333</v>
      </c>
      <c r="E1126" s="125">
        <v>0.6666666666666666</v>
      </c>
    </row>
    <row r="1127">
      <c r="A1127" s="26" t="s">
        <v>280</v>
      </c>
      <c r="B1127" s="124">
        <v>45994.0</v>
      </c>
      <c r="C1127" s="26" t="s">
        <v>5592</v>
      </c>
      <c r="D1127" s="125">
        <v>0.4166666666666667</v>
      </c>
      <c r="E1127" s="125">
        <v>0.75</v>
      </c>
    </row>
    <row r="1128">
      <c r="A1128" s="26" t="s">
        <v>243</v>
      </c>
      <c r="B1128" s="124">
        <v>45993.0</v>
      </c>
      <c r="C1128" s="26" t="s">
        <v>5592</v>
      </c>
      <c r="D1128" s="125">
        <v>0.3333333333333333</v>
      </c>
      <c r="E1128" s="125">
        <v>0.6666666666666666</v>
      </c>
    </row>
    <row r="1129">
      <c r="A1129" s="26" t="s">
        <v>248</v>
      </c>
      <c r="B1129" s="124">
        <v>45993.0</v>
      </c>
      <c r="C1129" s="26" t="s">
        <v>5592</v>
      </c>
      <c r="D1129" s="125">
        <v>0.3333333333333333</v>
      </c>
      <c r="E1129" s="125">
        <v>0.6666666666666666</v>
      </c>
    </row>
    <row r="1130">
      <c r="A1130" s="26" t="s">
        <v>253</v>
      </c>
      <c r="B1130" s="124">
        <v>45993.0</v>
      </c>
      <c r="C1130" s="26" t="s">
        <v>5592</v>
      </c>
      <c r="D1130" s="125">
        <v>0.4166666666666667</v>
      </c>
      <c r="E1130" s="125">
        <v>0.75</v>
      </c>
    </row>
    <row r="1131">
      <c r="A1131" s="26" t="s">
        <v>258</v>
      </c>
      <c r="B1131" s="124">
        <v>45993.0</v>
      </c>
      <c r="C1131" s="26" t="s">
        <v>5592</v>
      </c>
      <c r="D1131" s="125">
        <v>0.3333333333333333</v>
      </c>
      <c r="E1131" s="125">
        <v>0.6666666666666666</v>
      </c>
    </row>
    <row r="1132">
      <c r="A1132" s="26" t="s">
        <v>261</v>
      </c>
      <c r="B1132" s="124">
        <v>45993.0</v>
      </c>
      <c r="C1132" s="26" t="s">
        <v>5592</v>
      </c>
      <c r="D1132" s="125">
        <v>0.4166666666666667</v>
      </c>
      <c r="E1132" s="125">
        <v>0.75</v>
      </c>
    </row>
    <row r="1133">
      <c r="A1133" s="26" t="s">
        <v>265</v>
      </c>
      <c r="B1133" s="124">
        <v>45993.0</v>
      </c>
      <c r="C1133" s="26" t="s">
        <v>5592</v>
      </c>
      <c r="D1133" s="125">
        <v>0.3333333333333333</v>
      </c>
      <c r="E1133" s="125">
        <v>0.6666666666666666</v>
      </c>
    </row>
    <row r="1134">
      <c r="A1134" s="26" t="s">
        <v>269</v>
      </c>
      <c r="B1134" s="124">
        <v>45993.0</v>
      </c>
      <c r="C1134" s="26" t="s">
        <v>5592</v>
      </c>
      <c r="D1134" s="125">
        <v>0.3333333333333333</v>
      </c>
      <c r="E1134" s="125">
        <v>0.6666666666666666</v>
      </c>
    </row>
    <row r="1135">
      <c r="A1135" s="26" t="s">
        <v>276</v>
      </c>
      <c r="B1135" s="124">
        <v>45993.0</v>
      </c>
      <c r="C1135" s="26" t="s">
        <v>5592</v>
      </c>
      <c r="D1135" s="125">
        <v>0.3333333333333333</v>
      </c>
      <c r="E1135" s="125">
        <v>0.6666666666666666</v>
      </c>
    </row>
    <row r="1136">
      <c r="A1136" s="26" t="s">
        <v>280</v>
      </c>
      <c r="B1136" s="124">
        <v>45993.0</v>
      </c>
      <c r="C1136" s="26" t="s">
        <v>5592</v>
      </c>
      <c r="D1136" s="125">
        <v>0.4166666666666667</v>
      </c>
      <c r="E1136" s="125">
        <v>0.75</v>
      </c>
    </row>
    <row r="1137">
      <c r="A1137" s="26" t="s">
        <v>243</v>
      </c>
      <c r="B1137" s="124">
        <v>45992.0</v>
      </c>
      <c r="C1137" s="26" t="s">
        <v>5592</v>
      </c>
      <c r="D1137" s="125">
        <v>0.3333333333333333</v>
      </c>
      <c r="E1137" s="125">
        <v>0.6666666666666666</v>
      </c>
    </row>
    <row r="1138">
      <c r="A1138" s="26" t="s">
        <v>248</v>
      </c>
      <c r="B1138" s="124">
        <v>45992.0</v>
      </c>
      <c r="C1138" s="26" t="s">
        <v>5592</v>
      </c>
      <c r="D1138" s="125">
        <v>0.3333333333333333</v>
      </c>
      <c r="E1138" s="125">
        <v>0.6666666666666666</v>
      </c>
    </row>
    <row r="1139">
      <c r="A1139" s="26" t="s">
        <v>253</v>
      </c>
      <c r="B1139" s="124">
        <v>45992.0</v>
      </c>
      <c r="C1139" s="26" t="s">
        <v>5592</v>
      </c>
      <c r="D1139" s="125">
        <v>0.4166666666666667</v>
      </c>
      <c r="E1139" s="125">
        <v>0.75</v>
      </c>
    </row>
    <row r="1140">
      <c r="A1140" s="26" t="s">
        <v>258</v>
      </c>
      <c r="B1140" s="124">
        <v>45992.0</v>
      </c>
      <c r="C1140" s="26" t="s">
        <v>5592</v>
      </c>
      <c r="D1140" s="125">
        <v>0.3333333333333333</v>
      </c>
      <c r="E1140" s="125">
        <v>0.6666666666666666</v>
      </c>
    </row>
    <row r="1141">
      <c r="A1141" s="26" t="s">
        <v>261</v>
      </c>
      <c r="B1141" s="124">
        <v>45992.0</v>
      </c>
      <c r="C1141" s="26" t="s">
        <v>5592</v>
      </c>
      <c r="D1141" s="125">
        <v>0.4166666666666667</v>
      </c>
      <c r="E1141" s="125">
        <v>0.75</v>
      </c>
    </row>
    <row r="1142">
      <c r="A1142" s="26" t="s">
        <v>265</v>
      </c>
      <c r="B1142" s="124">
        <v>45992.0</v>
      </c>
      <c r="C1142" s="26" t="s">
        <v>5592</v>
      </c>
      <c r="D1142" s="125">
        <v>0.3333333333333333</v>
      </c>
      <c r="E1142" s="125">
        <v>0.6666666666666666</v>
      </c>
    </row>
    <row r="1143">
      <c r="A1143" s="26" t="s">
        <v>269</v>
      </c>
      <c r="B1143" s="124">
        <v>45992.0</v>
      </c>
      <c r="C1143" s="26" t="s">
        <v>5592</v>
      </c>
      <c r="D1143" s="125">
        <v>0.3333333333333333</v>
      </c>
      <c r="E1143" s="125">
        <v>0.6666666666666666</v>
      </c>
    </row>
    <row r="1144">
      <c r="A1144" s="26" t="s">
        <v>276</v>
      </c>
      <c r="B1144" s="124">
        <v>45992.0</v>
      </c>
      <c r="C1144" s="26" t="s">
        <v>5592</v>
      </c>
      <c r="D1144" s="125">
        <v>0.3333333333333333</v>
      </c>
      <c r="E1144" s="125">
        <v>0.6666666666666666</v>
      </c>
    </row>
    <row r="1145">
      <c r="A1145" s="26" t="s">
        <v>280</v>
      </c>
      <c r="B1145" s="124">
        <v>45992.0</v>
      </c>
      <c r="C1145" s="26" t="s">
        <v>5592</v>
      </c>
      <c r="D1145" s="125">
        <v>0.4166666666666667</v>
      </c>
      <c r="E1145" s="125">
        <v>0.75</v>
      </c>
    </row>
    <row r="1146">
      <c r="A1146" s="26" t="s">
        <v>243</v>
      </c>
      <c r="B1146" s="124">
        <v>45990.0</v>
      </c>
      <c r="C1146" s="26" t="s">
        <v>5592</v>
      </c>
      <c r="D1146" s="125">
        <v>0.3333333333333333</v>
      </c>
      <c r="E1146" s="125">
        <v>0.6666666666666666</v>
      </c>
    </row>
    <row r="1147">
      <c r="A1147" s="26" t="s">
        <v>248</v>
      </c>
      <c r="B1147" s="124">
        <v>45990.0</v>
      </c>
      <c r="C1147" s="26" t="s">
        <v>5592</v>
      </c>
      <c r="D1147" s="125">
        <v>0.3333333333333333</v>
      </c>
      <c r="E1147" s="125">
        <v>0.6666666666666666</v>
      </c>
    </row>
    <row r="1148">
      <c r="A1148" s="26" t="s">
        <v>253</v>
      </c>
      <c r="B1148" s="124">
        <v>45990.0</v>
      </c>
      <c r="C1148" s="26" t="s">
        <v>5592</v>
      </c>
      <c r="D1148" s="125">
        <v>0.4166666666666667</v>
      </c>
      <c r="E1148" s="125">
        <v>0.75</v>
      </c>
    </row>
    <row r="1149">
      <c r="A1149" s="26" t="s">
        <v>258</v>
      </c>
      <c r="B1149" s="124">
        <v>45990.0</v>
      </c>
      <c r="C1149" s="26" t="s">
        <v>5592</v>
      </c>
      <c r="D1149" s="125">
        <v>0.3333333333333333</v>
      </c>
      <c r="E1149" s="125">
        <v>0.6666666666666666</v>
      </c>
    </row>
    <row r="1150">
      <c r="A1150" s="26" t="s">
        <v>261</v>
      </c>
      <c r="B1150" s="124">
        <v>45990.0</v>
      </c>
      <c r="C1150" s="26" t="s">
        <v>5592</v>
      </c>
      <c r="D1150" s="125">
        <v>0.4166666666666667</v>
      </c>
      <c r="E1150" s="125">
        <v>0.75</v>
      </c>
    </row>
    <row r="1151">
      <c r="A1151" s="26" t="s">
        <v>265</v>
      </c>
      <c r="B1151" s="124">
        <v>45990.0</v>
      </c>
      <c r="C1151" s="26" t="s">
        <v>5592</v>
      </c>
      <c r="D1151" s="125">
        <v>0.3333333333333333</v>
      </c>
      <c r="E1151" s="125">
        <v>0.6666666666666666</v>
      </c>
    </row>
    <row r="1152">
      <c r="A1152" s="26" t="s">
        <v>269</v>
      </c>
      <c r="B1152" s="124">
        <v>45990.0</v>
      </c>
      <c r="C1152" s="26" t="s">
        <v>5592</v>
      </c>
      <c r="D1152" s="125">
        <v>0.3333333333333333</v>
      </c>
      <c r="E1152" s="125">
        <v>0.6666666666666666</v>
      </c>
    </row>
    <row r="1153">
      <c r="A1153" s="26" t="s">
        <v>276</v>
      </c>
      <c r="B1153" s="124">
        <v>45990.0</v>
      </c>
      <c r="C1153" s="26" t="s">
        <v>5592</v>
      </c>
      <c r="D1153" s="125">
        <v>0.3333333333333333</v>
      </c>
      <c r="E1153" s="125">
        <v>0.6666666666666666</v>
      </c>
    </row>
    <row r="1154">
      <c r="A1154" s="26" t="s">
        <v>280</v>
      </c>
      <c r="B1154" s="124">
        <v>45990.0</v>
      </c>
      <c r="C1154" s="26" t="s">
        <v>5592</v>
      </c>
      <c r="D1154" s="125">
        <v>0.4166666666666667</v>
      </c>
      <c r="E1154" s="125">
        <v>0.75</v>
      </c>
    </row>
    <row r="1155">
      <c r="A1155" s="26" t="s">
        <v>243</v>
      </c>
      <c r="B1155" s="124">
        <v>45989.0</v>
      </c>
      <c r="C1155" s="26" t="s">
        <v>5592</v>
      </c>
      <c r="D1155" s="125">
        <v>0.3333333333333333</v>
      </c>
      <c r="E1155" s="125">
        <v>0.6666666666666666</v>
      </c>
    </row>
    <row r="1156">
      <c r="A1156" s="26" t="s">
        <v>248</v>
      </c>
      <c r="B1156" s="124">
        <v>45989.0</v>
      </c>
      <c r="C1156" s="26" t="s">
        <v>5592</v>
      </c>
      <c r="D1156" s="125">
        <v>0.3333333333333333</v>
      </c>
      <c r="E1156" s="125">
        <v>0.6666666666666666</v>
      </c>
    </row>
    <row r="1157">
      <c r="A1157" s="26" t="s">
        <v>253</v>
      </c>
      <c r="B1157" s="124">
        <v>45989.0</v>
      </c>
      <c r="C1157" s="26" t="s">
        <v>5592</v>
      </c>
      <c r="D1157" s="125">
        <v>0.4166666666666667</v>
      </c>
      <c r="E1157" s="125">
        <v>0.75</v>
      </c>
    </row>
    <row r="1158">
      <c r="A1158" s="26" t="s">
        <v>258</v>
      </c>
      <c r="B1158" s="124">
        <v>45989.0</v>
      </c>
      <c r="C1158" s="26" t="s">
        <v>5592</v>
      </c>
      <c r="D1158" s="125">
        <v>0.3333333333333333</v>
      </c>
      <c r="E1158" s="125">
        <v>0.6666666666666666</v>
      </c>
    </row>
    <row r="1159">
      <c r="A1159" s="26" t="s">
        <v>261</v>
      </c>
      <c r="B1159" s="124">
        <v>45989.0</v>
      </c>
      <c r="C1159" s="26" t="s">
        <v>5592</v>
      </c>
      <c r="D1159" s="125">
        <v>0.4166666666666667</v>
      </c>
      <c r="E1159" s="125">
        <v>0.75</v>
      </c>
    </row>
    <row r="1160">
      <c r="A1160" s="26" t="s">
        <v>265</v>
      </c>
      <c r="B1160" s="124">
        <v>45989.0</v>
      </c>
      <c r="C1160" s="26" t="s">
        <v>5592</v>
      </c>
      <c r="D1160" s="125">
        <v>0.3333333333333333</v>
      </c>
      <c r="E1160" s="125">
        <v>0.6666666666666666</v>
      </c>
    </row>
    <row r="1161">
      <c r="A1161" s="26" t="s">
        <v>269</v>
      </c>
      <c r="B1161" s="124">
        <v>45989.0</v>
      </c>
      <c r="C1161" s="26" t="s">
        <v>5592</v>
      </c>
      <c r="D1161" s="125">
        <v>0.3333333333333333</v>
      </c>
      <c r="E1161" s="125">
        <v>0.6666666666666666</v>
      </c>
    </row>
    <row r="1162">
      <c r="A1162" s="26" t="s">
        <v>276</v>
      </c>
      <c r="B1162" s="124">
        <v>45989.0</v>
      </c>
      <c r="C1162" s="26" t="s">
        <v>5592</v>
      </c>
      <c r="D1162" s="125">
        <v>0.3333333333333333</v>
      </c>
      <c r="E1162" s="125">
        <v>0.6666666666666666</v>
      </c>
    </row>
    <row r="1163">
      <c r="A1163" s="26" t="s">
        <v>280</v>
      </c>
      <c r="B1163" s="124">
        <v>45989.0</v>
      </c>
      <c r="C1163" s="26" t="s">
        <v>5592</v>
      </c>
      <c r="D1163" s="125">
        <v>0.4166666666666667</v>
      </c>
      <c r="E1163" s="125">
        <v>0.75</v>
      </c>
    </row>
    <row r="1164">
      <c r="A1164" s="26" t="s">
        <v>243</v>
      </c>
      <c r="B1164" s="124">
        <v>45988.0</v>
      </c>
      <c r="C1164" s="26" t="s">
        <v>5592</v>
      </c>
      <c r="D1164" s="125">
        <v>0.3333333333333333</v>
      </c>
      <c r="E1164" s="125">
        <v>0.6666666666666666</v>
      </c>
    </row>
    <row r="1165">
      <c r="A1165" s="26" t="s">
        <v>248</v>
      </c>
      <c r="B1165" s="124">
        <v>45988.0</v>
      </c>
      <c r="C1165" s="26" t="s">
        <v>5592</v>
      </c>
      <c r="D1165" s="125">
        <v>0.3333333333333333</v>
      </c>
      <c r="E1165" s="125">
        <v>0.6666666666666666</v>
      </c>
    </row>
    <row r="1166">
      <c r="A1166" s="26" t="s">
        <v>253</v>
      </c>
      <c r="B1166" s="124">
        <v>45988.0</v>
      </c>
      <c r="C1166" s="26" t="s">
        <v>5592</v>
      </c>
      <c r="D1166" s="125">
        <v>0.4166666666666667</v>
      </c>
      <c r="E1166" s="125">
        <v>0.75</v>
      </c>
    </row>
    <row r="1167">
      <c r="A1167" s="26" t="s">
        <v>258</v>
      </c>
      <c r="B1167" s="124">
        <v>45988.0</v>
      </c>
      <c r="C1167" s="26" t="s">
        <v>5592</v>
      </c>
      <c r="D1167" s="125">
        <v>0.3333333333333333</v>
      </c>
      <c r="E1167" s="125">
        <v>0.6666666666666666</v>
      </c>
    </row>
    <row r="1168">
      <c r="A1168" s="26" t="s">
        <v>261</v>
      </c>
      <c r="B1168" s="124">
        <v>45988.0</v>
      </c>
      <c r="C1168" s="26" t="s">
        <v>5592</v>
      </c>
      <c r="D1168" s="125">
        <v>0.4166666666666667</v>
      </c>
      <c r="E1168" s="125">
        <v>0.75</v>
      </c>
    </row>
    <row r="1169">
      <c r="A1169" s="26" t="s">
        <v>265</v>
      </c>
      <c r="B1169" s="124">
        <v>45988.0</v>
      </c>
      <c r="C1169" s="26" t="s">
        <v>5592</v>
      </c>
      <c r="D1169" s="125">
        <v>0.3333333333333333</v>
      </c>
      <c r="E1169" s="125">
        <v>0.6666666666666666</v>
      </c>
    </row>
    <row r="1170">
      <c r="A1170" s="26" t="s">
        <v>269</v>
      </c>
      <c r="B1170" s="124">
        <v>45988.0</v>
      </c>
      <c r="C1170" s="26" t="s">
        <v>5592</v>
      </c>
      <c r="D1170" s="125">
        <v>0.3333333333333333</v>
      </c>
      <c r="E1170" s="125">
        <v>0.6666666666666666</v>
      </c>
    </row>
    <row r="1171">
      <c r="A1171" s="26" t="s">
        <v>276</v>
      </c>
      <c r="B1171" s="124">
        <v>45988.0</v>
      </c>
      <c r="C1171" s="26" t="s">
        <v>5592</v>
      </c>
      <c r="D1171" s="125">
        <v>0.3333333333333333</v>
      </c>
      <c r="E1171" s="125">
        <v>0.6666666666666666</v>
      </c>
    </row>
    <row r="1172">
      <c r="A1172" s="26" t="s">
        <v>280</v>
      </c>
      <c r="B1172" s="124">
        <v>45988.0</v>
      </c>
      <c r="C1172" s="26" t="s">
        <v>5592</v>
      </c>
      <c r="D1172" s="125">
        <v>0.4166666666666667</v>
      </c>
      <c r="E1172" s="125">
        <v>0.75</v>
      </c>
    </row>
    <row r="1173">
      <c r="A1173" s="26" t="s">
        <v>243</v>
      </c>
      <c r="B1173" s="124">
        <v>45987.0</v>
      </c>
      <c r="C1173" s="26" t="s">
        <v>5592</v>
      </c>
      <c r="D1173" s="125">
        <v>0.3333333333333333</v>
      </c>
      <c r="E1173" s="125">
        <v>0.6666666666666666</v>
      </c>
    </row>
    <row r="1174">
      <c r="A1174" s="26" t="s">
        <v>248</v>
      </c>
      <c r="B1174" s="124">
        <v>45987.0</v>
      </c>
      <c r="C1174" s="26" t="s">
        <v>5592</v>
      </c>
      <c r="D1174" s="125">
        <v>0.3333333333333333</v>
      </c>
      <c r="E1174" s="125">
        <v>0.6666666666666666</v>
      </c>
    </row>
    <row r="1175">
      <c r="A1175" s="26" t="s">
        <v>253</v>
      </c>
      <c r="B1175" s="124">
        <v>45987.0</v>
      </c>
      <c r="C1175" s="26" t="s">
        <v>5592</v>
      </c>
      <c r="D1175" s="125">
        <v>0.4166666666666667</v>
      </c>
      <c r="E1175" s="125">
        <v>0.75</v>
      </c>
    </row>
    <row r="1176">
      <c r="A1176" s="26" t="s">
        <v>258</v>
      </c>
      <c r="B1176" s="124">
        <v>45987.0</v>
      </c>
      <c r="C1176" s="26" t="s">
        <v>5592</v>
      </c>
      <c r="D1176" s="125">
        <v>0.3333333333333333</v>
      </c>
      <c r="E1176" s="125">
        <v>0.6666666666666666</v>
      </c>
    </row>
    <row r="1177">
      <c r="A1177" s="26" t="s">
        <v>261</v>
      </c>
      <c r="B1177" s="124">
        <v>45987.0</v>
      </c>
      <c r="C1177" s="26" t="s">
        <v>5592</v>
      </c>
      <c r="D1177" s="125">
        <v>0.4166666666666667</v>
      </c>
      <c r="E1177" s="125">
        <v>0.75</v>
      </c>
    </row>
    <row r="1178">
      <c r="A1178" s="26" t="s">
        <v>265</v>
      </c>
      <c r="B1178" s="124">
        <v>45987.0</v>
      </c>
      <c r="C1178" s="26" t="s">
        <v>5592</v>
      </c>
      <c r="D1178" s="125">
        <v>0.3333333333333333</v>
      </c>
      <c r="E1178" s="125">
        <v>0.6666666666666666</v>
      </c>
    </row>
    <row r="1179">
      <c r="A1179" s="26" t="s">
        <v>269</v>
      </c>
      <c r="B1179" s="124">
        <v>45987.0</v>
      </c>
      <c r="C1179" s="26" t="s">
        <v>5592</v>
      </c>
      <c r="D1179" s="125">
        <v>0.3333333333333333</v>
      </c>
      <c r="E1179" s="125">
        <v>0.6666666666666666</v>
      </c>
    </row>
    <row r="1180">
      <c r="A1180" s="26" t="s">
        <v>276</v>
      </c>
      <c r="B1180" s="124">
        <v>45987.0</v>
      </c>
      <c r="C1180" s="26" t="s">
        <v>5592</v>
      </c>
      <c r="D1180" s="125">
        <v>0.3333333333333333</v>
      </c>
      <c r="E1180" s="125">
        <v>0.6666666666666666</v>
      </c>
    </row>
    <row r="1181">
      <c r="A1181" s="26" t="s">
        <v>280</v>
      </c>
      <c r="B1181" s="124">
        <v>45987.0</v>
      </c>
      <c r="C1181" s="26" t="s">
        <v>5592</v>
      </c>
      <c r="D1181" s="125">
        <v>0.4166666666666667</v>
      </c>
      <c r="E1181" s="125">
        <v>0.75</v>
      </c>
    </row>
    <row r="1182">
      <c r="A1182" s="26" t="s">
        <v>243</v>
      </c>
      <c r="B1182" s="124">
        <v>45986.0</v>
      </c>
      <c r="C1182" s="26" t="s">
        <v>5592</v>
      </c>
      <c r="D1182" s="125">
        <v>0.3333333333333333</v>
      </c>
      <c r="E1182" s="125">
        <v>0.6666666666666666</v>
      </c>
    </row>
    <row r="1183">
      <c r="A1183" s="26" t="s">
        <v>248</v>
      </c>
      <c r="B1183" s="124">
        <v>45986.0</v>
      </c>
      <c r="C1183" s="26" t="s">
        <v>5592</v>
      </c>
      <c r="D1183" s="125">
        <v>0.3333333333333333</v>
      </c>
      <c r="E1183" s="125">
        <v>0.6666666666666666</v>
      </c>
    </row>
    <row r="1184">
      <c r="A1184" s="26" t="s">
        <v>253</v>
      </c>
      <c r="B1184" s="124">
        <v>45986.0</v>
      </c>
      <c r="C1184" s="26" t="s">
        <v>5592</v>
      </c>
      <c r="D1184" s="125">
        <v>0.4166666666666667</v>
      </c>
      <c r="E1184" s="125">
        <v>0.75</v>
      </c>
    </row>
    <row r="1185">
      <c r="A1185" s="26" t="s">
        <v>258</v>
      </c>
      <c r="B1185" s="124">
        <v>45986.0</v>
      </c>
      <c r="C1185" s="26" t="s">
        <v>5592</v>
      </c>
      <c r="D1185" s="125">
        <v>0.3333333333333333</v>
      </c>
      <c r="E1185" s="125">
        <v>0.6666666666666666</v>
      </c>
    </row>
    <row r="1186">
      <c r="A1186" s="26" t="s">
        <v>261</v>
      </c>
      <c r="B1186" s="124">
        <v>45986.0</v>
      </c>
      <c r="C1186" s="26" t="s">
        <v>5592</v>
      </c>
      <c r="D1186" s="125">
        <v>0.4166666666666667</v>
      </c>
      <c r="E1186" s="125">
        <v>0.75</v>
      </c>
    </row>
    <row r="1187">
      <c r="A1187" s="26" t="s">
        <v>265</v>
      </c>
      <c r="B1187" s="124">
        <v>45986.0</v>
      </c>
      <c r="C1187" s="26" t="s">
        <v>5592</v>
      </c>
      <c r="D1187" s="125">
        <v>0.3333333333333333</v>
      </c>
      <c r="E1187" s="125">
        <v>0.6666666666666666</v>
      </c>
    </row>
    <row r="1188">
      <c r="A1188" s="26" t="s">
        <v>269</v>
      </c>
      <c r="B1188" s="124">
        <v>45986.0</v>
      </c>
      <c r="C1188" s="26" t="s">
        <v>5592</v>
      </c>
      <c r="D1188" s="125">
        <v>0.3333333333333333</v>
      </c>
      <c r="E1188" s="125">
        <v>0.6666666666666666</v>
      </c>
    </row>
    <row r="1189">
      <c r="A1189" s="26" t="s">
        <v>276</v>
      </c>
      <c r="B1189" s="124">
        <v>45986.0</v>
      </c>
      <c r="C1189" s="26" t="s">
        <v>5592</v>
      </c>
      <c r="D1189" s="125">
        <v>0.3333333333333333</v>
      </c>
      <c r="E1189" s="125">
        <v>0.6666666666666666</v>
      </c>
    </row>
    <row r="1190">
      <c r="A1190" s="26" t="s">
        <v>280</v>
      </c>
      <c r="B1190" s="124">
        <v>45986.0</v>
      </c>
      <c r="C1190" s="26" t="s">
        <v>5592</v>
      </c>
      <c r="D1190" s="125">
        <v>0.4166666666666667</v>
      </c>
      <c r="E1190" s="125">
        <v>0.75</v>
      </c>
    </row>
    <row r="1191">
      <c r="A1191" s="26" t="s">
        <v>243</v>
      </c>
      <c r="B1191" s="124">
        <v>45985.0</v>
      </c>
      <c r="C1191" s="26" t="s">
        <v>5592</v>
      </c>
      <c r="D1191" s="125">
        <v>0.3333333333333333</v>
      </c>
      <c r="E1191" s="125">
        <v>0.6666666666666666</v>
      </c>
    </row>
    <row r="1192">
      <c r="A1192" s="26" t="s">
        <v>248</v>
      </c>
      <c r="B1192" s="124">
        <v>45985.0</v>
      </c>
      <c r="C1192" s="26" t="s">
        <v>5592</v>
      </c>
      <c r="D1192" s="125">
        <v>0.3333333333333333</v>
      </c>
      <c r="E1192" s="125">
        <v>0.6666666666666666</v>
      </c>
    </row>
    <row r="1193">
      <c r="A1193" s="26" t="s">
        <v>253</v>
      </c>
      <c r="B1193" s="124">
        <v>45985.0</v>
      </c>
      <c r="C1193" s="26" t="s">
        <v>5592</v>
      </c>
      <c r="D1193" s="125">
        <v>0.4166666666666667</v>
      </c>
      <c r="E1193" s="125">
        <v>0.75</v>
      </c>
    </row>
    <row r="1194">
      <c r="A1194" s="26" t="s">
        <v>258</v>
      </c>
      <c r="B1194" s="124">
        <v>45985.0</v>
      </c>
      <c r="C1194" s="26" t="s">
        <v>5592</v>
      </c>
      <c r="D1194" s="125">
        <v>0.3333333333333333</v>
      </c>
      <c r="E1194" s="125">
        <v>0.6666666666666666</v>
      </c>
    </row>
    <row r="1195">
      <c r="A1195" s="26" t="s">
        <v>261</v>
      </c>
      <c r="B1195" s="124">
        <v>45985.0</v>
      </c>
      <c r="C1195" s="26" t="s">
        <v>5592</v>
      </c>
      <c r="D1195" s="125">
        <v>0.4166666666666667</v>
      </c>
      <c r="E1195" s="125">
        <v>0.75</v>
      </c>
    </row>
    <row r="1196">
      <c r="A1196" s="26" t="s">
        <v>265</v>
      </c>
      <c r="B1196" s="124">
        <v>45985.0</v>
      </c>
      <c r="C1196" s="26" t="s">
        <v>5592</v>
      </c>
      <c r="D1196" s="125">
        <v>0.3333333333333333</v>
      </c>
      <c r="E1196" s="125">
        <v>0.6666666666666666</v>
      </c>
    </row>
    <row r="1197">
      <c r="A1197" s="26" t="s">
        <v>269</v>
      </c>
      <c r="B1197" s="124">
        <v>45985.0</v>
      </c>
      <c r="C1197" s="26" t="s">
        <v>5592</v>
      </c>
      <c r="D1197" s="125">
        <v>0.3333333333333333</v>
      </c>
      <c r="E1197" s="125">
        <v>0.6666666666666666</v>
      </c>
    </row>
    <row r="1198">
      <c r="A1198" s="26" t="s">
        <v>276</v>
      </c>
      <c r="B1198" s="124">
        <v>45985.0</v>
      </c>
      <c r="C1198" s="26" t="s">
        <v>5592</v>
      </c>
      <c r="D1198" s="125">
        <v>0.3333333333333333</v>
      </c>
      <c r="E1198" s="125">
        <v>0.6666666666666666</v>
      </c>
    </row>
    <row r="1199">
      <c r="A1199" s="26" t="s">
        <v>280</v>
      </c>
      <c r="B1199" s="124">
        <v>45985.0</v>
      </c>
      <c r="C1199" s="26" t="s">
        <v>5592</v>
      </c>
      <c r="D1199" s="125">
        <v>0.4166666666666667</v>
      </c>
      <c r="E1199" s="125">
        <v>0.75</v>
      </c>
    </row>
    <row r="1200">
      <c r="A1200" s="26" t="s">
        <v>243</v>
      </c>
      <c r="B1200" s="124">
        <v>45983.0</v>
      </c>
      <c r="C1200" s="26" t="s">
        <v>5592</v>
      </c>
      <c r="D1200" s="125">
        <v>0.3333333333333333</v>
      </c>
      <c r="E1200" s="125">
        <v>0.6666666666666666</v>
      </c>
    </row>
    <row r="1201">
      <c r="A1201" s="26" t="s">
        <v>248</v>
      </c>
      <c r="B1201" s="124">
        <v>45983.0</v>
      </c>
      <c r="C1201" s="26" t="s">
        <v>5592</v>
      </c>
      <c r="D1201" s="125">
        <v>0.3333333333333333</v>
      </c>
      <c r="E1201" s="125">
        <v>0.6666666666666666</v>
      </c>
    </row>
    <row r="1202">
      <c r="A1202" s="26" t="s">
        <v>253</v>
      </c>
      <c r="B1202" s="124">
        <v>45983.0</v>
      </c>
      <c r="C1202" s="26" t="s">
        <v>5592</v>
      </c>
      <c r="D1202" s="125">
        <v>0.4166666666666667</v>
      </c>
      <c r="E1202" s="125">
        <v>0.75</v>
      </c>
    </row>
    <row r="1203">
      <c r="A1203" s="26" t="s">
        <v>258</v>
      </c>
      <c r="B1203" s="124">
        <v>45983.0</v>
      </c>
      <c r="C1203" s="26" t="s">
        <v>5592</v>
      </c>
      <c r="D1203" s="125">
        <v>0.3333333333333333</v>
      </c>
      <c r="E1203" s="125">
        <v>0.6666666666666666</v>
      </c>
    </row>
    <row r="1204">
      <c r="A1204" s="26" t="s">
        <v>261</v>
      </c>
      <c r="B1204" s="124">
        <v>45983.0</v>
      </c>
      <c r="C1204" s="26" t="s">
        <v>5592</v>
      </c>
      <c r="D1204" s="125">
        <v>0.4166666666666667</v>
      </c>
      <c r="E1204" s="125">
        <v>0.75</v>
      </c>
    </row>
    <row r="1205">
      <c r="A1205" s="26" t="s">
        <v>265</v>
      </c>
      <c r="B1205" s="124">
        <v>45983.0</v>
      </c>
      <c r="C1205" s="26" t="s">
        <v>5592</v>
      </c>
      <c r="D1205" s="125">
        <v>0.3333333333333333</v>
      </c>
      <c r="E1205" s="125">
        <v>0.6666666666666666</v>
      </c>
    </row>
    <row r="1206">
      <c r="A1206" s="26" t="s">
        <v>269</v>
      </c>
      <c r="B1206" s="124">
        <v>45983.0</v>
      </c>
      <c r="C1206" s="26" t="s">
        <v>5592</v>
      </c>
      <c r="D1206" s="125">
        <v>0.3333333333333333</v>
      </c>
      <c r="E1206" s="125">
        <v>0.6666666666666666</v>
      </c>
    </row>
    <row r="1207">
      <c r="A1207" s="26" t="s">
        <v>276</v>
      </c>
      <c r="B1207" s="124">
        <v>45983.0</v>
      </c>
      <c r="C1207" s="26" t="s">
        <v>5592</v>
      </c>
      <c r="D1207" s="125">
        <v>0.3333333333333333</v>
      </c>
      <c r="E1207" s="125">
        <v>0.6666666666666666</v>
      </c>
    </row>
    <row r="1208">
      <c r="A1208" s="26" t="s">
        <v>280</v>
      </c>
      <c r="B1208" s="124">
        <v>45983.0</v>
      </c>
      <c r="C1208" s="26" t="s">
        <v>5592</v>
      </c>
      <c r="D1208" s="125">
        <v>0.4166666666666667</v>
      </c>
      <c r="E1208" s="125">
        <v>0.75</v>
      </c>
    </row>
    <row r="1209">
      <c r="A1209" s="26" t="s">
        <v>243</v>
      </c>
      <c r="B1209" s="124">
        <v>45982.0</v>
      </c>
      <c r="C1209" s="26" t="s">
        <v>5592</v>
      </c>
      <c r="D1209" s="125">
        <v>0.3333333333333333</v>
      </c>
      <c r="E1209" s="125">
        <v>0.6666666666666666</v>
      </c>
    </row>
    <row r="1210">
      <c r="A1210" s="26" t="s">
        <v>248</v>
      </c>
      <c r="B1210" s="124">
        <v>45982.0</v>
      </c>
      <c r="C1210" s="26" t="s">
        <v>5592</v>
      </c>
      <c r="D1210" s="125">
        <v>0.3333333333333333</v>
      </c>
      <c r="E1210" s="125">
        <v>0.6666666666666666</v>
      </c>
    </row>
    <row r="1211">
      <c r="A1211" s="26" t="s">
        <v>253</v>
      </c>
      <c r="B1211" s="124">
        <v>45982.0</v>
      </c>
      <c r="C1211" s="26" t="s">
        <v>5592</v>
      </c>
      <c r="D1211" s="125">
        <v>0.4166666666666667</v>
      </c>
      <c r="E1211" s="125">
        <v>0.75</v>
      </c>
    </row>
    <row r="1212">
      <c r="A1212" s="26" t="s">
        <v>258</v>
      </c>
      <c r="B1212" s="124">
        <v>45982.0</v>
      </c>
      <c r="C1212" s="26" t="s">
        <v>5592</v>
      </c>
      <c r="D1212" s="125">
        <v>0.3333333333333333</v>
      </c>
      <c r="E1212" s="125">
        <v>0.6666666666666666</v>
      </c>
    </row>
    <row r="1213">
      <c r="A1213" s="26" t="s">
        <v>261</v>
      </c>
      <c r="B1213" s="124">
        <v>45982.0</v>
      </c>
      <c r="C1213" s="26" t="s">
        <v>5592</v>
      </c>
      <c r="D1213" s="125">
        <v>0.4166666666666667</v>
      </c>
      <c r="E1213" s="125">
        <v>0.75</v>
      </c>
    </row>
    <row r="1214">
      <c r="A1214" s="26" t="s">
        <v>265</v>
      </c>
      <c r="B1214" s="124">
        <v>45982.0</v>
      </c>
      <c r="C1214" s="26" t="s">
        <v>5592</v>
      </c>
      <c r="D1214" s="125">
        <v>0.3333333333333333</v>
      </c>
      <c r="E1214" s="125">
        <v>0.6666666666666666</v>
      </c>
    </row>
    <row r="1215">
      <c r="A1215" s="26" t="s">
        <v>269</v>
      </c>
      <c r="B1215" s="124">
        <v>45982.0</v>
      </c>
      <c r="C1215" s="26" t="s">
        <v>5592</v>
      </c>
      <c r="D1215" s="125">
        <v>0.3333333333333333</v>
      </c>
      <c r="E1215" s="125">
        <v>0.6666666666666666</v>
      </c>
    </row>
    <row r="1216">
      <c r="A1216" s="26" t="s">
        <v>276</v>
      </c>
      <c r="B1216" s="124">
        <v>45982.0</v>
      </c>
      <c r="C1216" s="26" t="s">
        <v>5592</v>
      </c>
      <c r="D1216" s="125">
        <v>0.3333333333333333</v>
      </c>
      <c r="E1216" s="125">
        <v>0.6666666666666666</v>
      </c>
    </row>
    <row r="1217">
      <c r="A1217" s="26" t="s">
        <v>280</v>
      </c>
      <c r="B1217" s="124">
        <v>45982.0</v>
      </c>
      <c r="C1217" s="26" t="s">
        <v>5592</v>
      </c>
      <c r="D1217" s="125">
        <v>0.4166666666666667</v>
      </c>
      <c r="E1217" s="125">
        <v>0.75</v>
      </c>
    </row>
    <row r="1218">
      <c r="A1218" s="26" t="s">
        <v>243</v>
      </c>
      <c r="B1218" s="124">
        <v>45981.0</v>
      </c>
      <c r="C1218" s="26" t="s">
        <v>5592</v>
      </c>
      <c r="D1218" s="125">
        <v>0.3333333333333333</v>
      </c>
      <c r="E1218" s="125">
        <v>0.6666666666666666</v>
      </c>
    </row>
    <row r="1219">
      <c r="A1219" s="26" t="s">
        <v>248</v>
      </c>
      <c r="B1219" s="124">
        <v>45981.0</v>
      </c>
      <c r="C1219" s="26" t="s">
        <v>5592</v>
      </c>
      <c r="D1219" s="125">
        <v>0.3333333333333333</v>
      </c>
      <c r="E1219" s="125">
        <v>0.6666666666666666</v>
      </c>
    </row>
    <row r="1220">
      <c r="A1220" s="26" t="s">
        <v>253</v>
      </c>
      <c r="B1220" s="124">
        <v>45981.0</v>
      </c>
      <c r="C1220" s="26" t="s">
        <v>5592</v>
      </c>
      <c r="D1220" s="125">
        <v>0.4166666666666667</v>
      </c>
      <c r="E1220" s="125">
        <v>0.75</v>
      </c>
    </row>
    <row r="1221">
      <c r="A1221" s="26" t="s">
        <v>258</v>
      </c>
      <c r="B1221" s="124">
        <v>45981.0</v>
      </c>
      <c r="C1221" s="26" t="s">
        <v>5592</v>
      </c>
      <c r="D1221" s="125">
        <v>0.3333333333333333</v>
      </c>
      <c r="E1221" s="125">
        <v>0.6666666666666666</v>
      </c>
    </row>
    <row r="1222">
      <c r="A1222" s="26" t="s">
        <v>261</v>
      </c>
      <c r="B1222" s="124">
        <v>45981.0</v>
      </c>
      <c r="C1222" s="26" t="s">
        <v>5592</v>
      </c>
      <c r="D1222" s="125">
        <v>0.4166666666666667</v>
      </c>
      <c r="E1222" s="125">
        <v>0.75</v>
      </c>
    </row>
    <row r="1223">
      <c r="A1223" s="26" t="s">
        <v>265</v>
      </c>
      <c r="B1223" s="124">
        <v>45981.0</v>
      </c>
      <c r="C1223" s="26" t="s">
        <v>5592</v>
      </c>
      <c r="D1223" s="125">
        <v>0.3333333333333333</v>
      </c>
      <c r="E1223" s="125">
        <v>0.6666666666666666</v>
      </c>
    </row>
    <row r="1224">
      <c r="A1224" s="26" t="s">
        <v>269</v>
      </c>
      <c r="B1224" s="124">
        <v>45981.0</v>
      </c>
      <c r="C1224" s="26" t="s">
        <v>5592</v>
      </c>
      <c r="D1224" s="125">
        <v>0.3333333333333333</v>
      </c>
      <c r="E1224" s="125">
        <v>0.6666666666666666</v>
      </c>
    </row>
    <row r="1225">
      <c r="A1225" s="26" t="s">
        <v>276</v>
      </c>
      <c r="B1225" s="124">
        <v>45981.0</v>
      </c>
      <c r="C1225" s="26" t="s">
        <v>5592</v>
      </c>
      <c r="D1225" s="125">
        <v>0.3333333333333333</v>
      </c>
      <c r="E1225" s="125">
        <v>0.6666666666666666</v>
      </c>
    </row>
    <row r="1226">
      <c r="A1226" s="26" t="s">
        <v>280</v>
      </c>
      <c r="B1226" s="124">
        <v>45981.0</v>
      </c>
      <c r="C1226" s="26" t="s">
        <v>5592</v>
      </c>
      <c r="D1226" s="125">
        <v>0.4166666666666667</v>
      </c>
      <c r="E1226" s="125">
        <v>0.75</v>
      </c>
    </row>
    <row r="1227">
      <c r="A1227" s="26" t="s">
        <v>243</v>
      </c>
      <c r="B1227" s="124">
        <v>45980.0</v>
      </c>
      <c r="C1227" s="26" t="s">
        <v>5592</v>
      </c>
      <c r="D1227" s="125">
        <v>0.3333333333333333</v>
      </c>
      <c r="E1227" s="125">
        <v>0.6666666666666666</v>
      </c>
    </row>
    <row r="1228">
      <c r="A1228" s="26" t="s">
        <v>248</v>
      </c>
      <c r="B1228" s="124">
        <v>45980.0</v>
      </c>
      <c r="C1228" s="26" t="s">
        <v>5592</v>
      </c>
      <c r="D1228" s="125">
        <v>0.3333333333333333</v>
      </c>
      <c r="E1228" s="125">
        <v>0.6666666666666666</v>
      </c>
    </row>
    <row r="1229">
      <c r="A1229" s="26" t="s">
        <v>253</v>
      </c>
      <c r="B1229" s="124">
        <v>45980.0</v>
      </c>
      <c r="C1229" s="26" t="s">
        <v>5592</v>
      </c>
      <c r="D1229" s="125">
        <v>0.4166666666666667</v>
      </c>
      <c r="E1229" s="125">
        <v>0.75</v>
      </c>
    </row>
    <row r="1230">
      <c r="A1230" s="26" t="s">
        <v>258</v>
      </c>
      <c r="B1230" s="124">
        <v>45980.0</v>
      </c>
      <c r="C1230" s="26" t="s">
        <v>5592</v>
      </c>
      <c r="D1230" s="125">
        <v>0.3333333333333333</v>
      </c>
      <c r="E1230" s="125">
        <v>0.6666666666666666</v>
      </c>
    </row>
    <row r="1231">
      <c r="A1231" s="26" t="s">
        <v>261</v>
      </c>
      <c r="B1231" s="124">
        <v>45980.0</v>
      </c>
      <c r="C1231" s="26" t="s">
        <v>5592</v>
      </c>
      <c r="D1231" s="125">
        <v>0.4166666666666667</v>
      </c>
      <c r="E1231" s="125">
        <v>0.75</v>
      </c>
    </row>
    <row r="1232">
      <c r="A1232" s="26" t="s">
        <v>265</v>
      </c>
      <c r="B1232" s="124">
        <v>45980.0</v>
      </c>
      <c r="C1232" s="26" t="s">
        <v>5592</v>
      </c>
      <c r="D1232" s="125">
        <v>0.3333333333333333</v>
      </c>
      <c r="E1232" s="125">
        <v>0.6666666666666666</v>
      </c>
    </row>
    <row r="1233">
      <c r="A1233" s="26" t="s">
        <v>269</v>
      </c>
      <c r="B1233" s="124">
        <v>45980.0</v>
      </c>
      <c r="C1233" s="26" t="s">
        <v>5592</v>
      </c>
      <c r="D1233" s="125">
        <v>0.3333333333333333</v>
      </c>
      <c r="E1233" s="125">
        <v>0.6666666666666666</v>
      </c>
    </row>
    <row r="1234">
      <c r="A1234" s="26" t="s">
        <v>276</v>
      </c>
      <c r="B1234" s="124">
        <v>45980.0</v>
      </c>
      <c r="C1234" s="26" t="s">
        <v>5592</v>
      </c>
      <c r="D1234" s="125">
        <v>0.3333333333333333</v>
      </c>
      <c r="E1234" s="125">
        <v>0.6666666666666666</v>
      </c>
    </row>
    <row r="1235">
      <c r="A1235" s="26" t="s">
        <v>280</v>
      </c>
      <c r="B1235" s="124">
        <v>45980.0</v>
      </c>
      <c r="C1235" s="26" t="s">
        <v>5592</v>
      </c>
      <c r="D1235" s="125">
        <v>0.4166666666666667</v>
      </c>
      <c r="E1235" s="125">
        <v>0.75</v>
      </c>
    </row>
    <row r="1236">
      <c r="A1236" s="26" t="s">
        <v>243</v>
      </c>
      <c r="B1236" s="124">
        <v>45979.0</v>
      </c>
      <c r="C1236" s="26" t="s">
        <v>5592</v>
      </c>
      <c r="D1236" s="125">
        <v>0.3333333333333333</v>
      </c>
      <c r="E1236" s="125">
        <v>0.6666666666666666</v>
      </c>
    </row>
    <row r="1237">
      <c r="A1237" s="26" t="s">
        <v>248</v>
      </c>
      <c r="B1237" s="124">
        <v>45979.0</v>
      </c>
      <c r="C1237" s="26" t="s">
        <v>5592</v>
      </c>
      <c r="D1237" s="125">
        <v>0.3333333333333333</v>
      </c>
      <c r="E1237" s="125">
        <v>0.6666666666666666</v>
      </c>
    </row>
    <row r="1238">
      <c r="A1238" s="26" t="s">
        <v>253</v>
      </c>
      <c r="B1238" s="124">
        <v>45979.0</v>
      </c>
      <c r="C1238" s="26" t="s">
        <v>5592</v>
      </c>
      <c r="D1238" s="125">
        <v>0.4166666666666667</v>
      </c>
      <c r="E1238" s="125">
        <v>0.75</v>
      </c>
    </row>
    <row r="1239">
      <c r="A1239" s="26" t="s">
        <v>258</v>
      </c>
      <c r="B1239" s="124">
        <v>45979.0</v>
      </c>
      <c r="C1239" s="26" t="s">
        <v>5592</v>
      </c>
      <c r="D1239" s="125">
        <v>0.3333333333333333</v>
      </c>
      <c r="E1239" s="125">
        <v>0.6666666666666666</v>
      </c>
    </row>
    <row r="1240">
      <c r="A1240" s="26" t="s">
        <v>261</v>
      </c>
      <c r="B1240" s="124">
        <v>45979.0</v>
      </c>
      <c r="C1240" s="26" t="s">
        <v>5592</v>
      </c>
      <c r="D1240" s="125">
        <v>0.4166666666666667</v>
      </c>
      <c r="E1240" s="125">
        <v>0.75</v>
      </c>
    </row>
    <row r="1241">
      <c r="A1241" s="26" t="s">
        <v>265</v>
      </c>
      <c r="B1241" s="124">
        <v>45979.0</v>
      </c>
      <c r="C1241" s="26" t="s">
        <v>5592</v>
      </c>
      <c r="D1241" s="125">
        <v>0.3333333333333333</v>
      </c>
      <c r="E1241" s="125">
        <v>0.6666666666666666</v>
      </c>
    </row>
    <row r="1242">
      <c r="A1242" s="26" t="s">
        <v>269</v>
      </c>
      <c r="B1242" s="124">
        <v>45979.0</v>
      </c>
      <c r="C1242" s="26" t="s">
        <v>5592</v>
      </c>
      <c r="D1242" s="125">
        <v>0.3333333333333333</v>
      </c>
      <c r="E1242" s="125">
        <v>0.6666666666666666</v>
      </c>
    </row>
    <row r="1243">
      <c r="A1243" s="26" t="s">
        <v>276</v>
      </c>
      <c r="B1243" s="124">
        <v>45979.0</v>
      </c>
      <c r="C1243" s="26" t="s">
        <v>5592</v>
      </c>
      <c r="D1243" s="125">
        <v>0.3333333333333333</v>
      </c>
      <c r="E1243" s="125">
        <v>0.6666666666666666</v>
      </c>
    </row>
    <row r="1244">
      <c r="A1244" s="26" t="s">
        <v>280</v>
      </c>
      <c r="B1244" s="124">
        <v>45979.0</v>
      </c>
      <c r="C1244" s="26" t="s">
        <v>5592</v>
      </c>
      <c r="D1244" s="125">
        <v>0.4166666666666667</v>
      </c>
      <c r="E1244" s="125">
        <v>0.75</v>
      </c>
    </row>
    <row r="1245">
      <c r="A1245" s="26" t="s">
        <v>243</v>
      </c>
      <c r="B1245" s="124">
        <v>45976.0</v>
      </c>
      <c r="C1245" s="26" t="s">
        <v>5592</v>
      </c>
      <c r="D1245" s="125">
        <v>0.3333333333333333</v>
      </c>
      <c r="E1245" s="125">
        <v>0.6666666666666666</v>
      </c>
    </row>
    <row r="1246">
      <c r="A1246" s="26" t="s">
        <v>248</v>
      </c>
      <c r="B1246" s="124">
        <v>45976.0</v>
      </c>
      <c r="C1246" s="26" t="s">
        <v>5592</v>
      </c>
      <c r="D1246" s="125">
        <v>0.3333333333333333</v>
      </c>
      <c r="E1246" s="125">
        <v>0.6666666666666666</v>
      </c>
    </row>
    <row r="1247">
      <c r="A1247" s="26" t="s">
        <v>253</v>
      </c>
      <c r="B1247" s="124">
        <v>45976.0</v>
      </c>
      <c r="C1247" s="26" t="s">
        <v>5592</v>
      </c>
      <c r="D1247" s="125">
        <v>0.4166666666666667</v>
      </c>
      <c r="E1247" s="125">
        <v>0.75</v>
      </c>
    </row>
    <row r="1248">
      <c r="A1248" s="26" t="s">
        <v>258</v>
      </c>
      <c r="B1248" s="124">
        <v>45976.0</v>
      </c>
      <c r="C1248" s="26" t="s">
        <v>5592</v>
      </c>
      <c r="D1248" s="125">
        <v>0.3333333333333333</v>
      </c>
      <c r="E1248" s="125">
        <v>0.6666666666666666</v>
      </c>
    </row>
    <row r="1249">
      <c r="A1249" s="26" t="s">
        <v>261</v>
      </c>
      <c r="B1249" s="124">
        <v>45976.0</v>
      </c>
      <c r="C1249" s="26" t="s">
        <v>5592</v>
      </c>
      <c r="D1249" s="125">
        <v>0.4166666666666667</v>
      </c>
      <c r="E1249" s="125">
        <v>0.75</v>
      </c>
    </row>
    <row r="1250">
      <c r="A1250" s="26" t="s">
        <v>265</v>
      </c>
      <c r="B1250" s="124">
        <v>45976.0</v>
      </c>
      <c r="C1250" s="26" t="s">
        <v>5592</v>
      </c>
      <c r="D1250" s="125">
        <v>0.3333333333333333</v>
      </c>
      <c r="E1250" s="125">
        <v>0.6666666666666666</v>
      </c>
    </row>
    <row r="1251">
      <c r="A1251" s="26" t="s">
        <v>269</v>
      </c>
      <c r="B1251" s="124">
        <v>45976.0</v>
      </c>
      <c r="C1251" s="26" t="s">
        <v>5592</v>
      </c>
      <c r="D1251" s="125">
        <v>0.3333333333333333</v>
      </c>
      <c r="E1251" s="125">
        <v>0.6666666666666666</v>
      </c>
    </row>
    <row r="1252">
      <c r="A1252" s="26" t="s">
        <v>276</v>
      </c>
      <c r="B1252" s="124">
        <v>45976.0</v>
      </c>
      <c r="C1252" s="26" t="s">
        <v>5592</v>
      </c>
      <c r="D1252" s="125">
        <v>0.3333333333333333</v>
      </c>
      <c r="E1252" s="125">
        <v>0.6666666666666666</v>
      </c>
    </row>
    <row r="1253">
      <c r="A1253" s="26" t="s">
        <v>280</v>
      </c>
      <c r="B1253" s="124">
        <v>45976.0</v>
      </c>
      <c r="C1253" s="26" t="s">
        <v>5592</v>
      </c>
      <c r="D1253" s="125">
        <v>0.4166666666666667</v>
      </c>
      <c r="E1253" s="125">
        <v>0.75</v>
      </c>
    </row>
    <row r="1254">
      <c r="A1254" s="26" t="s">
        <v>243</v>
      </c>
      <c r="B1254" s="124">
        <v>45976.0</v>
      </c>
      <c r="C1254" s="26" t="s">
        <v>5592</v>
      </c>
      <c r="D1254" s="125">
        <v>0.3333333333333333</v>
      </c>
      <c r="E1254" s="125">
        <v>0.6666666666666666</v>
      </c>
    </row>
    <row r="1255">
      <c r="A1255" s="26" t="s">
        <v>248</v>
      </c>
      <c r="B1255" s="124">
        <v>45976.0</v>
      </c>
      <c r="C1255" s="26" t="s">
        <v>5592</v>
      </c>
      <c r="D1255" s="125">
        <v>0.3333333333333333</v>
      </c>
      <c r="E1255" s="125">
        <v>0.6666666666666666</v>
      </c>
    </row>
    <row r="1256">
      <c r="A1256" s="26" t="s">
        <v>253</v>
      </c>
      <c r="B1256" s="124">
        <v>45976.0</v>
      </c>
      <c r="C1256" s="26" t="s">
        <v>5592</v>
      </c>
      <c r="D1256" s="125">
        <v>0.4166666666666667</v>
      </c>
      <c r="E1256" s="125">
        <v>0.75</v>
      </c>
    </row>
    <row r="1257">
      <c r="A1257" s="26" t="s">
        <v>258</v>
      </c>
      <c r="B1257" s="124">
        <v>45976.0</v>
      </c>
      <c r="C1257" s="26" t="s">
        <v>5592</v>
      </c>
      <c r="D1257" s="125">
        <v>0.3333333333333333</v>
      </c>
      <c r="E1257" s="125">
        <v>0.6666666666666666</v>
      </c>
    </row>
    <row r="1258">
      <c r="A1258" s="26" t="s">
        <v>261</v>
      </c>
      <c r="B1258" s="124">
        <v>45976.0</v>
      </c>
      <c r="C1258" s="26" t="s">
        <v>5592</v>
      </c>
      <c r="D1258" s="125">
        <v>0.4166666666666667</v>
      </c>
      <c r="E1258" s="125">
        <v>0.75</v>
      </c>
    </row>
    <row r="1259">
      <c r="A1259" s="26" t="s">
        <v>265</v>
      </c>
      <c r="B1259" s="124">
        <v>45976.0</v>
      </c>
      <c r="C1259" s="26" t="s">
        <v>5592</v>
      </c>
      <c r="D1259" s="125">
        <v>0.3333333333333333</v>
      </c>
      <c r="E1259" s="125">
        <v>0.6666666666666666</v>
      </c>
    </row>
    <row r="1260">
      <c r="A1260" s="26" t="s">
        <v>269</v>
      </c>
      <c r="B1260" s="124">
        <v>45976.0</v>
      </c>
      <c r="C1260" s="26" t="s">
        <v>5592</v>
      </c>
      <c r="D1260" s="125">
        <v>0.3333333333333333</v>
      </c>
      <c r="E1260" s="125">
        <v>0.6666666666666666</v>
      </c>
    </row>
    <row r="1261">
      <c r="A1261" s="26" t="s">
        <v>276</v>
      </c>
      <c r="B1261" s="124">
        <v>45976.0</v>
      </c>
      <c r="C1261" s="26" t="s">
        <v>5592</v>
      </c>
      <c r="D1261" s="125">
        <v>0.3333333333333333</v>
      </c>
      <c r="E1261" s="125">
        <v>0.6666666666666666</v>
      </c>
    </row>
    <row r="1262">
      <c r="A1262" s="26" t="s">
        <v>280</v>
      </c>
      <c r="B1262" s="124">
        <v>45976.0</v>
      </c>
      <c r="C1262" s="26" t="s">
        <v>5592</v>
      </c>
      <c r="D1262" s="125">
        <v>0.4166666666666667</v>
      </c>
      <c r="E1262" s="125">
        <v>0.75</v>
      </c>
    </row>
    <row r="1263">
      <c r="A1263" s="26" t="s">
        <v>243</v>
      </c>
      <c r="B1263" s="124">
        <v>45975.0</v>
      </c>
      <c r="C1263" s="26" t="s">
        <v>5592</v>
      </c>
      <c r="D1263" s="125">
        <v>0.3333333333333333</v>
      </c>
      <c r="E1263" s="125">
        <v>0.6666666666666666</v>
      </c>
    </row>
    <row r="1264">
      <c r="A1264" s="26" t="s">
        <v>248</v>
      </c>
      <c r="B1264" s="124">
        <v>45975.0</v>
      </c>
      <c r="C1264" s="26" t="s">
        <v>5592</v>
      </c>
      <c r="D1264" s="125">
        <v>0.3333333333333333</v>
      </c>
      <c r="E1264" s="125">
        <v>0.6666666666666666</v>
      </c>
    </row>
    <row r="1265">
      <c r="A1265" s="26" t="s">
        <v>253</v>
      </c>
      <c r="B1265" s="124">
        <v>45975.0</v>
      </c>
      <c r="C1265" s="26" t="s">
        <v>5592</v>
      </c>
      <c r="D1265" s="125">
        <v>0.4166666666666667</v>
      </c>
      <c r="E1265" s="125">
        <v>0.75</v>
      </c>
    </row>
    <row r="1266">
      <c r="A1266" s="26" t="s">
        <v>258</v>
      </c>
      <c r="B1266" s="124">
        <v>45975.0</v>
      </c>
      <c r="C1266" s="26" t="s">
        <v>5592</v>
      </c>
      <c r="D1266" s="125">
        <v>0.3333333333333333</v>
      </c>
      <c r="E1266" s="125">
        <v>0.6666666666666666</v>
      </c>
    </row>
    <row r="1267">
      <c r="A1267" s="26" t="s">
        <v>261</v>
      </c>
      <c r="B1267" s="124">
        <v>45975.0</v>
      </c>
      <c r="C1267" s="26" t="s">
        <v>5592</v>
      </c>
      <c r="D1267" s="125">
        <v>0.4166666666666667</v>
      </c>
      <c r="E1267" s="125">
        <v>0.75</v>
      </c>
    </row>
    <row r="1268">
      <c r="A1268" s="26" t="s">
        <v>265</v>
      </c>
      <c r="B1268" s="124">
        <v>45975.0</v>
      </c>
      <c r="C1268" s="26" t="s">
        <v>5592</v>
      </c>
      <c r="D1268" s="125">
        <v>0.3333333333333333</v>
      </c>
      <c r="E1268" s="125">
        <v>0.6666666666666666</v>
      </c>
    </row>
    <row r="1269">
      <c r="A1269" s="26" t="s">
        <v>269</v>
      </c>
      <c r="B1269" s="124">
        <v>45975.0</v>
      </c>
      <c r="C1269" s="26" t="s">
        <v>5592</v>
      </c>
      <c r="D1269" s="125">
        <v>0.3333333333333333</v>
      </c>
      <c r="E1269" s="125">
        <v>0.6666666666666666</v>
      </c>
    </row>
    <row r="1270">
      <c r="A1270" s="26" t="s">
        <v>276</v>
      </c>
      <c r="B1270" s="124">
        <v>45975.0</v>
      </c>
      <c r="C1270" s="26" t="s">
        <v>5592</v>
      </c>
      <c r="D1270" s="125">
        <v>0.3333333333333333</v>
      </c>
      <c r="E1270" s="125">
        <v>0.6666666666666666</v>
      </c>
    </row>
    <row r="1271">
      <c r="A1271" s="26" t="s">
        <v>280</v>
      </c>
      <c r="B1271" s="124">
        <v>45975.0</v>
      </c>
      <c r="C1271" s="26" t="s">
        <v>5592</v>
      </c>
      <c r="D1271" s="125">
        <v>0.4166666666666667</v>
      </c>
      <c r="E1271" s="125">
        <v>0.75</v>
      </c>
    </row>
    <row r="1272">
      <c r="A1272" s="26" t="s">
        <v>243</v>
      </c>
      <c r="B1272" s="124">
        <v>45974.0</v>
      </c>
      <c r="C1272" s="26" t="s">
        <v>5592</v>
      </c>
      <c r="D1272" s="125">
        <v>0.3333333333333333</v>
      </c>
      <c r="E1272" s="125">
        <v>0.6666666666666666</v>
      </c>
    </row>
    <row r="1273">
      <c r="A1273" s="26" t="s">
        <v>248</v>
      </c>
      <c r="B1273" s="124">
        <v>45974.0</v>
      </c>
      <c r="C1273" s="26" t="s">
        <v>5592</v>
      </c>
      <c r="D1273" s="125">
        <v>0.3333333333333333</v>
      </c>
      <c r="E1273" s="125">
        <v>0.6666666666666666</v>
      </c>
    </row>
    <row r="1274">
      <c r="A1274" s="26" t="s">
        <v>253</v>
      </c>
      <c r="B1274" s="124">
        <v>45974.0</v>
      </c>
      <c r="C1274" s="26" t="s">
        <v>5592</v>
      </c>
      <c r="D1274" s="125">
        <v>0.4166666666666667</v>
      </c>
      <c r="E1274" s="125">
        <v>0.75</v>
      </c>
    </row>
    <row r="1275">
      <c r="A1275" s="26" t="s">
        <v>258</v>
      </c>
      <c r="B1275" s="124">
        <v>45974.0</v>
      </c>
      <c r="C1275" s="26" t="s">
        <v>5592</v>
      </c>
      <c r="D1275" s="125">
        <v>0.3333333333333333</v>
      </c>
      <c r="E1275" s="125">
        <v>0.6666666666666666</v>
      </c>
    </row>
    <row r="1276">
      <c r="A1276" s="26" t="s">
        <v>261</v>
      </c>
      <c r="B1276" s="124">
        <v>45974.0</v>
      </c>
      <c r="C1276" s="26" t="s">
        <v>5592</v>
      </c>
      <c r="D1276" s="125">
        <v>0.4166666666666667</v>
      </c>
      <c r="E1276" s="125">
        <v>0.75</v>
      </c>
    </row>
    <row r="1277">
      <c r="A1277" s="26" t="s">
        <v>265</v>
      </c>
      <c r="B1277" s="124">
        <v>45974.0</v>
      </c>
      <c r="C1277" s="26" t="s">
        <v>5592</v>
      </c>
      <c r="D1277" s="125">
        <v>0.3333333333333333</v>
      </c>
      <c r="E1277" s="125">
        <v>0.6666666666666666</v>
      </c>
    </row>
    <row r="1278">
      <c r="A1278" s="26" t="s">
        <v>269</v>
      </c>
      <c r="B1278" s="124">
        <v>45974.0</v>
      </c>
      <c r="C1278" s="26" t="s">
        <v>5592</v>
      </c>
      <c r="D1278" s="125">
        <v>0.3333333333333333</v>
      </c>
      <c r="E1278" s="125">
        <v>0.6666666666666666</v>
      </c>
    </row>
    <row r="1279">
      <c r="A1279" s="26" t="s">
        <v>276</v>
      </c>
      <c r="B1279" s="124">
        <v>45974.0</v>
      </c>
      <c r="C1279" s="26" t="s">
        <v>5592</v>
      </c>
      <c r="D1279" s="125">
        <v>0.3333333333333333</v>
      </c>
      <c r="E1279" s="125">
        <v>0.6666666666666666</v>
      </c>
    </row>
    <row r="1280">
      <c r="A1280" s="26" t="s">
        <v>280</v>
      </c>
      <c r="B1280" s="124">
        <v>45974.0</v>
      </c>
      <c r="C1280" s="26" t="s">
        <v>5592</v>
      </c>
      <c r="D1280" s="125">
        <v>0.4166666666666667</v>
      </c>
      <c r="E1280" s="125">
        <v>0.75</v>
      </c>
    </row>
    <row r="1281">
      <c r="A1281" s="26" t="s">
        <v>243</v>
      </c>
      <c r="B1281" s="124">
        <v>45973.0</v>
      </c>
      <c r="C1281" s="26" t="s">
        <v>5592</v>
      </c>
      <c r="D1281" s="125">
        <v>0.3333333333333333</v>
      </c>
      <c r="E1281" s="125">
        <v>0.6666666666666666</v>
      </c>
    </row>
    <row r="1282">
      <c r="A1282" s="26" t="s">
        <v>248</v>
      </c>
      <c r="B1282" s="124">
        <v>45973.0</v>
      </c>
      <c r="C1282" s="26" t="s">
        <v>5592</v>
      </c>
      <c r="D1282" s="125">
        <v>0.3333333333333333</v>
      </c>
      <c r="E1282" s="125">
        <v>0.6666666666666666</v>
      </c>
    </row>
    <row r="1283">
      <c r="A1283" s="26" t="s">
        <v>253</v>
      </c>
      <c r="B1283" s="124">
        <v>45973.0</v>
      </c>
      <c r="C1283" s="26" t="s">
        <v>5592</v>
      </c>
      <c r="D1283" s="125">
        <v>0.4166666666666667</v>
      </c>
      <c r="E1283" s="125">
        <v>0.75</v>
      </c>
    </row>
    <row r="1284">
      <c r="A1284" s="26" t="s">
        <v>258</v>
      </c>
      <c r="B1284" s="124">
        <v>45973.0</v>
      </c>
      <c r="C1284" s="26" t="s">
        <v>5592</v>
      </c>
      <c r="D1284" s="125">
        <v>0.3333333333333333</v>
      </c>
      <c r="E1284" s="125">
        <v>0.6666666666666666</v>
      </c>
    </row>
    <row r="1285">
      <c r="A1285" s="26" t="s">
        <v>261</v>
      </c>
      <c r="B1285" s="124">
        <v>45973.0</v>
      </c>
      <c r="C1285" s="26" t="s">
        <v>5592</v>
      </c>
      <c r="D1285" s="125">
        <v>0.4166666666666667</v>
      </c>
      <c r="E1285" s="125">
        <v>0.75</v>
      </c>
    </row>
    <row r="1286">
      <c r="A1286" s="26" t="s">
        <v>265</v>
      </c>
      <c r="B1286" s="124">
        <v>45973.0</v>
      </c>
      <c r="C1286" s="26" t="s">
        <v>5592</v>
      </c>
      <c r="D1286" s="125">
        <v>0.3333333333333333</v>
      </c>
      <c r="E1286" s="125">
        <v>0.6666666666666666</v>
      </c>
    </row>
    <row r="1287">
      <c r="A1287" s="26" t="s">
        <v>269</v>
      </c>
      <c r="B1287" s="124">
        <v>45973.0</v>
      </c>
      <c r="C1287" s="26" t="s">
        <v>5592</v>
      </c>
      <c r="D1287" s="125">
        <v>0.3333333333333333</v>
      </c>
      <c r="E1287" s="125">
        <v>0.6666666666666666</v>
      </c>
    </row>
    <row r="1288">
      <c r="A1288" s="26" t="s">
        <v>276</v>
      </c>
      <c r="B1288" s="124">
        <v>45973.0</v>
      </c>
      <c r="C1288" s="26" t="s">
        <v>5592</v>
      </c>
      <c r="D1288" s="125">
        <v>0.3333333333333333</v>
      </c>
      <c r="E1288" s="125">
        <v>0.6666666666666666</v>
      </c>
    </row>
    <row r="1289">
      <c r="A1289" s="26" t="s">
        <v>280</v>
      </c>
      <c r="B1289" s="124">
        <v>45973.0</v>
      </c>
      <c r="C1289" s="26" t="s">
        <v>5592</v>
      </c>
      <c r="D1289" s="125">
        <v>0.4166666666666667</v>
      </c>
      <c r="E1289" s="125">
        <v>0.75</v>
      </c>
    </row>
    <row r="1290">
      <c r="A1290" s="26" t="s">
        <v>243</v>
      </c>
      <c r="B1290" s="124">
        <v>45972.0</v>
      </c>
      <c r="C1290" s="26" t="s">
        <v>5592</v>
      </c>
      <c r="D1290" s="125">
        <v>0.3333333333333333</v>
      </c>
      <c r="E1290" s="125">
        <v>0.6666666666666666</v>
      </c>
    </row>
    <row r="1291">
      <c r="A1291" s="26" t="s">
        <v>248</v>
      </c>
      <c r="B1291" s="124">
        <v>45972.0</v>
      </c>
      <c r="C1291" s="26" t="s">
        <v>5592</v>
      </c>
      <c r="D1291" s="125">
        <v>0.3333333333333333</v>
      </c>
      <c r="E1291" s="125">
        <v>0.6666666666666666</v>
      </c>
    </row>
    <row r="1292">
      <c r="A1292" s="26" t="s">
        <v>253</v>
      </c>
      <c r="B1292" s="124">
        <v>45972.0</v>
      </c>
      <c r="C1292" s="26" t="s">
        <v>5592</v>
      </c>
      <c r="D1292" s="125">
        <v>0.4166666666666667</v>
      </c>
      <c r="E1292" s="125">
        <v>0.75</v>
      </c>
    </row>
    <row r="1293">
      <c r="A1293" s="26" t="s">
        <v>258</v>
      </c>
      <c r="B1293" s="124">
        <v>45972.0</v>
      </c>
      <c r="C1293" s="26" t="s">
        <v>5592</v>
      </c>
      <c r="D1293" s="125">
        <v>0.3333333333333333</v>
      </c>
      <c r="E1293" s="125">
        <v>0.6666666666666666</v>
      </c>
    </row>
    <row r="1294">
      <c r="A1294" s="26" t="s">
        <v>261</v>
      </c>
      <c r="B1294" s="124">
        <v>45972.0</v>
      </c>
      <c r="C1294" s="26" t="s">
        <v>5592</v>
      </c>
      <c r="D1294" s="125">
        <v>0.4166666666666667</v>
      </c>
      <c r="E1294" s="125">
        <v>0.75</v>
      </c>
    </row>
    <row r="1295">
      <c r="A1295" s="26" t="s">
        <v>265</v>
      </c>
      <c r="B1295" s="124">
        <v>45972.0</v>
      </c>
      <c r="C1295" s="26" t="s">
        <v>5592</v>
      </c>
      <c r="D1295" s="125">
        <v>0.3333333333333333</v>
      </c>
      <c r="E1295" s="125">
        <v>0.6666666666666666</v>
      </c>
    </row>
    <row r="1296">
      <c r="A1296" s="26" t="s">
        <v>269</v>
      </c>
      <c r="B1296" s="124">
        <v>45972.0</v>
      </c>
      <c r="C1296" s="26" t="s">
        <v>5592</v>
      </c>
      <c r="D1296" s="125">
        <v>0.3333333333333333</v>
      </c>
      <c r="E1296" s="125">
        <v>0.6666666666666666</v>
      </c>
    </row>
    <row r="1297">
      <c r="A1297" s="26" t="s">
        <v>276</v>
      </c>
      <c r="B1297" s="124">
        <v>45972.0</v>
      </c>
      <c r="C1297" s="26" t="s">
        <v>5592</v>
      </c>
      <c r="D1297" s="125">
        <v>0.3333333333333333</v>
      </c>
      <c r="E1297" s="125">
        <v>0.6666666666666666</v>
      </c>
    </row>
    <row r="1298">
      <c r="A1298" s="26" t="s">
        <v>280</v>
      </c>
      <c r="B1298" s="124">
        <v>45972.0</v>
      </c>
      <c r="C1298" s="26" t="s">
        <v>5592</v>
      </c>
      <c r="D1298" s="125">
        <v>0.4166666666666667</v>
      </c>
      <c r="E1298" s="125">
        <v>0.75</v>
      </c>
    </row>
    <row r="1299">
      <c r="A1299" s="26" t="s">
        <v>243</v>
      </c>
      <c r="B1299" s="124">
        <v>45971.0</v>
      </c>
      <c r="C1299" s="26" t="s">
        <v>5592</v>
      </c>
      <c r="D1299" s="125">
        <v>0.3333333333333333</v>
      </c>
      <c r="E1299" s="125">
        <v>0.6666666666666666</v>
      </c>
    </row>
    <row r="1300">
      <c r="A1300" s="26" t="s">
        <v>248</v>
      </c>
      <c r="B1300" s="124">
        <v>45971.0</v>
      </c>
      <c r="C1300" s="26" t="s">
        <v>5592</v>
      </c>
      <c r="D1300" s="125">
        <v>0.3333333333333333</v>
      </c>
      <c r="E1300" s="125">
        <v>0.6666666666666666</v>
      </c>
    </row>
    <row r="1301">
      <c r="A1301" s="26" t="s">
        <v>253</v>
      </c>
      <c r="B1301" s="124">
        <v>45971.0</v>
      </c>
      <c r="C1301" s="26" t="s">
        <v>5592</v>
      </c>
      <c r="D1301" s="125">
        <v>0.4166666666666667</v>
      </c>
      <c r="E1301" s="125">
        <v>0.75</v>
      </c>
    </row>
    <row r="1302">
      <c r="A1302" s="26" t="s">
        <v>258</v>
      </c>
      <c r="B1302" s="124">
        <v>45971.0</v>
      </c>
      <c r="C1302" s="26" t="s">
        <v>5592</v>
      </c>
      <c r="D1302" s="125">
        <v>0.3333333333333333</v>
      </c>
      <c r="E1302" s="125">
        <v>0.6666666666666666</v>
      </c>
    </row>
    <row r="1303">
      <c r="A1303" s="26" t="s">
        <v>261</v>
      </c>
      <c r="B1303" s="124">
        <v>45971.0</v>
      </c>
      <c r="C1303" s="26" t="s">
        <v>5592</v>
      </c>
      <c r="D1303" s="125">
        <v>0.4166666666666667</v>
      </c>
      <c r="E1303" s="125">
        <v>0.75</v>
      </c>
    </row>
    <row r="1304">
      <c r="A1304" s="26" t="s">
        <v>265</v>
      </c>
      <c r="B1304" s="124">
        <v>45971.0</v>
      </c>
      <c r="C1304" s="26" t="s">
        <v>5592</v>
      </c>
      <c r="D1304" s="125">
        <v>0.3333333333333333</v>
      </c>
      <c r="E1304" s="125">
        <v>0.6666666666666666</v>
      </c>
    </row>
    <row r="1305">
      <c r="A1305" s="26" t="s">
        <v>269</v>
      </c>
      <c r="B1305" s="124">
        <v>45971.0</v>
      </c>
      <c r="C1305" s="26" t="s">
        <v>5592</v>
      </c>
      <c r="D1305" s="125">
        <v>0.3333333333333333</v>
      </c>
      <c r="E1305" s="125">
        <v>0.6666666666666666</v>
      </c>
    </row>
    <row r="1306">
      <c r="A1306" s="26" t="s">
        <v>276</v>
      </c>
      <c r="B1306" s="124">
        <v>45971.0</v>
      </c>
      <c r="C1306" s="26" t="s">
        <v>5592</v>
      </c>
      <c r="D1306" s="125">
        <v>0.3333333333333333</v>
      </c>
      <c r="E1306" s="125">
        <v>0.6666666666666666</v>
      </c>
    </row>
    <row r="1307">
      <c r="A1307" s="26" t="s">
        <v>280</v>
      </c>
      <c r="B1307" s="124">
        <v>45971.0</v>
      </c>
      <c r="C1307" s="26" t="s">
        <v>5592</v>
      </c>
      <c r="D1307" s="125">
        <v>0.4166666666666667</v>
      </c>
      <c r="E1307" s="125">
        <v>0.75</v>
      </c>
    </row>
    <row r="1308" ht="12.75" customHeight="1">
      <c r="A1308" s="26" t="s">
        <v>243</v>
      </c>
      <c r="B1308" s="124">
        <v>45969.0</v>
      </c>
      <c r="C1308" s="26" t="s">
        <v>5592</v>
      </c>
      <c r="D1308" s="125">
        <v>0.3333333333333333</v>
      </c>
      <c r="E1308" s="125">
        <v>0.6666666666666666</v>
      </c>
    </row>
    <row r="1309">
      <c r="A1309" s="26" t="s">
        <v>248</v>
      </c>
      <c r="B1309" s="124">
        <v>45969.0</v>
      </c>
      <c r="C1309" s="26" t="s">
        <v>5592</v>
      </c>
      <c r="D1309" s="125">
        <v>0.3333333333333333</v>
      </c>
      <c r="E1309" s="125">
        <v>0.6666666666666666</v>
      </c>
    </row>
    <row r="1310">
      <c r="A1310" s="26" t="s">
        <v>253</v>
      </c>
      <c r="B1310" s="124">
        <v>45969.0</v>
      </c>
      <c r="C1310" s="26" t="s">
        <v>5592</v>
      </c>
      <c r="D1310" s="125">
        <v>0.4166666666666667</v>
      </c>
      <c r="E1310" s="125">
        <v>0.75</v>
      </c>
    </row>
    <row r="1311">
      <c r="A1311" s="26" t="s">
        <v>258</v>
      </c>
      <c r="B1311" s="124">
        <v>45969.0</v>
      </c>
      <c r="C1311" s="26" t="s">
        <v>5592</v>
      </c>
      <c r="D1311" s="125">
        <v>0.3333333333333333</v>
      </c>
      <c r="E1311" s="125">
        <v>0.6666666666666666</v>
      </c>
    </row>
    <row r="1312">
      <c r="A1312" s="26" t="s">
        <v>261</v>
      </c>
      <c r="B1312" s="124">
        <v>45969.0</v>
      </c>
      <c r="C1312" s="26" t="s">
        <v>5592</v>
      </c>
      <c r="D1312" s="125">
        <v>0.4166666666666667</v>
      </c>
      <c r="E1312" s="125">
        <v>0.75</v>
      </c>
    </row>
    <row r="1313">
      <c r="A1313" s="26" t="s">
        <v>265</v>
      </c>
      <c r="B1313" s="124">
        <v>45969.0</v>
      </c>
      <c r="C1313" s="26" t="s">
        <v>5592</v>
      </c>
      <c r="D1313" s="125">
        <v>0.3333333333333333</v>
      </c>
      <c r="E1313" s="125">
        <v>0.6666666666666666</v>
      </c>
    </row>
    <row r="1314">
      <c r="A1314" s="26" t="s">
        <v>269</v>
      </c>
      <c r="B1314" s="124">
        <v>45969.0</v>
      </c>
      <c r="C1314" s="26" t="s">
        <v>5592</v>
      </c>
      <c r="D1314" s="125">
        <v>0.3333333333333333</v>
      </c>
      <c r="E1314" s="125">
        <v>0.6666666666666666</v>
      </c>
    </row>
    <row r="1315">
      <c r="A1315" s="26" t="s">
        <v>276</v>
      </c>
      <c r="B1315" s="124">
        <v>45969.0</v>
      </c>
      <c r="C1315" s="26" t="s">
        <v>5592</v>
      </c>
      <c r="D1315" s="125">
        <v>0.3333333333333333</v>
      </c>
      <c r="E1315" s="125">
        <v>0.6666666666666666</v>
      </c>
    </row>
    <row r="1316">
      <c r="A1316" s="26" t="s">
        <v>280</v>
      </c>
      <c r="B1316" s="124">
        <v>45969.0</v>
      </c>
      <c r="C1316" s="26" t="s">
        <v>5592</v>
      </c>
      <c r="D1316" s="125">
        <v>0.4166666666666667</v>
      </c>
      <c r="E1316" s="125">
        <v>0.75</v>
      </c>
    </row>
    <row r="1317" ht="18.75" customHeight="1">
      <c r="A1317" s="26" t="s">
        <v>243</v>
      </c>
      <c r="B1317" s="124">
        <v>45968.0</v>
      </c>
      <c r="C1317" s="26" t="s">
        <v>5592</v>
      </c>
      <c r="D1317" s="125">
        <v>0.3333333333333333</v>
      </c>
      <c r="E1317" s="125">
        <v>0.6666666666666666</v>
      </c>
    </row>
    <row r="1318">
      <c r="A1318" s="26" t="s">
        <v>248</v>
      </c>
      <c r="B1318" s="124">
        <v>45968.0</v>
      </c>
      <c r="C1318" s="26" t="s">
        <v>5592</v>
      </c>
      <c r="D1318" s="125">
        <v>0.3333333333333333</v>
      </c>
      <c r="E1318" s="125">
        <v>0.6666666666666666</v>
      </c>
    </row>
    <row r="1319">
      <c r="A1319" s="26" t="s">
        <v>253</v>
      </c>
      <c r="B1319" s="124">
        <v>45968.0</v>
      </c>
      <c r="C1319" s="26" t="s">
        <v>5592</v>
      </c>
      <c r="D1319" s="125">
        <v>0.4166666666666667</v>
      </c>
      <c r="E1319" s="125">
        <v>0.75</v>
      </c>
    </row>
    <row r="1320">
      <c r="A1320" s="26" t="s">
        <v>258</v>
      </c>
      <c r="B1320" s="124">
        <v>45968.0</v>
      </c>
      <c r="C1320" s="26" t="s">
        <v>5592</v>
      </c>
      <c r="D1320" s="125">
        <v>0.3333333333333333</v>
      </c>
      <c r="E1320" s="125">
        <v>0.6666666666666666</v>
      </c>
    </row>
    <row r="1321">
      <c r="A1321" s="26" t="s">
        <v>261</v>
      </c>
      <c r="B1321" s="124">
        <v>45968.0</v>
      </c>
      <c r="C1321" s="26" t="s">
        <v>5592</v>
      </c>
      <c r="D1321" s="125">
        <v>0.4166666666666667</v>
      </c>
      <c r="E1321" s="125">
        <v>0.75</v>
      </c>
    </row>
    <row r="1322">
      <c r="A1322" s="26" t="s">
        <v>265</v>
      </c>
      <c r="B1322" s="124">
        <v>45968.0</v>
      </c>
      <c r="C1322" s="26" t="s">
        <v>5592</v>
      </c>
      <c r="D1322" s="125">
        <v>0.3333333333333333</v>
      </c>
      <c r="E1322" s="125">
        <v>0.6666666666666666</v>
      </c>
    </row>
    <row r="1323">
      <c r="A1323" s="26" t="s">
        <v>269</v>
      </c>
      <c r="B1323" s="124">
        <v>45968.0</v>
      </c>
      <c r="C1323" s="26" t="s">
        <v>5592</v>
      </c>
      <c r="D1323" s="125">
        <v>0.3333333333333333</v>
      </c>
      <c r="E1323" s="125">
        <v>0.6666666666666666</v>
      </c>
    </row>
    <row r="1324">
      <c r="A1324" s="26" t="s">
        <v>276</v>
      </c>
      <c r="B1324" s="124">
        <v>45968.0</v>
      </c>
      <c r="C1324" s="26" t="s">
        <v>5592</v>
      </c>
      <c r="D1324" s="125">
        <v>0.3333333333333333</v>
      </c>
      <c r="E1324" s="125">
        <v>0.6666666666666666</v>
      </c>
    </row>
    <row r="1325">
      <c r="A1325" s="26" t="s">
        <v>280</v>
      </c>
      <c r="B1325" s="124">
        <v>45968.0</v>
      </c>
      <c r="C1325" s="26" t="s">
        <v>5592</v>
      </c>
      <c r="D1325" s="125">
        <v>0.4166666666666667</v>
      </c>
      <c r="E1325" s="125">
        <v>0.75</v>
      </c>
    </row>
    <row r="1326">
      <c r="A1326" s="26" t="s">
        <v>243</v>
      </c>
      <c r="B1326" s="124">
        <v>45967.0</v>
      </c>
      <c r="C1326" s="26" t="s">
        <v>5592</v>
      </c>
      <c r="D1326" s="125">
        <v>0.3333333333333333</v>
      </c>
      <c r="E1326" s="125">
        <v>0.6666666666666666</v>
      </c>
    </row>
    <row r="1327">
      <c r="A1327" s="26" t="s">
        <v>248</v>
      </c>
      <c r="B1327" s="124">
        <v>45967.0</v>
      </c>
      <c r="C1327" s="26" t="s">
        <v>5592</v>
      </c>
      <c r="D1327" s="125">
        <v>0.3333333333333333</v>
      </c>
      <c r="E1327" s="125">
        <v>0.6666666666666666</v>
      </c>
    </row>
    <row r="1328">
      <c r="A1328" s="26" t="s">
        <v>253</v>
      </c>
      <c r="B1328" s="124">
        <v>45967.0</v>
      </c>
      <c r="C1328" s="26" t="s">
        <v>5592</v>
      </c>
      <c r="D1328" s="125">
        <v>0.4166666666666667</v>
      </c>
      <c r="E1328" s="125">
        <v>0.75</v>
      </c>
    </row>
    <row r="1329">
      <c r="A1329" s="26" t="s">
        <v>258</v>
      </c>
      <c r="B1329" s="124">
        <v>45967.0</v>
      </c>
      <c r="C1329" s="26" t="s">
        <v>5592</v>
      </c>
      <c r="D1329" s="125">
        <v>0.3333333333333333</v>
      </c>
      <c r="E1329" s="125">
        <v>0.6666666666666666</v>
      </c>
    </row>
    <row r="1330">
      <c r="A1330" s="26" t="s">
        <v>261</v>
      </c>
      <c r="B1330" s="124">
        <v>45967.0</v>
      </c>
      <c r="C1330" s="26" t="s">
        <v>5592</v>
      </c>
      <c r="D1330" s="125">
        <v>0.4166666666666667</v>
      </c>
      <c r="E1330" s="125">
        <v>0.75</v>
      </c>
    </row>
    <row r="1331">
      <c r="A1331" s="26" t="s">
        <v>265</v>
      </c>
      <c r="B1331" s="124">
        <v>45967.0</v>
      </c>
      <c r="C1331" s="26" t="s">
        <v>5592</v>
      </c>
      <c r="D1331" s="125">
        <v>0.3333333333333333</v>
      </c>
      <c r="E1331" s="125">
        <v>0.6666666666666666</v>
      </c>
    </row>
    <row r="1332">
      <c r="A1332" s="26" t="s">
        <v>269</v>
      </c>
      <c r="B1332" s="124">
        <v>45967.0</v>
      </c>
      <c r="C1332" s="26" t="s">
        <v>5592</v>
      </c>
      <c r="D1332" s="125">
        <v>0.3333333333333333</v>
      </c>
      <c r="E1332" s="125">
        <v>0.6666666666666666</v>
      </c>
    </row>
    <row r="1333">
      <c r="A1333" s="26" t="s">
        <v>276</v>
      </c>
      <c r="B1333" s="124">
        <v>45967.0</v>
      </c>
      <c r="C1333" s="26" t="s">
        <v>5592</v>
      </c>
      <c r="D1333" s="125">
        <v>0.3333333333333333</v>
      </c>
      <c r="E1333" s="125">
        <v>0.6666666666666666</v>
      </c>
    </row>
    <row r="1334">
      <c r="A1334" s="26" t="s">
        <v>280</v>
      </c>
      <c r="B1334" s="124">
        <v>45967.0</v>
      </c>
      <c r="C1334" s="26" t="s">
        <v>5592</v>
      </c>
      <c r="D1334" s="125">
        <v>0.4166666666666667</v>
      </c>
      <c r="E1334" s="125">
        <v>0.75</v>
      </c>
    </row>
    <row r="1335">
      <c r="A1335" s="26" t="s">
        <v>243</v>
      </c>
      <c r="B1335" s="124">
        <v>45966.0</v>
      </c>
      <c r="C1335" s="26" t="s">
        <v>5592</v>
      </c>
      <c r="D1335" s="125">
        <v>0.3333333333333333</v>
      </c>
      <c r="E1335" s="125">
        <v>0.6666666666666666</v>
      </c>
    </row>
    <row r="1336">
      <c r="A1336" s="26" t="s">
        <v>248</v>
      </c>
      <c r="B1336" s="124">
        <v>45966.0</v>
      </c>
      <c r="C1336" s="26" t="s">
        <v>5592</v>
      </c>
      <c r="D1336" s="125">
        <v>0.3333333333333333</v>
      </c>
      <c r="E1336" s="125">
        <v>0.6666666666666666</v>
      </c>
    </row>
    <row r="1337">
      <c r="A1337" s="26" t="s">
        <v>253</v>
      </c>
      <c r="B1337" s="124">
        <v>45966.0</v>
      </c>
      <c r="C1337" s="26" t="s">
        <v>5592</v>
      </c>
      <c r="D1337" s="125">
        <v>0.4166666666666667</v>
      </c>
      <c r="E1337" s="125">
        <v>0.75</v>
      </c>
    </row>
    <row r="1338">
      <c r="A1338" s="26" t="s">
        <v>258</v>
      </c>
      <c r="B1338" s="124">
        <v>45966.0</v>
      </c>
      <c r="C1338" s="26" t="s">
        <v>5592</v>
      </c>
      <c r="D1338" s="125">
        <v>0.3333333333333333</v>
      </c>
      <c r="E1338" s="125">
        <v>0.6666666666666666</v>
      </c>
    </row>
    <row r="1339">
      <c r="A1339" s="26" t="s">
        <v>261</v>
      </c>
      <c r="B1339" s="124">
        <v>45966.0</v>
      </c>
      <c r="C1339" s="26" t="s">
        <v>5592</v>
      </c>
      <c r="D1339" s="125">
        <v>0.4166666666666667</v>
      </c>
      <c r="E1339" s="125">
        <v>0.75</v>
      </c>
    </row>
    <row r="1340">
      <c r="A1340" s="26" t="s">
        <v>265</v>
      </c>
      <c r="B1340" s="124">
        <v>45966.0</v>
      </c>
      <c r="C1340" s="26" t="s">
        <v>5592</v>
      </c>
      <c r="D1340" s="125">
        <v>0.3333333333333333</v>
      </c>
      <c r="E1340" s="125">
        <v>0.6666666666666666</v>
      </c>
    </row>
    <row r="1341">
      <c r="A1341" s="26" t="s">
        <v>269</v>
      </c>
      <c r="B1341" s="124">
        <v>45966.0</v>
      </c>
      <c r="C1341" s="26" t="s">
        <v>5592</v>
      </c>
      <c r="D1341" s="125">
        <v>0.3333333333333333</v>
      </c>
      <c r="E1341" s="125">
        <v>0.6666666666666666</v>
      </c>
    </row>
    <row r="1342">
      <c r="A1342" s="26" t="s">
        <v>276</v>
      </c>
      <c r="B1342" s="124">
        <v>45966.0</v>
      </c>
      <c r="C1342" s="26" t="s">
        <v>5592</v>
      </c>
      <c r="D1342" s="125">
        <v>0.3333333333333333</v>
      </c>
      <c r="E1342" s="125">
        <v>0.6666666666666666</v>
      </c>
    </row>
    <row r="1343">
      <c r="A1343" s="26" t="s">
        <v>280</v>
      </c>
      <c r="B1343" s="124">
        <v>45966.0</v>
      </c>
      <c r="C1343" s="26" t="s">
        <v>5592</v>
      </c>
      <c r="D1343" s="125">
        <v>0.4166666666666667</v>
      </c>
      <c r="E1343" s="125">
        <v>0.75</v>
      </c>
    </row>
    <row r="1344">
      <c r="A1344" s="26" t="s">
        <v>243</v>
      </c>
      <c r="B1344" s="124">
        <v>45965.0</v>
      </c>
      <c r="C1344" s="26" t="s">
        <v>5592</v>
      </c>
      <c r="D1344" s="125">
        <v>0.3333333333333333</v>
      </c>
      <c r="E1344" s="125">
        <v>0.6666666666666666</v>
      </c>
    </row>
    <row r="1345">
      <c r="A1345" s="26" t="s">
        <v>248</v>
      </c>
      <c r="B1345" s="124">
        <v>45965.0</v>
      </c>
      <c r="C1345" s="26" t="s">
        <v>5592</v>
      </c>
      <c r="D1345" s="125">
        <v>0.3333333333333333</v>
      </c>
      <c r="E1345" s="125">
        <v>0.6666666666666666</v>
      </c>
    </row>
    <row r="1346">
      <c r="A1346" s="26" t="s">
        <v>253</v>
      </c>
      <c r="B1346" s="124">
        <v>45965.0</v>
      </c>
      <c r="C1346" s="26" t="s">
        <v>5592</v>
      </c>
      <c r="D1346" s="125">
        <v>0.4166666666666667</v>
      </c>
      <c r="E1346" s="125">
        <v>0.75</v>
      </c>
    </row>
    <row r="1347">
      <c r="A1347" s="26" t="s">
        <v>258</v>
      </c>
      <c r="B1347" s="124">
        <v>45965.0</v>
      </c>
      <c r="C1347" s="26" t="s">
        <v>5592</v>
      </c>
      <c r="D1347" s="125">
        <v>0.3333333333333333</v>
      </c>
      <c r="E1347" s="125">
        <v>0.6666666666666666</v>
      </c>
    </row>
    <row r="1348">
      <c r="A1348" s="26" t="s">
        <v>261</v>
      </c>
      <c r="B1348" s="124">
        <v>45965.0</v>
      </c>
      <c r="C1348" s="26" t="s">
        <v>5592</v>
      </c>
      <c r="D1348" s="125">
        <v>0.4166666666666667</v>
      </c>
      <c r="E1348" s="125">
        <v>0.75</v>
      </c>
    </row>
    <row r="1349">
      <c r="A1349" s="26" t="s">
        <v>265</v>
      </c>
      <c r="B1349" s="124">
        <v>45965.0</v>
      </c>
      <c r="C1349" s="26" t="s">
        <v>5592</v>
      </c>
      <c r="D1349" s="125">
        <v>0.3333333333333333</v>
      </c>
      <c r="E1349" s="125">
        <v>0.6666666666666666</v>
      </c>
    </row>
    <row r="1350">
      <c r="A1350" s="26" t="s">
        <v>269</v>
      </c>
      <c r="B1350" s="124">
        <v>45965.0</v>
      </c>
      <c r="C1350" s="26" t="s">
        <v>5592</v>
      </c>
      <c r="D1350" s="125">
        <v>0.3333333333333333</v>
      </c>
      <c r="E1350" s="125">
        <v>0.6666666666666666</v>
      </c>
    </row>
    <row r="1351">
      <c r="A1351" s="26" t="s">
        <v>276</v>
      </c>
      <c r="B1351" s="124">
        <v>45965.0</v>
      </c>
      <c r="C1351" s="26" t="s">
        <v>5592</v>
      </c>
      <c r="D1351" s="125">
        <v>0.3333333333333333</v>
      </c>
      <c r="E1351" s="125">
        <v>0.6666666666666666</v>
      </c>
    </row>
    <row r="1352">
      <c r="A1352" s="26" t="s">
        <v>280</v>
      </c>
      <c r="B1352" s="124">
        <v>45965.0</v>
      </c>
      <c r="C1352" s="26" t="s">
        <v>5592</v>
      </c>
      <c r="D1352" s="125">
        <v>0.4166666666666667</v>
      </c>
      <c r="E1352" s="125">
        <v>0.75</v>
      </c>
    </row>
    <row r="1353">
      <c r="A1353" s="26" t="s">
        <v>243</v>
      </c>
      <c r="B1353" s="124">
        <v>45964.0</v>
      </c>
      <c r="C1353" s="26" t="s">
        <v>5592</v>
      </c>
      <c r="D1353" s="125">
        <v>0.3333333333333333</v>
      </c>
      <c r="E1353" s="125">
        <v>0.6666666666666666</v>
      </c>
    </row>
    <row r="1354">
      <c r="A1354" s="26" t="s">
        <v>248</v>
      </c>
      <c r="B1354" s="124">
        <v>45964.0</v>
      </c>
      <c r="C1354" s="26" t="s">
        <v>5592</v>
      </c>
      <c r="D1354" s="125">
        <v>0.3333333333333333</v>
      </c>
      <c r="E1354" s="125">
        <v>0.6666666666666666</v>
      </c>
    </row>
    <row r="1355">
      <c r="A1355" s="26" t="s">
        <v>253</v>
      </c>
      <c r="B1355" s="124">
        <v>45964.0</v>
      </c>
      <c r="C1355" s="26" t="s">
        <v>5592</v>
      </c>
      <c r="D1355" s="125">
        <v>0.4166666666666667</v>
      </c>
      <c r="E1355" s="125">
        <v>0.75</v>
      </c>
    </row>
    <row r="1356">
      <c r="A1356" s="26" t="s">
        <v>258</v>
      </c>
      <c r="B1356" s="124">
        <v>45964.0</v>
      </c>
      <c r="C1356" s="26" t="s">
        <v>5592</v>
      </c>
      <c r="D1356" s="125">
        <v>0.3333333333333333</v>
      </c>
      <c r="E1356" s="125">
        <v>0.6666666666666666</v>
      </c>
    </row>
    <row r="1357">
      <c r="A1357" s="26" t="s">
        <v>261</v>
      </c>
      <c r="B1357" s="124">
        <v>45964.0</v>
      </c>
      <c r="C1357" s="26" t="s">
        <v>5592</v>
      </c>
      <c r="D1357" s="125">
        <v>0.4166666666666667</v>
      </c>
      <c r="E1357" s="125">
        <v>0.75</v>
      </c>
    </row>
    <row r="1358">
      <c r="A1358" s="26" t="s">
        <v>265</v>
      </c>
      <c r="B1358" s="124">
        <v>45964.0</v>
      </c>
      <c r="C1358" s="26" t="s">
        <v>5592</v>
      </c>
      <c r="D1358" s="125">
        <v>0.3333333333333333</v>
      </c>
      <c r="E1358" s="125">
        <v>0.6666666666666666</v>
      </c>
    </row>
    <row r="1359">
      <c r="A1359" s="26" t="s">
        <v>269</v>
      </c>
      <c r="B1359" s="124">
        <v>45964.0</v>
      </c>
      <c r="C1359" s="26" t="s">
        <v>5592</v>
      </c>
      <c r="D1359" s="125">
        <v>0.3333333333333333</v>
      </c>
      <c r="E1359" s="125">
        <v>0.6666666666666666</v>
      </c>
    </row>
    <row r="1360">
      <c r="A1360" s="26" t="s">
        <v>276</v>
      </c>
      <c r="B1360" s="124">
        <v>45964.0</v>
      </c>
      <c r="C1360" s="26" t="s">
        <v>5592</v>
      </c>
      <c r="D1360" s="125">
        <v>0.3333333333333333</v>
      </c>
      <c r="E1360" s="125">
        <v>0.6666666666666666</v>
      </c>
    </row>
    <row r="1361">
      <c r="A1361" s="26" t="s">
        <v>280</v>
      </c>
      <c r="B1361" s="124">
        <v>45964.0</v>
      </c>
      <c r="C1361" s="26" t="s">
        <v>5592</v>
      </c>
      <c r="D1361" s="125">
        <v>0.4166666666666667</v>
      </c>
      <c r="E1361" s="125">
        <v>0.75</v>
      </c>
    </row>
    <row r="1362">
      <c r="A1362" s="26" t="s">
        <v>243</v>
      </c>
      <c r="B1362" s="124">
        <v>45962.0</v>
      </c>
      <c r="C1362" s="26" t="s">
        <v>5592</v>
      </c>
      <c r="D1362" s="125">
        <v>0.3333333333333333</v>
      </c>
      <c r="E1362" s="125">
        <v>0.6666666666666666</v>
      </c>
    </row>
    <row r="1363">
      <c r="A1363" s="26" t="s">
        <v>248</v>
      </c>
      <c r="B1363" s="124">
        <v>45962.0</v>
      </c>
      <c r="C1363" s="26" t="s">
        <v>5592</v>
      </c>
      <c r="D1363" s="125">
        <v>0.3333333333333333</v>
      </c>
      <c r="E1363" s="125">
        <v>0.6666666666666666</v>
      </c>
    </row>
    <row r="1364">
      <c r="A1364" s="26" t="s">
        <v>253</v>
      </c>
      <c r="B1364" s="124">
        <v>45962.0</v>
      </c>
      <c r="C1364" s="26" t="s">
        <v>5592</v>
      </c>
      <c r="D1364" s="125">
        <v>0.4166666666666667</v>
      </c>
      <c r="E1364" s="125">
        <v>0.75</v>
      </c>
    </row>
    <row r="1365">
      <c r="A1365" s="26" t="s">
        <v>258</v>
      </c>
      <c r="B1365" s="124">
        <v>45962.0</v>
      </c>
      <c r="C1365" s="26" t="s">
        <v>5592</v>
      </c>
      <c r="D1365" s="125">
        <v>0.3333333333333333</v>
      </c>
      <c r="E1365" s="125">
        <v>0.6666666666666666</v>
      </c>
    </row>
    <row r="1366">
      <c r="A1366" s="26" t="s">
        <v>261</v>
      </c>
      <c r="B1366" s="124">
        <v>45962.0</v>
      </c>
      <c r="C1366" s="26" t="s">
        <v>5592</v>
      </c>
      <c r="D1366" s="125">
        <v>0.4166666666666667</v>
      </c>
      <c r="E1366" s="125">
        <v>0.75</v>
      </c>
    </row>
    <row r="1367">
      <c r="A1367" s="26" t="s">
        <v>265</v>
      </c>
      <c r="B1367" s="124">
        <v>45962.0</v>
      </c>
      <c r="C1367" s="26" t="s">
        <v>5592</v>
      </c>
      <c r="D1367" s="125">
        <v>0.3333333333333333</v>
      </c>
      <c r="E1367" s="125">
        <v>0.6666666666666666</v>
      </c>
    </row>
    <row r="1368">
      <c r="A1368" s="26" t="s">
        <v>269</v>
      </c>
      <c r="B1368" s="124">
        <v>45962.0</v>
      </c>
      <c r="C1368" s="26" t="s">
        <v>5592</v>
      </c>
      <c r="D1368" s="125">
        <v>0.3333333333333333</v>
      </c>
      <c r="E1368" s="125">
        <v>0.6666666666666666</v>
      </c>
    </row>
    <row r="1369">
      <c r="A1369" s="26" t="s">
        <v>276</v>
      </c>
      <c r="B1369" s="124">
        <v>45962.0</v>
      </c>
      <c r="C1369" s="26" t="s">
        <v>5592</v>
      </c>
      <c r="D1369" s="125">
        <v>0.3333333333333333</v>
      </c>
      <c r="E1369" s="125">
        <v>0.6666666666666666</v>
      </c>
    </row>
    <row r="1370">
      <c r="A1370" s="26" t="s">
        <v>280</v>
      </c>
      <c r="B1370" s="124">
        <v>45962.0</v>
      </c>
      <c r="C1370" s="26" t="s">
        <v>5592</v>
      </c>
      <c r="D1370" s="125">
        <v>0.4166666666666667</v>
      </c>
      <c r="E1370" s="125">
        <v>0.75</v>
      </c>
    </row>
    <row r="1371">
      <c r="A1371" s="26" t="s">
        <v>243</v>
      </c>
      <c r="B1371" s="124">
        <v>45961.0</v>
      </c>
      <c r="C1371" s="26" t="s">
        <v>5592</v>
      </c>
      <c r="D1371" s="125">
        <v>0.3333333333333333</v>
      </c>
      <c r="E1371" s="125">
        <v>0.6666666666666666</v>
      </c>
    </row>
    <row r="1372">
      <c r="A1372" s="26" t="s">
        <v>248</v>
      </c>
      <c r="B1372" s="124">
        <v>45961.0</v>
      </c>
      <c r="C1372" s="26" t="s">
        <v>5592</v>
      </c>
      <c r="D1372" s="125">
        <v>0.3333333333333333</v>
      </c>
      <c r="E1372" s="125">
        <v>0.6666666666666666</v>
      </c>
    </row>
    <row r="1373">
      <c r="A1373" s="26" t="s">
        <v>253</v>
      </c>
      <c r="B1373" s="124">
        <v>45961.0</v>
      </c>
      <c r="C1373" s="26" t="s">
        <v>5592</v>
      </c>
      <c r="D1373" s="125">
        <v>0.4166666666666667</v>
      </c>
      <c r="E1373" s="125">
        <v>0.75</v>
      </c>
    </row>
    <row r="1374">
      <c r="A1374" s="26" t="s">
        <v>258</v>
      </c>
      <c r="B1374" s="124">
        <v>45961.0</v>
      </c>
      <c r="C1374" s="26" t="s">
        <v>5592</v>
      </c>
      <c r="D1374" s="125">
        <v>0.3333333333333333</v>
      </c>
      <c r="E1374" s="125">
        <v>0.6666666666666666</v>
      </c>
    </row>
    <row r="1375">
      <c r="A1375" s="26" t="s">
        <v>261</v>
      </c>
      <c r="B1375" s="124">
        <v>45961.0</v>
      </c>
      <c r="C1375" s="26" t="s">
        <v>5592</v>
      </c>
      <c r="D1375" s="125">
        <v>0.4166666666666667</v>
      </c>
      <c r="E1375" s="125">
        <v>0.75</v>
      </c>
    </row>
    <row r="1376">
      <c r="A1376" s="26" t="s">
        <v>265</v>
      </c>
      <c r="B1376" s="124">
        <v>45961.0</v>
      </c>
      <c r="C1376" s="26" t="s">
        <v>5592</v>
      </c>
      <c r="D1376" s="125">
        <v>0.3333333333333333</v>
      </c>
      <c r="E1376" s="125">
        <v>0.6666666666666666</v>
      </c>
    </row>
    <row r="1377">
      <c r="A1377" s="26" t="s">
        <v>269</v>
      </c>
      <c r="B1377" s="124">
        <v>45961.0</v>
      </c>
      <c r="C1377" s="26" t="s">
        <v>5592</v>
      </c>
      <c r="D1377" s="125">
        <v>0.3333333333333333</v>
      </c>
      <c r="E1377" s="125">
        <v>0.6666666666666666</v>
      </c>
    </row>
    <row r="1378">
      <c r="A1378" s="26" t="s">
        <v>276</v>
      </c>
      <c r="B1378" s="124">
        <v>45961.0</v>
      </c>
      <c r="C1378" s="26" t="s">
        <v>5592</v>
      </c>
      <c r="D1378" s="125">
        <v>0.3333333333333333</v>
      </c>
      <c r="E1378" s="125">
        <v>0.6666666666666666</v>
      </c>
    </row>
    <row r="1379">
      <c r="A1379" s="26" t="s">
        <v>280</v>
      </c>
      <c r="B1379" s="124">
        <v>45961.0</v>
      </c>
      <c r="C1379" s="26" t="s">
        <v>5592</v>
      </c>
      <c r="D1379" s="125">
        <v>0.4166666666666667</v>
      </c>
      <c r="E1379" s="125">
        <v>0.75</v>
      </c>
    </row>
    <row r="1380">
      <c r="A1380" s="26" t="s">
        <v>243</v>
      </c>
      <c r="B1380" s="124">
        <v>45960.0</v>
      </c>
      <c r="C1380" s="26" t="s">
        <v>5592</v>
      </c>
      <c r="D1380" s="125">
        <v>0.3333333333333333</v>
      </c>
      <c r="E1380" s="125">
        <v>0.6666666666666666</v>
      </c>
    </row>
    <row r="1381">
      <c r="A1381" s="26" t="s">
        <v>248</v>
      </c>
      <c r="B1381" s="124">
        <v>45960.0</v>
      </c>
      <c r="C1381" s="26" t="s">
        <v>5592</v>
      </c>
      <c r="D1381" s="125">
        <v>0.3333333333333333</v>
      </c>
      <c r="E1381" s="125">
        <v>0.6666666666666666</v>
      </c>
    </row>
    <row r="1382">
      <c r="A1382" s="26" t="s">
        <v>253</v>
      </c>
      <c r="B1382" s="124">
        <v>45960.0</v>
      </c>
      <c r="C1382" s="26" t="s">
        <v>5592</v>
      </c>
      <c r="D1382" s="125">
        <v>0.4166666666666667</v>
      </c>
      <c r="E1382" s="125">
        <v>0.75</v>
      </c>
    </row>
    <row r="1383">
      <c r="A1383" s="26" t="s">
        <v>258</v>
      </c>
      <c r="B1383" s="124">
        <v>45960.0</v>
      </c>
      <c r="C1383" s="26" t="s">
        <v>5592</v>
      </c>
      <c r="D1383" s="125">
        <v>0.3333333333333333</v>
      </c>
      <c r="E1383" s="125">
        <v>0.6666666666666666</v>
      </c>
    </row>
    <row r="1384">
      <c r="A1384" s="26" t="s">
        <v>261</v>
      </c>
      <c r="B1384" s="124">
        <v>45960.0</v>
      </c>
      <c r="C1384" s="26" t="s">
        <v>5592</v>
      </c>
      <c r="D1384" s="125">
        <v>0.4166666666666667</v>
      </c>
      <c r="E1384" s="125">
        <v>0.75</v>
      </c>
    </row>
    <row r="1385">
      <c r="A1385" s="26" t="s">
        <v>265</v>
      </c>
      <c r="B1385" s="124">
        <v>45960.0</v>
      </c>
      <c r="C1385" s="26" t="s">
        <v>5592</v>
      </c>
      <c r="D1385" s="125">
        <v>0.3333333333333333</v>
      </c>
      <c r="E1385" s="125">
        <v>0.6666666666666666</v>
      </c>
    </row>
    <row r="1386">
      <c r="A1386" s="26" t="s">
        <v>269</v>
      </c>
      <c r="B1386" s="124">
        <v>45960.0</v>
      </c>
      <c r="C1386" s="26" t="s">
        <v>5592</v>
      </c>
      <c r="D1386" s="125">
        <v>0.3333333333333333</v>
      </c>
      <c r="E1386" s="125">
        <v>0.6666666666666666</v>
      </c>
    </row>
    <row r="1387">
      <c r="A1387" s="26" t="s">
        <v>276</v>
      </c>
      <c r="B1387" s="124">
        <v>45960.0</v>
      </c>
      <c r="C1387" s="26" t="s">
        <v>5592</v>
      </c>
      <c r="D1387" s="125">
        <v>0.3333333333333333</v>
      </c>
      <c r="E1387" s="125">
        <v>0.6666666666666666</v>
      </c>
    </row>
    <row r="1388">
      <c r="A1388" s="26" t="s">
        <v>280</v>
      </c>
      <c r="B1388" s="124">
        <v>45960.0</v>
      </c>
      <c r="C1388" s="26" t="s">
        <v>5592</v>
      </c>
      <c r="D1388" s="125">
        <v>0.4166666666666667</v>
      </c>
      <c r="E1388" s="125">
        <v>0.75</v>
      </c>
    </row>
    <row r="1389">
      <c r="A1389" s="26" t="s">
        <v>243</v>
      </c>
      <c r="B1389" s="124">
        <v>45959.0</v>
      </c>
      <c r="C1389" s="26" t="s">
        <v>5592</v>
      </c>
      <c r="D1389" s="125">
        <v>0.3333333333333333</v>
      </c>
      <c r="E1389" s="125">
        <v>0.6666666666666666</v>
      </c>
    </row>
    <row r="1390">
      <c r="A1390" s="26" t="s">
        <v>248</v>
      </c>
      <c r="B1390" s="124">
        <v>45959.0</v>
      </c>
      <c r="C1390" s="26" t="s">
        <v>5592</v>
      </c>
      <c r="D1390" s="125">
        <v>0.3333333333333333</v>
      </c>
      <c r="E1390" s="125">
        <v>0.6666666666666666</v>
      </c>
    </row>
    <row r="1391">
      <c r="A1391" s="26" t="s">
        <v>253</v>
      </c>
      <c r="B1391" s="124">
        <v>45959.0</v>
      </c>
      <c r="C1391" s="26" t="s">
        <v>5592</v>
      </c>
      <c r="D1391" s="125">
        <v>0.4166666666666667</v>
      </c>
      <c r="E1391" s="125">
        <v>0.75</v>
      </c>
    </row>
    <row r="1392">
      <c r="A1392" s="26" t="s">
        <v>258</v>
      </c>
      <c r="B1392" s="124">
        <v>45959.0</v>
      </c>
      <c r="C1392" s="26" t="s">
        <v>5592</v>
      </c>
      <c r="D1392" s="125">
        <v>0.3333333333333333</v>
      </c>
      <c r="E1392" s="125">
        <v>0.6666666666666666</v>
      </c>
    </row>
    <row r="1393">
      <c r="A1393" s="26" t="s">
        <v>261</v>
      </c>
      <c r="B1393" s="124">
        <v>45959.0</v>
      </c>
      <c r="C1393" s="26" t="s">
        <v>5592</v>
      </c>
      <c r="D1393" s="125">
        <v>0.4166666666666667</v>
      </c>
      <c r="E1393" s="125">
        <v>0.75</v>
      </c>
    </row>
    <row r="1394">
      <c r="A1394" s="26" t="s">
        <v>265</v>
      </c>
      <c r="B1394" s="124">
        <v>45959.0</v>
      </c>
      <c r="C1394" s="26" t="s">
        <v>5592</v>
      </c>
      <c r="D1394" s="125">
        <v>0.3333333333333333</v>
      </c>
      <c r="E1394" s="125">
        <v>0.6666666666666666</v>
      </c>
    </row>
    <row r="1395">
      <c r="A1395" s="26" t="s">
        <v>269</v>
      </c>
      <c r="B1395" s="124">
        <v>45959.0</v>
      </c>
      <c r="C1395" s="26" t="s">
        <v>5592</v>
      </c>
      <c r="D1395" s="125">
        <v>0.3333333333333333</v>
      </c>
      <c r="E1395" s="125">
        <v>0.6666666666666666</v>
      </c>
    </row>
    <row r="1396">
      <c r="A1396" s="26" t="s">
        <v>276</v>
      </c>
      <c r="B1396" s="124">
        <v>45959.0</v>
      </c>
      <c r="C1396" s="26" t="s">
        <v>5592</v>
      </c>
      <c r="D1396" s="125">
        <v>0.3333333333333333</v>
      </c>
      <c r="E1396" s="125">
        <v>0.6666666666666666</v>
      </c>
    </row>
    <row r="1397">
      <c r="A1397" s="26" t="s">
        <v>280</v>
      </c>
      <c r="B1397" s="124">
        <v>45959.0</v>
      </c>
      <c r="C1397" s="26" t="s">
        <v>5592</v>
      </c>
      <c r="D1397" s="125">
        <v>0.4166666666666667</v>
      </c>
      <c r="E1397" s="125">
        <v>0.75</v>
      </c>
    </row>
    <row r="1398">
      <c r="A1398" s="26" t="s">
        <v>243</v>
      </c>
      <c r="B1398" s="124">
        <v>45958.0</v>
      </c>
      <c r="C1398" s="26" t="s">
        <v>5592</v>
      </c>
      <c r="D1398" s="125">
        <v>0.3333333333333333</v>
      </c>
      <c r="E1398" s="125">
        <v>0.6666666666666666</v>
      </c>
    </row>
    <row r="1399">
      <c r="A1399" s="26" t="s">
        <v>248</v>
      </c>
      <c r="B1399" s="124">
        <v>45958.0</v>
      </c>
      <c r="C1399" s="26" t="s">
        <v>5592</v>
      </c>
      <c r="D1399" s="125">
        <v>0.3333333333333333</v>
      </c>
      <c r="E1399" s="125">
        <v>0.6666666666666666</v>
      </c>
    </row>
    <row r="1400">
      <c r="A1400" s="26" t="s">
        <v>253</v>
      </c>
      <c r="B1400" s="124">
        <v>45958.0</v>
      </c>
      <c r="C1400" s="26" t="s">
        <v>5592</v>
      </c>
      <c r="D1400" s="125">
        <v>0.4166666666666667</v>
      </c>
      <c r="E1400" s="125">
        <v>0.75</v>
      </c>
    </row>
    <row r="1401">
      <c r="A1401" s="26" t="s">
        <v>258</v>
      </c>
      <c r="B1401" s="124">
        <v>45958.0</v>
      </c>
      <c r="C1401" s="26" t="s">
        <v>5592</v>
      </c>
      <c r="D1401" s="125">
        <v>0.3333333333333333</v>
      </c>
      <c r="E1401" s="125">
        <v>0.6666666666666666</v>
      </c>
    </row>
    <row r="1402">
      <c r="A1402" s="26" t="s">
        <v>261</v>
      </c>
      <c r="B1402" s="124">
        <v>45958.0</v>
      </c>
      <c r="C1402" s="26" t="s">
        <v>5592</v>
      </c>
      <c r="D1402" s="125">
        <v>0.4166666666666667</v>
      </c>
      <c r="E1402" s="125">
        <v>0.75</v>
      </c>
    </row>
    <row r="1403">
      <c r="A1403" s="26" t="s">
        <v>265</v>
      </c>
      <c r="B1403" s="124">
        <v>45958.0</v>
      </c>
      <c r="C1403" s="26" t="s">
        <v>5592</v>
      </c>
      <c r="D1403" s="125">
        <v>0.3333333333333333</v>
      </c>
      <c r="E1403" s="125">
        <v>0.6666666666666666</v>
      </c>
    </row>
    <row r="1404">
      <c r="A1404" s="26" t="s">
        <v>269</v>
      </c>
      <c r="B1404" s="124">
        <v>45958.0</v>
      </c>
      <c r="C1404" s="26" t="s">
        <v>5592</v>
      </c>
      <c r="D1404" s="125">
        <v>0.3333333333333333</v>
      </c>
      <c r="E1404" s="125">
        <v>0.6666666666666666</v>
      </c>
    </row>
    <row r="1405">
      <c r="A1405" s="26" t="s">
        <v>276</v>
      </c>
      <c r="B1405" s="124">
        <v>45958.0</v>
      </c>
      <c r="C1405" s="26" t="s">
        <v>5592</v>
      </c>
      <c r="D1405" s="125">
        <v>0.3333333333333333</v>
      </c>
      <c r="E1405" s="125">
        <v>0.6666666666666666</v>
      </c>
    </row>
    <row r="1406">
      <c r="A1406" s="26" t="s">
        <v>280</v>
      </c>
      <c r="B1406" s="124">
        <v>45958.0</v>
      </c>
      <c r="C1406" s="26" t="s">
        <v>5592</v>
      </c>
      <c r="D1406" s="125">
        <v>0.4166666666666667</v>
      </c>
      <c r="E1406" s="125">
        <v>0.75</v>
      </c>
    </row>
    <row r="1407">
      <c r="A1407" s="26" t="s">
        <v>243</v>
      </c>
      <c r="B1407" s="124">
        <v>45957.0</v>
      </c>
      <c r="C1407" s="26" t="s">
        <v>5592</v>
      </c>
      <c r="D1407" s="125">
        <v>0.3333333333333333</v>
      </c>
      <c r="E1407" s="125">
        <v>0.6666666666666666</v>
      </c>
    </row>
    <row r="1408">
      <c r="A1408" s="26" t="s">
        <v>248</v>
      </c>
      <c r="B1408" s="124">
        <v>45957.0</v>
      </c>
      <c r="C1408" s="26" t="s">
        <v>5592</v>
      </c>
      <c r="D1408" s="125">
        <v>0.3333333333333333</v>
      </c>
      <c r="E1408" s="125">
        <v>0.6666666666666666</v>
      </c>
    </row>
    <row r="1409">
      <c r="A1409" s="26" t="s">
        <v>253</v>
      </c>
      <c r="B1409" s="124">
        <v>45957.0</v>
      </c>
      <c r="C1409" s="26" t="s">
        <v>5592</v>
      </c>
      <c r="D1409" s="125">
        <v>0.4166666666666667</v>
      </c>
      <c r="E1409" s="125">
        <v>0.75</v>
      </c>
    </row>
    <row r="1410">
      <c r="A1410" s="26" t="s">
        <v>258</v>
      </c>
      <c r="B1410" s="124">
        <v>45957.0</v>
      </c>
      <c r="C1410" s="26" t="s">
        <v>5592</v>
      </c>
      <c r="D1410" s="125">
        <v>0.3333333333333333</v>
      </c>
      <c r="E1410" s="125">
        <v>0.6666666666666666</v>
      </c>
    </row>
    <row r="1411">
      <c r="A1411" s="26" t="s">
        <v>261</v>
      </c>
      <c r="B1411" s="124">
        <v>45957.0</v>
      </c>
      <c r="C1411" s="26" t="s">
        <v>5592</v>
      </c>
      <c r="D1411" s="125">
        <v>0.4166666666666667</v>
      </c>
      <c r="E1411" s="125">
        <v>0.75</v>
      </c>
    </row>
    <row r="1412">
      <c r="A1412" s="26" t="s">
        <v>265</v>
      </c>
      <c r="B1412" s="124">
        <v>45957.0</v>
      </c>
      <c r="C1412" s="26" t="s">
        <v>5592</v>
      </c>
      <c r="D1412" s="125">
        <v>0.3333333333333333</v>
      </c>
      <c r="E1412" s="125">
        <v>0.6666666666666666</v>
      </c>
    </row>
    <row r="1413">
      <c r="A1413" s="26" t="s">
        <v>269</v>
      </c>
      <c r="B1413" s="124">
        <v>45957.0</v>
      </c>
      <c r="C1413" s="26" t="s">
        <v>5592</v>
      </c>
      <c r="D1413" s="125">
        <v>0.3333333333333333</v>
      </c>
      <c r="E1413" s="125">
        <v>0.6666666666666666</v>
      </c>
    </row>
    <row r="1414">
      <c r="A1414" s="26" t="s">
        <v>276</v>
      </c>
      <c r="B1414" s="124">
        <v>45957.0</v>
      </c>
      <c r="C1414" s="26" t="s">
        <v>5592</v>
      </c>
      <c r="D1414" s="125">
        <v>0.3333333333333333</v>
      </c>
      <c r="E1414" s="125">
        <v>0.6666666666666666</v>
      </c>
    </row>
    <row r="1415">
      <c r="A1415" s="26" t="s">
        <v>280</v>
      </c>
      <c r="B1415" s="124">
        <v>45957.0</v>
      </c>
      <c r="C1415" s="26" t="s">
        <v>5592</v>
      </c>
      <c r="D1415" s="125">
        <v>0.4166666666666667</v>
      </c>
      <c r="E1415" s="125">
        <v>0.75</v>
      </c>
    </row>
    <row r="1416">
      <c r="A1416" s="26" t="s">
        <v>243</v>
      </c>
      <c r="B1416" s="124">
        <v>45955.0</v>
      </c>
      <c r="C1416" s="26" t="s">
        <v>5592</v>
      </c>
      <c r="D1416" s="125">
        <v>0.3333333333333333</v>
      </c>
      <c r="E1416" s="125">
        <v>0.6666666666666666</v>
      </c>
    </row>
    <row r="1417">
      <c r="A1417" s="26" t="s">
        <v>248</v>
      </c>
      <c r="B1417" s="124">
        <v>45955.0</v>
      </c>
      <c r="C1417" s="26" t="s">
        <v>5592</v>
      </c>
      <c r="D1417" s="125">
        <v>0.3333333333333333</v>
      </c>
      <c r="E1417" s="125">
        <v>0.6666666666666666</v>
      </c>
    </row>
    <row r="1418">
      <c r="A1418" s="26" t="s">
        <v>253</v>
      </c>
      <c r="B1418" s="124">
        <v>45955.0</v>
      </c>
      <c r="C1418" s="26" t="s">
        <v>5592</v>
      </c>
      <c r="D1418" s="125">
        <v>0.4166666666666667</v>
      </c>
      <c r="E1418" s="125">
        <v>0.75</v>
      </c>
    </row>
    <row r="1419">
      <c r="A1419" s="26" t="s">
        <v>258</v>
      </c>
      <c r="B1419" s="124">
        <v>45955.0</v>
      </c>
      <c r="C1419" s="26" t="s">
        <v>5592</v>
      </c>
      <c r="D1419" s="125">
        <v>0.3333333333333333</v>
      </c>
      <c r="E1419" s="125">
        <v>0.6666666666666666</v>
      </c>
    </row>
    <row r="1420">
      <c r="A1420" s="26" t="s">
        <v>261</v>
      </c>
      <c r="B1420" s="124">
        <v>45955.0</v>
      </c>
      <c r="C1420" s="26" t="s">
        <v>5592</v>
      </c>
      <c r="D1420" s="125">
        <v>0.4166666666666667</v>
      </c>
      <c r="E1420" s="125">
        <v>0.75</v>
      </c>
    </row>
    <row r="1421">
      <c r="A1421" s="26" t="s">
        <v>265</v>
      </c>
      <c r="B1421" s="124">
        <v>45955.0</v>
      </c>
      <c r="C1421" s="26" t="s">
        <v>5592</v>
      </c>
      <c r="D1421" s="125">
        <v>0.3333333333333333</v>
      </c>
      <c r="E1421" s="125">
        <v>0.6666666666666666</v>
      </c>
    </row>
    <row r="1422">
      <c r="A1422" s="26" t="s">
        <v>269</v>
      </c>
      <c r="B1422" s="124">
        <v>45955.0</v>
      </c>
      <c r="C1422" s="26" t="s">
        <v>5592</v>
      </c>
      <c r="D1422" s="125">
        <v>0.3333333333333333</v>
      </c>
      <c r="E1422" s="125">
        <v>0.6666666666666666</v>
      </c>
    </row>
    <row r="1423">
      <c r="A1423" s="26" t="s">
        <v>276</v>
      </c>
      <c r="B1423" s="124">
        <v>45955.0</v>
      </c>
      <c r="C1423" s="26" t="s">
        <v>5592</v>
      </c>
      <c r="D1423" s="125">
        <v>0.3333333333333333</v>
      </c>
      <c r="E1423" s="125">
        <v>0.6666666666666666</v>
      </c>
    </row>
    <row r="1424">
      <c r="A1424" s="26" t="s">
        <v>280</v>
      </c>
      <c r="B1424" s="124">
        <v>45955.0</v>
      </c>
      <c r="C1424" s="26" t="s">
        <v>5592</v>
      </c>
      <c r="D1424" s="125">
        <v>0.4166666666666667</v>
      </c>
      <c r="E1424" s="125">
        <v>0.75</v>
      </c>
    </row>
    <row r="1425">
      <c r="A1425" s="26" t="s">
        <v>243</v>
      </c>
      <c r="B1425" s="124">
        <v>45954.0</v>
      </c>
      <c r="C1425" s="26" t="s">
        <v>5592</v>
      </c>
      <c r="D1425" s="125">
        <v>0.3333333333333333</v>
      </c>
      <c r="E1425" s="125">
        <v>0.6666666666666666</v>
      </c>
    </row>
    <row r="1426">
      <c r="A1426" s="26" t="s">
        <v>248</v>
      </c>
      <c r="B1426" s="124">
        <v>45954.0</v>
      </c>
      <c r="C1426" s="26" t="s">
        <v>5592</v>
      </c>
      <c r="D1426" s="125">
        <v>0.3333333333333333</v>
      </c>
      <c r="E1426" s="125">
        <v>0.6666666666666666</v>
      </c>
    </row>
    <row r="1427">
      <c r="A1427" s="26" t="s">
        <v>253</v>
      </c>
      <c r="B1427" s="124">
        <v>45954.0</v>
      </c>
      <c r="C1427" s="26" t="s">
        <v>5592</v>
      </c>
      <c r="D1427" s="125">
        <v>0.4166666666666667</v>
      </c>
      <c r="E1427" s="125">
        <v>0.75</v>
      </c>
    </row>
    <row r="1428">
      <c r="A1428" s="26" t="s">
        <v>258</v>
      </c>
      <c r="B1428" s="124">
        <v>45954.0</v>
      </c>
      <c r="C1428" s="26" t="s">
        <v>5592</v>
      </c>
      <c r="D1428" s="125">
        <v>0.3333333333333333</v>
      </c>
      <c r="E1428" s="125">
        <v>0.6666666666666666</v>
      </c>
    </row>
    <row r="1429">
      <c r="A1429" s="26" t="s">
        <v>261</v>
      </c>
      <c r="B1429" s="124">
        <v>45954.0</v>
      </c>
      <c r="C1429" s="26" t="s">
        <v>5592</v>
      </c>
      <c r="D1429" s="125">
        <v>0.4166666666666667</v>
      </c>
      <c r="E1429" s="125">
        <v>0.75</v>
      </c>
    </row>
    <row r="1430">
      <c r="A1430" s="26" t="s">
        <v>265</v>
      </c>
      <c r="B1430" s="124">
        <v>45954.0</v>
      </c>
      <c r="C1430" s="26" t="s">
        <v>5592</v>
      </c>
      <c r="D1430" s="125">
        <v>0.3333333333333333</v>
      </c>
      <c r="E1430" s="125">
        <v>0.6666666666666666</v>
      </c>
    </row>
    <row r="1431">
      <c r="A1431" s="26" t="s">
        <v>269</v>
      </c>
      <c r="B1431" s="124">
        <v>45954.0</v>
      </c>
      <c r="C1431" s="26" t="s">
        <v>5592</v>
      </c>
      <c r="D1431" s="125">
        <v>0.3333333333333333</v>
      </c>
      <c r="E1431" s="125">
        <v>0.6666666666666666</v>
      </c>
    </row>
    <row r="1432">
      <c r="A1432" s="26" t="s">
        <v>276</v>
      </c>
      <c r="B1432" s="124">
        <v>45954.0</v>
      </c>
      <c r="C1432" s="26" t="s">
        <v>5592</v>
      </c>
      <c r="D1432" s="125">
        <v>0.3333333333333333</v>
      </c>
      <c r="E1432" s="125">
        <v>0.6666666666666666</v>
      </c>
    </row>
    <row r="1433">
      <c r="A1433" s="26" t="s">
        <v>280</v>
      </c>
      <c r="B1433" s="124">
        <v>45954.0</v>
      </c>
      <c r="C1433" s="26" t="s">
        <v>5592</v>
      </c>
      <c r="D1433" s="125">
        <v>0.4166666666666667</v>
      </c>
      <c r="E1433" s="125">
        <v>0.75</v>
      </c>
    </row>
    <row r="1434">
      <c r="A1434" s="26" t="s">
        <v>243</v>
      </c>
      <c r="B1434" s="124">
        <v>45953.0</v>
      </c>
      <c r="C1434" s="26" t="s">
        <v>5592</v>
      </c>
      <c r="D1434" s="125">
        <v>0.3333333333333333</v>
      </c>
      <c r="E1434" s="125">
        <v>0.6666666666666666</v>
      </c>
    </row>
    <row r="1435">
      <c r="A1435" s="26" t="s">
        <v>248</v>
      </c>
      <c r="B1435" s="124">
        <v>45953.0</v>
      </c>
      <c r="C1435" s="26" t="s">
        <v>5592</v>
      </c>
      <c r="D1435" s="125">
        <v>0.3333333333333333</v>
      </c>
      <c r="E1435" s="125">
        <v>0.6666666666666666</v>
      </c>
    </row>
    <row r="1436">
      <c r="A1436" s="26" t="s">
        <v>253</v>
      </c>
      <c r="B1436" s="124">
        <v>45953.0</v>
      </c>
      <c r="C1436" s="26" t="s">
        <v>5592</v>
      </c>
      <c r="D1436" s="125">
        <v>0.4166666666666667</v>
      </c>
      <c r="E1436" s="125">
        <v>0.75</v>
      </c>
    </row>
    <row r="1437">
      <c r="A1437" s="26" t="s">
        <v>258</v>
      </c>
      <c r="B1437" s="124">
        <v>45953.0</v>
      </c>
      <c r="C1437" s="26" t="s">
        <v>5592</v>
      </c>
      <c r="D1437" s="125">
        <v>0.3333333333333333</v>
      </c>
      <c r="E1437" s="125">
        <v>0.6666666666666666</v>
      </c>
    </row>
    <row r="1438">
      <c r="A1438" s="26" t="s">
        <v>261</v>
      </c>
      <c r="B1438" s="124">
        <v>45953.0</v>
      </c>
      <c r="C1438" s="26" t="s">
        <v>5592</v>
      </c>
      <c r="D1438" s="125">
        <v>0.4166666666666667</v>
      </c>
      <c r="E1438" s="125">
        <v>0.75</v>
      </c>
    </row>
    <row r="1439">
      <c r="A1439" s="26" t="s">
        <v>265</v>
      </c>
      <c r="B1439" s="124">
        <v>45953.0</v>
      </c>
      <c r="C1439" s="26" t="s">
        <v>5592</v>
      </c>
      <c r="D1439" s="125">
        <v>0.3333333333333333</v>
      </c>
      <c r="E1439" s="125">
        <v>0.6666666666666666</v>
      </c>
    </row>
    <row r="1440">
      <c r="A1440" s="26" t="s">
        <v>269</v>
      </c>
      <c r="B1440" s="124">
        <v>45953.0</v>
      </c>
      <c r="C1440" s="26" t="s">
        <v>5592</v>
      </c>
      <c r="D1440" s="125">
        <v>0.3333333333333333</v>
      </c>
      <c r="E1440" s="125">
        <v>0.6666666666666666</v>
      </c>
    </row>
    <row r="1441">
      <c r="A1441" s="26" t="s">
        <v>276</v>
      </c>
      <c r="B1441" s="124">
        <v>45953.0</v>
      </c>
      <c r="C1441" s="26" t="s">
        <v>5592</v>
      </c>
      <c r="D1441" s="125">
        <v>0.3333333333333333</v>
      </c>
      <c r="E1441" s="125">
        <v>0.6666666666666666</v>
      </c>
    </row>
    <row r="1442">
      <c r="A1442" s="26" t="s">
        <v>280</v>
      </c>
      <c r="B1442" s="124">
        <v>45953.0</v>
      </c>
      <c r="C1442" s="26" t="s">
        <v>5592</v>
      </c>
      <c r="D1442" s="125">
        <v>0.4166666666666667</v>
      </c>
      <c r="E1442" s="125">
        <v>0.75</v>
      </c>
    </row>
    <row r="1443">
      <c r="A1443" s="26" t="s">
        <v>243</v>
      </c>
      <c r="B1443" s="124">
        <v>45952.0</v>
      </c>
      <c r="C1443" s="26" t="s">
        <v>5592</v>
      </c>
      <c r="D1443" s="125">
        <v>0.3333333333333333</v>
      </c>
      <c r="E1443" s="125">
        <v>0.6666666666666666</v>
      </c>
    </row>
    <row r="1444">
      <c r="A1444" s="26" t="s">
        <v>248</v>
      </c>
      <c r="B1444" s="124">
        <v>45952.0</v>
      </c>
      <c r="C1444" s="26" t="s">
        <v>5592</v>
      </c>
      <c r="D1444" s="125">
        <v>0.3333333333333333</v>
      </c>
      <c r="E1444" s="125">
        <v>0.6666666666666666</v>
      </c>
    </row>
    <row r="1445">
      <c r="A1445" s="26" t="s">
        <v>253</v>
      </c>
      <c r="B1445" s="124">
        <v>45952.0</v>
      </c>
      <c r="C1445" s="26" t="s">
        <v>5592</v>
      </c>
      <c r="D1445" s="125">
        <v>0.4166666666666667</v>
      </c>
      <c r="E1445" s="125">
        <v>0.75</v>
      </c>
    </row>
    <row r="1446">
      <c r="A1446" s="26" t="s">
        <v>258</v>
      </c>
      <c r="B1446" s="124">
        <v>45952.0</v>
      </c>
      <c r="C1446" s="26" t="s">
        <v>5592</v>
      </c>
      <c r="D1446" s="125">
        <v>0.3333333333333333</v>
      </c>
      <c r="E1446" s="125">
        <v>0.6666666666666666</v>
      </c>
    </row>
    <row r="1447">
      <c r="A1447" s="26" t="s">
        <v>261</v>
      </c>
      <c r="B1447" s="124">
        <v>45952.0</v>
      </c>
      <c r="C1447" s="26" t="s">
        <v>5592</v>
      </c>
      <c r="D1447" s="125">
        <v>0.4166666666666667</v>
      </c>
      <c r="E1447" s="125">
        <v>0.75</v>
      </c>
    </row>
    <row r="1448">
      <c r="A1448" s="26" t="s">
        <v>265</v>
      </c>
      <c r="B1448" s="124">
        <v>45952.0</v>
      </c>
      <c r="C1448" s="26" t="s">
        <v>5592</v>
      </c>
      <c r="D1448" s="125">
        <v>0.3333333333333333</v>
      </c>
      <c r="E1448" s="125">
        <v>0.6666666666666666</v>
      </c>
    </row>
    <row r="1449">
      <c r="A1449" s="26" t="s">
        <v>269</v>
      </c>
      <c r="B1449" s="124">
        <v>45952.0</v>
      </c>
      <c r="C1449" s="26" t="s">
        <v>5592</v>
      </c>
      <c r="D1449" s="125">
        <v>0.3333333333333333</v>
      </c>
      <c r="E1449" s="125">
        <v>0.6666666666666666</v>
      </c>
    </row>
    <row r="1450">
      <c r="A1450" s="26" t="s">
        <v>276</v>
      </c>
      <c r="B1450" s="124">
        <v>45952.0</v>
      </c>
      <c r="C1450" s="26" t="s">
        <v>5592</v>
      </c>
      <c r="D1450" s="125">
        <v>0.3333333333333333</v>
      </c>
      <c r="E1450" s="125">
        <v>0.6666666666666666</v>
      </c>
    </row>
    <row r="1451">
      <c r="A1451" s="26" t="s">
        <v>280</v>
      </c>
      <c r="B1451" s="124">
        <v>45952.0</v>
      </c>
      <c r="C1451" s="26" t="s">
        <v>5592</v>
      </c>
      <c r="D1451" s="125">
        <v>0.4166666666666667</v>
      </c>
      <c r="E1451" s="125">
        <v>0.75</v>
      </c>
    </row>
    <row r="1452">
      <c r="A1452" s="26" t="s">
        <v>243</v>
      </c>
      <c r="B1452" s="124">
        <v>45951.0</v>
      </c>
      <c r="C1452" s="26" t="s">
        <v>5592</v>
      </c>
      <c r="D1452" s="125">
        <v>0.3333333333333333</v>
      </c>
      <c r="E1452" s="125">
        <v>0.6666666666666666</v>
      </c>
    </row>
    <row r="1453">
      <c r="A1453" s="26" t="s">
        <v>248</v>
      </c>
      <c r="B1453" s="124">
        <v>45951.0</v>
      </c>
      <c r="C1453" s="26" t="s">
        <v>5592</v>
      </c>
      <c r="D1453" s="125">
        <v>0.3333333333333333</v>
      </c>
      <c r="E1453" s="125">
        <v>0.6666666666666666</v>
      </c>
    </row>
    <row r="1454">
      <c r="A1454" s="26" t="s">
        <v>253</v>
      </c>
      <c r="B1454" s="124">
        <v>45951.0</v>
      </c>
      <c r="C1454" s="26" t="s">
        <v>5592</v>
      </c>
      <c r="D1454" s="125">
        <v>0.4166666666666667</v>
      </c>
      <c r="E1454" s="125">
        <v>0.75</v>
      </c>
    </row>
    <row r="1455">
      <c r="A1455" s="26" t="s">
        <v>258</v>
      </c>
      <c r="B1455" s="124">
        <v>45951.0</v>
      </c>
      <c r="C1455" s="26" t="s">
        <v>5592</v>
      </c>
      <c r="D1455" s="125">
        <v>0.3333333333333333</v>
      </c>
      <c r="E1455" s="125">
        <v>0.6666666666666666</v>
      </c>
    </row>
    <row r="1456">
      <c r="A1456" s="26" t="s">
        <v>261</v>
      </c>
      <c r="B1456" s="124">
        <v>45951.0</v>
      </c>
      <c r="C1456" s="26" t="s">
        <v>5592</v>
      </c>
      <c r="D1456" s="125">
        <v>0.4166666666666667</v>
      </c>
      <c r="E1456" s="125">
        <v>0.75</v>
      </c>
    </row>
    <row r="1457">
      <c r="A1457" s="26" t="s">
        <v>265</v>
      </c>
      <c r="B1457" s="124">
        <v>45951.0</v>
      </c>
      <c r="C1457" s="26" t="s">
        <v>5592</v>
      </c>
      <c r="D1457" s="125">
        <v>0.3333333333333333</v>
      </c>
      <c r="E1457" s="125">
        <v>0.6666666666666666</v>
      </c>
    </row>
    <row r="1458">
      <c r="A1458" s="26" t="s">
        <v>269</v>
      </c>
      <c r="B1458" s="124">
        <v>45951.0</v>
      </c>
      <c r="C1458" s="26" t="s">
        <v>5592</v>
      </c>
      <c r="D1458" s="125">
        <v>0.3333333333333333</v>
      </c>
      <c r="E1458" s="125">
        <v>0.6666666666666666</v>
      </c>
    </row>
    <row r="1459">
      <c r="A1459" s="26" t="s">
        <v>276</v>
      </c>
      <c r="B1459" s="124">
        <v>45951.0</v>
      </c>
      <c r="C1459" s="26" t="s">
        <v>5592</v>
      </c>
      <c r="D1459" s="125">
        <v>0.3333333333333333</v>
      </c>
      <c r="E1459" s="125">
        <v>0.6666666666666666</v>
      </c>
    </row>
    <row r="1460">
      <c r="A1460" s="26" t="s">
        <v>280</v>
      </c>
      <c r="B1460" s="124">
        <v>45951.0</v>
      </c>
      <c r="C1460" s="26" t="s">
        <v>5592</v>
      </c>
      <c r="D1460" s="125">
        <v>0.4166666666666667</v>
      </c>
      <c r="E1460" s="125">
        <v>0.75</v>
      </c>
    </row>
    <row r="1461">
      <c r="A1461" s="26" t="s">
        <v>243</v>
      </c>
      <c r="B1461" s="124">
        <v>45950.0</v>
      </c>
      <c r="C1461" s="26" t="s">
        <v>5592</v>
      </c>
      <c r="D1461" s="125">
        <v>0.3333333333333333</v>
      </c>
      <c r="E1461" s="125">
        <v>0.6666666666666666</v>
      </c>
    </row>
    <row r="1462">
      <c r="A1462" s="26" t="s">
        <v>248</v>
      </c>
      <c r="B1462" s="124">
        <v>45950.0</v>
      </c>
      <c r="C1462" s="26" t="s">
        <v>5592</v>
      </c>
      <c r="D1462" s="125">
        <v>0.3333333333333333</v>
      </c>
      <c r="E1462" s="125">
        <v>0.6666666666666666</v>
      </c>
    </row>
    <row r="1463">
      <c r="A1463" s="26" t="s">
        <v>253</v>
      </c>
      <c r="B1463" s="124">
        <v>45950.0</v>
      </c>
      <c r="C1463" s="26" t="s">
        <v>5592</v>
      </c>
      <c r="D1463" s="125">
        <v>0.4166666666666667</v>
      </c>
      <c r="E1463" s="125">
        <v>0.75</v>
      </c>
    </row>
    <row r="1464">
      <c r="A1464" s="26" t="s">
        <v>258</v>
      </c>
      <c r="B1464" s="124">
        <v>45950.0</v>
      </c>
      <c r="C1464" s="26" t="s">
        <v>5592</v>
      </c>
      <c r="D1464" s="125">
        <v>0.3333333333333333</v>
      </c>
      <c r="E1464" s="125">
        <v>0.6666666666666666</v>
      </c>
    </row>
    <row r="1465">
      <c r="A1465" s="26" t="s">
        <v>261</v>
      </c>
      <c r="B1465" s="124">
        <v>45950.0</v>
      </c>
      <c r="C1465" s="26" t="s">
        <v>5592</v>
      </c>
      <c r="D1465" s="125">
        <v>0.4166666666666667</v>
      </c>
      <c r="E1465" s="125">
        <v>0.75</v>
      </c>
    </row>
    <row r="1466">
      <c r="A1466" s="26" t="s">
        <v>265</v>
      </c>
      <c r="B1466" s="124">
        <v>45950.0</v>
      </c>
      <c r="C1466" s="26" t="s">
        <v>5592</v>
      </c>
      <c r="D1466" s="125">
        <v>0.3333333333333333</v>
      </c>
      <c r="E1466" s="125">
        <v>0.6666666666666666</v>
      </c>
    </row>
    <row r="1467">
      <c r="A1467" s="26" t="s">
        <v>269</v>
      </c>
      <c r="B1467" s="124">
        <v>45950.0</v>
      </c>
      <c r="C1467" s="26" t="s">
        <v>5592</v>
      </c>
      <c r="D1467" s="125">
        <v>0.3333333333333333</v>
      </c>
      <c r="E1467" s="125">
        <v>0.6666666666666666</v>
      </c>
    </row>
    <row r="1468">
      <c r="A1468" s="26" t="s">
        <v>276</v>
      </c>
      <c r="B1468" s="124">
        <v>45950.0</v>
      </c>
      <c r="C1468" s="26" t="s">
        <v>5592</v>
      </c>
      <c r="D1468" s="125">
        <v>0.3333333333333333</v>
      </c>
      <c r="E1468" s="125">
        <v>0.6666666666666666</v>
      </c>
    </row>
    <row r="1469">
      <c r="A1469" s="26" t="s">
        <v>280</v>
      </c>
      <c r="B1469" s="124">
        <v>45950.0</v>
      </c>
      <c r="C1469" s="26" t="s">
        <v>5592</v>
      </c>
      <c r="D1469" s="125">
        <v>0.4166666666666667</v>
      </c>
      <c r="E1469" s="125">
        <v>0.75</v>
      </c>
    </row>
    <row r="1470">
      <c r="A1470" s="26" t="s">
        <v>243</v>
      </c>
      <c r="B1470" s="124">
        <v>45948.0</v>
      </c>
      <c r="C1470" s="26" t="s">
        <v>5592</v>
      </c>
      <c r="D1470" s="125">
        <v>0.3333333333333333</v>
      </c>
      <c r="E1470" s="125">
        <v>0.6666666666666666</v>
      </c>
    </row>
    <row r="1471">
      <c r="A1471" s="26" t="s">
        <v>248</v>
      </c>
      <c r="B1471" s="124">
        <v>45948.0</v>
      </c>
      <c r="C1471" s="26" t="s">
        <v>5592</v>
      </c>
      <c r="D1471" s="125">
        <v>0.3333333333333333</v>
      </c>
      <c r="E1471" s="125">
        <v>0.6666666666666666</v>
      </c>
    </row>
    <row r="1472">
      <c r="A1472" s="26" t="s">
        <v>253</v>
      </c>
      <c r="B1472" s="124">
        <v>45948.0</v>
      </c>
      <c r="C1472" s="26" t="s">
        <v>5592</v>
      </c>
      <c r="D1472" s="125">
        <v>0.4166666666666667</v>
      </c>
      <c r="E1472" s="125">
        <v>0.75</v>
      </c>
    </row>
    <row r="1473">
      <c r="A1473" s="26" t="s">
        <v>258</v>
      </c>
      <c r="B1473" s="124">
        <v>45948.0</v>
      </c>
      <c r="C1473" s="26" t="s">
        <v>5592</v>
      </c>
      <c r="D1473" s="125">
        <v>0.3333333333333333</v>
      </c>
      <c r="E1473" s="125">
        <v>0.6666666666666666</v>
      </c>
    </row>
    <row r="1474">
      <c r="A1474" s="26" t="s">
        <v>261</v>
      </c>
      <c r="B1474" s="124">
        <v>45948.0</v>
      </c>
      <c r="C1474" s="26" t="s">
        <v>5592</v>
      </c>
      <c r="D1474" s="125">
        <v>0.4166666666666667</v>
      </c>
      <c r="E1474" s="125">
        <v>0.75</v>
      </c>
    </row>
    <row r="1475">
      <c r="A1475" s="26" t="s">
        <v>265</v>
      </c>
      <c r="B1475" s="124">
        <v>45948.0</v>
      </c>
      <c r="C1475" s="26" t="s">
        <v>5592</v>
      </c>
      <c r="D1475" s="125">
        <v>0.3333333333333333</v>
      </c>
      <c r="E1475" s="125">
        <v>0.6666666666666666</v>
      </c>
    </row>
    <row r="1476">
      <c r="A1476" s="26" t="s">
        <v>269</v>
      </c>
      <c r="B1476" s="124">
        <v>45948.0</v>
      </c>
      <c r="C1476" s="26" t="s">
        <v>5592</v>
      </c>
      <c r="D1476" s="125">
        <v>0.3333333333333333</v>
      </c>
      <c r="E1476" s="125">
        <v>0.6666666666666666</v>
      </c>
    </row>
    <row r="1477">
      <c r="A1477" s="26" t="s">
        <v>276</v>
      </c>
      <c r="B1477" s="124">
        <v>45948.0</v>
      </c>
      <c r="C1477" s="26" t="s">
        <v>5592</v>
      </c>
      <c r="D1477" s="125">
        <v>0.3333333333333333</v>
      </c>
      <c r="E1477" s="125">
        <v>0.6666666666666666</v>
      </c>
    </row>
    <row r="1478">
      <c r="A1478" s="26" t="s">
        <v>280</v>
      </c>
      <c r="B1478" s="124">
        <v>45948.0</v>
      </c>
      <c r="C1478" s="26" t="s">
        <v>5592</v>
      </c>
      <c r="D1478" s="125">
        <v>0.4166666666666667</v>
      </c>
      <c r="E1478" s="125">
        <v>0.75</v>
      </c>
    </row>
    <row r="1479">
      <c r="A1479" s="26" t="s">
        <v>243</v>
      </c>
      <c r="B1479" s="124">
        <v>45947.0</v>
      </c>
      <c r="C1479" s="26" t="s">
        <v>5592</v>
      </c>
      <c r="D1479" s="125">
        <v>0.3333333333333333</v>
      </c>
      <c r="E1479" s="125">
        <v>0.6666666666666666</v>
      </c>
    </row>
    <row r="1480">
      <c r="A1480" s="26" t="s">
        <v>248</v>
      </c>
      <c r="B1480" s="124">
        <v>45947.0</v>
      </c>
      <c r="C1480" s="26" t="s">
        <v>5592</v>
      </c>
      <c r="D1480" s="125">
        <v>0.3333333333333333</v>
      </c>
      <c r="E1480" s="125">
        <v>0.6666666666666666</v>
      </c>
    </row>
    <row r="1481">
      <c r="A1481" s="26" t="s">
        <v>253</v>
      </c>
      <c r="B1481" s="124">
        <v>45947.0</v>
      </c>
      <c r="C1481" s="26" t="s">
        <v>5592</v>
      </c>
      <c r="D1481" s="125">
        <v>0.4166666666666667</v>
      </c>
      <c r="E1481" s="125">
        <v>0.75</v>
      </c>
    </row>
    <row r="1482">
      <c r="A1482" s="26" t="s">
        <v>258</v>
      </c>
      <c r="B1482" s="124">
        <v>45947.0</v>
      </c>
      <c r="C1482" s="26" t="s">
        <v>5592</v>
      </c>
      <c r="D1482" s="125">
        <v>0.3333333333333333</v>
      </c>
      <c r="E1482" s="125">
        <v>0.6666666666666666</v>
      </c>
    </row>
    <row r="1483">
      <c r="A1483" s="26" t="s">
        <v>261</v>
      </c>
      <c r="B1483" s="124">
        <v>45947.0</v>
      </c>
      <c r="C1483" s="26" t="s">
        <v>5592</v>
      </c>
      <c r="D1483" s="125">
        <v>0.4166666666666667</v>
      </c>
      <c r="E1483" s="125">
        <v>0.75</v>
      </c>
    </row>
    <row r="1484">
      <c r="A1484" s="26" t="s">
        <v>265</v>
      </c>
      <c r="B1484" s="124">
        <v>45947.0</v>
      </c>
      <c r="C1484" s="26" t="s">
        <v>5592</v>
      </c>
      <c r="D1484" s="125">
        <v>0.3333333333333333</v>
      </c>
      <c r="E1484" s="125">
        <v>0.6666666666666666</v>
      </c>
    </row>
    <row r="1485">
      <c r="A1485" s="26" t="s">
        <v>269</v>
      </c>
      <c r="B1485" s="124">
        <v>45947.0</v>
      </c>
      <c r="C1485" s="26" t="s">
        <v>5592</v>
      </c>
      <c r="D1485" s="125">
        <v>0.3333333333333333</v>
      </c>
      <c r="E1485" s="125">
        <v>0.6666666666666666</v>
      </c>
    </row>
    <row r="1486">
      <c r="A1486" s="26" t="s">
        <v>276</v>
      </c>
      <c r="B1486" s="124">
        <v>45947.0</v>
      </c>
      <c r="C1486" s="26" t="s">
        <v>5592</v>
      </c>
      <c r="D1486" s="125">
        <v>0.3333333333333333</v>
      </c>
      <c r="E1486" s="125">
        <v>0.6666666666666666</v>
      </c>
    </row>
    <row r="1487">
      <c r="A1487" s="26" t="s">
        <v>280</v>
      </c>
      <c r="B1487" s="124">
        <v>45947.0</v>
      </c>
      <c r="C1487" s="26" t="s">
        <v>5592</v>
      </c>
      <c r="D1487" s="125">
        <v>0.4166666666666667</v>
      </c>
      <c r="E1487" s="125">
        <v>0.75</v>
      </c>
    </row>
    <row r="1488">
      <c r="A1488" s="26" t="s">
        <v>243</v>
      </c>
      <c r="B1488" s="124">
        <v>45946.0</v>
      </c>
      <c r="C1488" s="26" t="s">
        <v>5592</v>
      </c>
      <c r="D1488" s="125">
        <v>0.3333333333333333</v>
      </c>
      <c r="E1488" s="125">
        <v>0.6666666666666666</v>
      </c>
    </row>
    <row r="1489">
      <c r="A1489" s="26" t="s">
        <v>248</v>
      </c>
      <c r="B1489" s="124">
        <v>45946.0</v>
      </c>
      <c r="C1489" s="26" t="s">
        <v>5592</v>
      </c>
      <c r="D1489" s="125">
        <v>0.3333333333333333</v>
      </c>
      <c r="E1489" s="125">
        <v>0.6666666666666666</v>
      </c>
    </row>
    <row r="1490">
      <c r="A1490" s="26" t="s">
        <v>253</v>
      </c>
      <c r="B1490" s="124">
        <v>45946.0</v>
      </c>
      <c r="C1490" s="26" t="s">
        <v>5592</v>
      </c>
      <c r="D1490" s="125">
        <v>0.4166666666666667</v>
      </c>
      <c r="E1490" s="125">
        <v>0.75</v>
      </c>
    </row>
    <row r="1491">
      <c r="A1491" s="26" t="s">
        <v>258</v>
      </c>
      <c r="B1491" s="124">
        <v>45946.0</v>
      </c>
      <c r="C1491" s="26" t="s">
        <v>5592</v>
      </c>
      <c r="D1491" s="125">
        <v>0.3333333333333333</v>
      </c>
      <c r="E1491" s="125">
        <v>0.6666666666666666</v>
      </c>
    </row>
    <row r="1492">
      <c r="A1492" s="26" t="s">
        <v>261</v>
      </c>
      <c r="B1492" s="124">
        <v>45946.0</v>
      </c>
      <c r="C1492" s="26" t="s">
        <v>5592</v>
      </c>
      <c r="D1492" s="125">
        <v>0.4166666666666667</v>
      </c>
      <c r="E1492" s="125">
        <v>0.75</v>
      </c>
    </row>
    <row r="1493">
      <c r="A1493" s="26" t="s">
        <v>265</v>
      </c>
      <c r="B1493" s="124">
        <v>45946.0</v>
      </c>
      <c r="C1493" s="26" t="s">
        <v>5592</v>
      </c>
      <c r="D1493" s="125">
        <v>0.3333333333333333</v>
      </c>
      <c r="E1493" s="125">
        <v>0.6666666666666666</v>
      </c>
    </row>
    <row r="1494">
      <c r="A1494" s="26" t="s">
        <v>269</v>
      </c>
      <c r="B1494" s="124">
        <v>45946.0</v>
      </c>
      <c r="C1494" s="26" t="s">
        <v>5592</v>
      </c>
      <c r="D1494" s="125">
        <v>0.3333333333333333</v>
      </c>
      <c r="E1494" s="125">
        <v>0.6666666666666666</v>
      </c>
    </row>
    <row r="1495">
      <c r="A1495" s="26" t="s">
        <v>276</v>
      </c>
      <c r="B1495" s="124">
        <v>45946.0</v>
      </c>
      <c r="C1495" s="26" t="s">
        <v>5592</v>
      </c>
      <c r="D1495" s="125">
        <v>0.3333333333333333</v>
      </c>
      <c r="E1495" s="125">
        <v>0.6666666666666666</v>
      </c>
    </row>
    <row r="1496">
      <c r="A1496" s="26" t="s">
        <v>280</v>
      </c>
      <c r="B1496" s="124">
        <v>45946.0</v>
      </c>
      <c r="C1496" s="26" t="s">
        <v>5592</v>
      </c>
      <c r="D1496" s="125">
        <v>0.4166666666666667</v>
      </c>
      <c r="E1496" s="125">
        <v>0.75</v>
      </c>
    </row>
    <row r="1497">
      <c r="A1497" s="26" t="s">
        <v>243</v>
      </c>
      <c r="B1497" s="124">
        <v>45945.0</v>
      </c>
      <c r="C1497" s="26" t="s">
        <v>5592</v>
      </c>
      <c r="D1497" s="125">
        <v>0.3333333333333333</v>
      </c>
      <c r="E1497" s="125">
        <v>0.6666666666666666</v>
      </c>
    </row>
    <row r="1498">
      <c r="A1498" s="26" t="s">
        <v>248</v>
      </c>
      <c r="B1498" s="124">
        <v>45945.0</v>
      </c>
      <c r="C1498" s="26" t="s">
        <v>5592</v>
      </c>
      <c r="D1498" s="125">
        <v>0.3333333333333333</v>
      </c>
      <c r="E1498" s="125">
        <v>0.6666666666666666</v>
      </c>
    </row>
    <row r="1499">
      <c r="A1499" s="26" t="s">
        <v>253</v>
      </c>
      <c r="B1499" s="124">
        <v>45945.0</v>
      </c>
      <c r="C1499" s="26" t="s">
        <v>5592</v>
      </c>
      <c r="D1499" s="125">
        <v>0.4166666666666667</v>
      </c>
      <c r="E1499" s="125">
        <v>0.75</v>
      </c>
    </row>
    <row r="1500">
      <c r="A1500" s="26" t="s">
        <v>258</v>
      </c>
      <c r="B1500" s="124">
        <v>45945.0</v>
      </c>
      <c r="C1500" s="26" t="s">
        <v>5592</v>
      </c>
      <c r="D1500" s="125">
        <v>0.3333333333333333</v>
      </c>
      <c r="E1500" s="125">
        <v>0.6666666666666666</v>
      </c>
    </row>
    <row r="1501">
      <c r="A1501" s="26" t="s">
        <v>261</v>
      </c>
      <c r="B1501" s="124">
        <v>45945.0</v>
      </c>
      <c r="C1501" s="26" t="s">
        <v>5592</v>
      </c>
      <c r="D1501" s="125">
        <v>0.4166666666666667</v>
      </c>
      <c r="E1501" s="125">
        <v>0.75</v>
      </c>
    </row>
    <row r="1502">
      <c r="A1502" s="26" t="s">
        <v>265</v>
      </c>
      <c r="B1502" s="124">
        <v>45945.0</v>
      </c>
      <c r="C1502" s="26" t="s">
        <v>5592</v>
      </c>
      <c r="D1502" s="125">
        <v>0.3333333333333333</v>
      </c>
      <c r="E1502" s="125">
        <v>0.6666666666666666</v>
      </c>
    </row>
    <row r="1503">
      <c r="A1503" s="26" t="s">
        <v>269</v>
      </c>
      <c r="B1503" s="124">
        <v>45945.0</v>
      </c>
      <c r="C1503" s="26" t="s">
        <v>5592</v>
      </c>
      <c r="D1503" s="125">
        <v>0.3333333333333333</v>
      </c>
      <c r="E1503" s="125">
        <v>0.6666666666666666</v>
      </c>
    </row>
    <row r="1504">
      <c r="A1504" s="26" t="s">
        <v>276</v>
      </c>
      <c r="B1504" s="124">
        <v>45945.0</v>
      </c>
      <c r="C1504" s="26" t="s">
        <v>5592</v>
      </c>
      <c r="D1504" s="125">
        <v>0.3333333333333333</v>
      </c>
      <c r="E1504" s="125">
        <v>0.6666666666666666</v>
      </c>
    </row>
    <row r="1505">
      <c r="A1505" s="26" t="s">
        <v>280</v>
      </c>
      <c r="B1505" s="124">
        <v>45945.0</v>
      </c>
      <c r="C1505" s="26" t="s">
        <v>5592</v>
      </c>
      <c r="D1505" s="125">
        <v>0.4166666666666667</v>
      </c>
      <c r="E1505" s="125">
        <v>0.75</v>
      </c>
    </row>
    <row r="1506">
      <c r="A1506" s="26" t="s">
        <v>243</v>
      </c>
      <c r="B1506" s="124">
        <v>45944.0</v>
      </c>
      <c r="C1506" s="26" t="s">
        <v>5592</v>
      </c>
      <c r="D1506" s="125">
        <v>0.3333333333333333</v>
      </c>
      <c r="E1506" s="125">
        <v>0.6666666666666666</v>
      </c>
    </row>
    <row r="1507">
      <c r="A1507" s="26" t="s">
        <v>248</v>
      </c>
      <c r="B1507" s="124">
        <v>45944.0</v>
      </c>
      <c r="C1507" s="26" t="s">
        <v>5592</v>
      </c>
      <c r="D1507" s="125">
        <v>0.3333333333333333</v>
      </c>
      <c r="E1507" s="125">
        <v>0.6666666666666666</v>
      </c>
    </row>
    <row r="1508">
      <c r="A1508" s="26" t="s">
        <v>253</v>
      </c>
      <c r="B1508" s="124">
        <v>45944.0</v>
      </c>
      <c r="C1508" s="26" t="s">
        <v>5592</v>
      </c>
      <c r="D1508" s="125">
        <v>0.4166666666666667</v>
      </c>
      <c r="E1508" s="125">
        <v>0.75</v>
      </c>
    </row>
    <row r="1509">
      <c r="A1509" s="26" t="s">
        <v>258</v>
      </c>
      <c r="B1509" s="124">
        <v>45944.0</v>
      </c>
      <c r="C1509" s="26" t="s">
        <v>5592</v>
      </c>
      <c r="D1509" s="125">
        <v>0.3333333333333333</v>
      </c>
      <c r="E1509" s="125">
        <v>0.6666666666666666</v>
      </c>
    </row>
    <row r="1510">
      <c r="A1510" s="26" t="s">
        <v>261</v>
      </c>
      <c r="B1510" s="124">
        <v>45944.0</v>
      </c>
      <c r="C1510" s="26" t="s">
        <v>5592</v>
      </c>
      <c r="D1510" s="125">
        <v>0.4166666666666667</v>
      </c>
      <c r="E1510" s="125">
        <v>0.75</v>
      </c>
    </row>
    <row r="1511">
      <c r="A1511" s="26" t="s">
        <v>265</v>
      </c>
      <c r="B1511" s="124">
        <v>45944.0</v>
      </c>
      <c r="C1511" s="26" t="s">
        <v>5592</v>
      </c>
      <c r="D1511" s="125">
        <v>0.3333333333333333</v>
      </c>
      <c r="E1511" s="125">
        <v>0.6666666666666666</v>
      </c>
    </row>
    <row r="1512">
      <c r="A1512" s="26" t="s">
        <v>269</v>
      </c>
      <c r="B1512" s="124">
        <v>45944.0</v>
      </c>
      <c r="C1512" s="26" t="s">
        <v>5592</v>
      </c>
      <c r="D1512" s="125">
        <v>0.3333333333333333</v>
      </c>
      <c r="E1512" s="125">
        <v>0.6666666666666666</v>
      </c>
    </row>
    <row r="1513">
      <c r="A1513" s="26" t="s">
        <v>276</v>
      </c>
      <c r="B1513" s="124">
        <v>45944.0</v>
      </c>
      <c r="C1513" s="26" t="s">
        <v>5592</v>
      </c>
      <c r="D1513" s="125">
        <v>0.3333333333333333</v>
      </c>
      <c r="E1513" s="125">
        <v>0.6666666666666666</v>
      </c>
    </row>
    <row r="1514">
      <c r="A1514" s="26" t="s">
        <v>280</v>
      </c>
      <c r="B1514" s="124">
        <v>45944.0</v>
      </c>
      <c r="C1514" s="26" t="s">
        <v>5592</v>
      </c>
      <c r="D1514" s="125">
        <v>0.4166666666666667</v>
      </c>
      <c r="E1514" s="125">
        <v>0.75</v>
      </c>
    </row>
    <row r="1515">
      <c r="A1515" s="26" t="s">
        <v>243</v>
      </c>
      <c r="B1515" s="124">
        <v>45943.0</v>
      </c>
      <c r="C1515" s="26" t="s">
        <v>5592</v>
      </c>
      <c r="D1515" s="125">
        <v>0.3333333333333333</v>
      </c>
      <c r="E1515" s="125">
        <v>0.6666666666666666</v>
      </c>
    </row>
    <row r="1516">
      <c r="A1516" s="26" t="s">
        <v>248</v>
      </c>
      <c r="B1516" s="124">
        <v>45943.0</v>
      </c>
      <c r="C1516" s="26" t="s">
        <v>5592</v>
      </c>
      <c r="D1516" s="125">
        <v>0.3333333333333333</v>
      </c>
      <c r="E1516" s="125">
        <v>0.6666666666666666</v>
      </c>
    </row>
    <row r="1517">
      <c r="A1517" s="26" t="s">
        <v>253</v>
      </c>
      <c r="B1517" s="124">
        <v>45943.0</v>
      </c>
      <c r="C1517" s="26" t="s">
        <v>5592</v>
      </c>
      <c r="D1517" s="125">
        <v>0.4166666666666667</v>
      </c>
      <c r="E1517" s="125">
        <v>0.75</v>
      </c>
    </row>
    <row r="1518">
      <c r="A1518" s="26" t="s">
        <v>258</v>
      </c>
      <c r="B1518" s="124">
        <v>45943.0</v>
      </c>
      <c r="C1518" s="26" t="s">
        <v>5592</v>
      </c>
      <c r="D1518" s="125">
        <v>0.3333333333333333</v>
      </c>
      <c r="E1518" s="125">
        <v>0.6666666666666666</v>
      </c>
    </row>
    <row r="1519">
      <c r="A1519" s="26" t="s">
        <v>261</v>
      </c>
      <c r="B1519" s="124">
        <v>45943.0</v>
      </c>
      <c r="C1519" s="26" t="s">
        <v>5592</v>
      </c>
      <c r="D1519" s="125">
        <v>0.4166666666666667</v>
      </c>
      <c r="E1519" s="125">
        <v>0.75</v>
      </c>
    </row>
    <row r="1520">
      <c r="A1520" s="26" t="s">
        <v>265</v>
      </c>
      <c r="B1520" s="124">
        <v>45943.0</v>
      </c>
      <c r="C1520" s="26" t="s">
        <v>5592</v>
      </c>
      <c r="D1520" s="125">
        <v>0.3333333333333333</v>
      </c>
      <c r="E1520" s="125">
        <v>0.6666666666666666</v>
      </c>
    </row>
    <row r="1521">
      <c r="A1521" s="26" t="s">
        <v>269</v>
      </c>
      <c r="B1521" s="124">
        <v>45943.0</v>
      </c>
      <c r="C1521" s="26" t="s">
        <v>5592</v>
      </c>
      <c r="D1521" s="125">
        <v>0.3333333333333333</v>
      </c>
      <c r="E1521" s="125">
        <v>0.6666666666666666</v>
      </c>
    </row>
    <row r="1522">
      <c r="A1522" s="26" t="s">
        <v>276</v>
      </c>
      <c r="B1522" s="124">
        <v>45943.0</v>
      </c>
      <c r="C1522" s="26" t="s">
        <v>5592</v>
      </c>
      <c r="D1522" s="125">
        <v>0.3333333333333333</v>
      </c>
      <c r="E1522" s="125">
        <v>0.6666666666666666</v>
      </c>
    </row>
    <row r="1523">
      <c r="A1523" s="26" t="s">
        <v>280</v>
      </c>
      <c r="B1523" s="124">
        <v>45943.0</v>
      </c>
      <c r="C1523" s="26" t="s">
        <v>5592</v>
      </c>
      <c r="D1523" s="125">
        <v>0.4166666666666667</v>
      </c>
      <c r="E1523" s="125">
        <v>0.75</v>
      </c>
    </row>
    <row r="1524">
      <c r="A1524" s="26" t="s">
        <v>243</v>
      </c>
      <c r="B1524" s="124">
        <v>45941.0</v>
      </c>
      <c r="C1524" s="26" t="s">
        <v>5592</v>
      </c>
      <c r="D1524" s="125">
        <v>0.3333333333333333</v>
      </c>
      <c r="E1524" s="125">
        <v>0.6666666666666666</v>
      </c>
    </row>
    <row r="1525">
      <c r="A1525" s="26" t="s">
        <v>248</v>
      </c>
      <c r="B1525" s="124">
        <v>45941.0</v>
      </c>
      <c r="C1525" s="26" t="s">
        <v>5592</v>
      </c>
      <c r="D1525" s="125">
        <v>0.3333333333333333</v>
      </c>
      <c r="E1525" s="125">
        <v>0.6666666666666666</v>
      </c>
    </row>
    <row r="1526">
      <c r="A1526" s="26" t="s">
        <v>253</v>
      </c>
      <c r="B1526" s="124">
        <v>45941.0</v>
      </c>
      <c r="C1526" s="26" t="s">
        <v>5592</v>
      </c>
      <c r="D1526" s="125">
        <v>0.4166666666666667</v>
      </c>
      <c r="E1526" s="125">
        <v>0.75</v>
      </c>
    </row>
    <row r="1527">
      <c r="A1527" s="26" t="s">
        <v>258</v>
      </c>
      <c r="B1527" s="124">
        <v>45941.0</v>
      </c>
      <c r="C1527" s="26" t="s">
        <v>5592</v>
      </c>
      <c r="D1527" s="125">
        <v>0.3333333333333333</v>
      </c>
      <c r="E1527" s="125">
        <v>0.6666666666666666</v>
      </c>
    </row>
    <row r="1528">
      <c r="A1528" s="26" t="s">
        <v>261</v>
      </c>
      <c r="B1528" s="124">
        <v>45941.0</v>
      </c>
      <c r="C1528" s="26" t="s">
        <v>5592</v>
      </c>
      <c r="D1528" s="125">
        <v>0.4166666666666667</v>
      </c>
      <c r="E1528" s="125">
        <v>0.75</v>
      </c>
    </row>
    <row r="1529">
      <c r="A1529" s="26" t="s">
        <v>265</v>
      </c>
      <c r="B1529" s="124">
        <v>45941.0</v>
      </c>
      <c r="C1529" s="26" t="s">
        <v>5592</v>
      </c>
      <c r="D1529" s="125">
        <v>0.3333333333333333</v>
      </c>
      <c r="E1529" s="125">
        <v>0.6666666666666666</v>
      </c>
    </row>
    <row r="1530">
      <c r="A1530" s="26" t="s">
        <v>269</v>
      </c>
      <c r="B1530" s="124">
        <v>45941.0</v>
      </c>
      <c r="C1530" s="26" t="s">
        <v>5592</v>
      </c>
      <c r="D1530" s="125">
        <v>0.3333333333333333</v>
      </c>
      <c r="E1530" s="125">
        <v>0.6666666666666666</v>
      </c>
    </row>
    <row r="1531">
      <c r="A1531" s="26" t="s">
        <v>276</v>
      </c>
      <c r="B1531" s="124">
        <v>45941.0</v>
      </c>
      <c r="C1531" s="26" t="s">
        <v>5592</v>
      </c>
      <c r="D1531" s="125">
        <v>0.3333333333333333</v>
      </c>
      <c r="E1531" s="125">
        <v>0.6666666666666666</v>
      </c>
    </row>
    <row r="1532">
      <c r="A1532" s="26" t="s">
        <v>280</v>
      </c>
      <c r="B1532" s="124">
        <v>45941.0</v>
      </c>
      <c r="C1532" s="26" t="s">
        <v>5592</v>
      </c>
      <c r="D1532" s="125">
        <v>0.4166666666666667</v>
      </c>
      <c r="E1532" s="125">
        <v>0.75</v>
      </c>
    </row>
    <row r="1533">
      <c r="A1533" s="26" t="s">
        <v>243</v>
      </c>
      <c r="B1533" s="124">
        <v>45940.0</v>
      </c>
      <c r="C1533" s="26" t="s">
        <v>5592</v>
      </c>
      <c r="D1533" s="125">
        <v>0.3333333333333333</v>
      </c>
      <c r="E1533" s="125">
        <v>0.6666666666666666</v>
      </c>
    </row>
    <row r="1534">
      <c r="A1534" s="26" t="s">
        <v>248</v>
      </c>
      <c r="B1534" s="124">
        <v>45940.0</v>
      </c>
      <c r="C1534" s="26" t="s">
        <v>5592</v>
      </c>
      <c r="D1534" s="125">
        <v>0.3333333333333333</v>
      </c>
      <c r="E1534" s="125">
        <v>0.6666666666666666</v>
      </c>
    </row>
    <row r="1535">
      <c r="A1535" s="26" t="s">
        <v>253</v>
      </c>
      <c r="B1535" s="124">
        <v>45940.0</v>
      </c>
      <c r="C1535" s="26" t="s">
        <v>5592</v>
      </c>
      <c r="D1535" s="125">
        <v>0.4166666666666667</v>
      </c>
      <c r="E1535" s="125">
        <v>0.75</v>
      </c>
    </row>
    <row r="1536">
      <c r="A1536" s="26" t="s">
        <v>258</v>
      </c>
      <c r="B1536" s="124">
        <v>45940.0</v>
      </c>
      <c r="C1536" s="26" t="s">
        <v>5592</v>
      </c>
      <c r="D1536" s="125">
        <v>0.3333333333333333</v>
      </c>
      <c r="E1536" s="125">
        <v>0.6666666666666666</v>
      </c>
    </row>
    <row r="1537">
      <c r="A1537" s="26" t="s">
        <v>261</v>
      </c>
      <c r="B1537" s="124">
        <v>45940.0</v>
      </c>
      <c r="C1537" s="26" t="s">
        <v>5592</v>
      </c>
      <c r="D1537" s="125">
        <v>0.4166666666666667</v>
      </c>
      <c r="E1537" s="125">
        <v>0.75</v>
      </c>
    </row>
    <row r="1538">
      <c r="A1538" s="26" t="s">
        <v>265</v>
      </c>
      <c r="B1538" s="124">
        <v>45940.0</v>
      </c>
      <c r="C1538" s="26" t="s">
        <v>5592</v>
      </c>
      <c r="D1538" s="125">
        <v>0.3333333333333333</v>
      </c>
      <c r="E1538" s="125">
        <v>0.6666666666666666</v>
      </c>
    </row>
    <row r="1539">
      <c r="A1539" s="26" t="s">
        <v>269</v>
      </c>
      <c r="B1539" s="124">
        <v>45940.0</v>
      </c>
      <c r="C1539" s="26" t="s">
        <v>5592</v>
      </c>
      <c r="D1539" s="125">
        <v>0.3333333333333333</v>
      </c>
      <c r="E1539" s="125">
        <v>0.6666666666666666</v>
      </c>
    </row>
    <row r="1540">
      <c r="A1540" s="26" t="s">
        <v>276</v>
      </c>
      <c r="B1540" s="124">
        <v>45940.0</v>
      </c>
      <c r="C1540" s="26" t="s">
        <v>5592</v>
      </c>
      <c r="D1540" s="125">
        <v>0.3333333333333333</v>
      </c>
      <c r="E1540" s="125">
        <v>0.6666666666666666</v>
      </c>
    </row>
    <row r="1541">
      <c r="A1541" s="26" t="s">
        <v>280</v>
      </c>
      <c r="B1541" s="124">
        <v>45940.0</v>
      </c>
      <c r="C1541" s="26" t="s">
        <v>5592</v>
      </c>
      <c r="D1541" s="125">
        <v>0.4166666666666667</v>
      </c>
      <c r="E1541" s="125">
        <v>0.75</v>
      </c>
    </row>
    <row r="1542">
      <c r="A1542" s="26" t="s">
        <v>243</v>
      </c>
      <c r="B1542" s="124">
        <v>45939.0</v>
      </c>
      <c r="C1542" s="26" t="s">
        <v>5592</v>
      </c>
      <c r="D1542" s="125">
        <v>0.3333333333333333</v>
      </c>
      <c r="E1542" s="125">
        <v>0.6666666666666666</v>
      </c>
    </row>
    <row r="1543">
      <c r="A1543" s="26" t="s">
        <v>248</v>
      </c>
      <c r="B1543" s="124">
        <v>45939.0</v>
      </c>
      <c r="C1543" s="26" t="s">
        <v>5592</v>
      </c>
      <c r="D1543" s="125">
        <v>0.3333333333333333</v>
      </c>
      <c r="E1543" s="125">
        <v>0.6666666666666666</v>
      </c>
    </row>
    <row r="1544">
      <c r="A1544" s="26" t="s">
        <v>253</v>
      </c>
      <c r="B1544" s="124">
        <v>45939.0</v>
      </c>
      <c r="C1544" s="26" t="s">
        <v>5592</v>
      </c>
      <c r="D1544" s="125">
        <v>0.4166666666666667</v>
      </c>
      <c r="E1544" s="125">
        <v>0.75</v>
      </c>
    </row>
    <row r="1545">
      <c r="A1545" s="26" t="s">
        <v>258</v>
      </c>
      <c r="B1545" s="124">
        <v>45939.0</v>
      </c>
      <c r="C1545" s="26" t="s">
        <v>5592</v>
      </c>
      <c r="D1545" s="125">
        <v>0.3333333333333333</v>
      </c>
      <c r="E1545" s="125">
        <v>0.6666666666666666</v>
      </c>
    </row>
    <row r="1546">
      <c r="A1546" s="26" t="s">
        <v>261</v>
      </c>
      <c r="B1546" s="124">
        <v>45939.0</v>
      </c>
      <c r="C1546" s="26" t="s">
        <v>5592</v>
      </c>
      <c r="D1546" s="125">
        <v>0.4166666666666667</v>
      </c>
      <c r="E1546" s="125">
        <v>0.75</v>
      </c>
    </row>
    <row r="1547">
      <c r="A1547" s="26" t="s">
        <v>265</v>
      </c>
      <c r="B1547" s="124">
        <v>45939.0</v>
      </c>
      <c r="C1547" s="26" t="s">
        <v>5592</v>
      </c>
      <c r="D1547" s="125">
        <v>0.3333333333333333</v>
      </c>
      <c r="E1547" s="125">
        <v>0.6666666666666666</v>
      </c>
    </row>
    <row r="1548">
      <c r="A1548" s="26" t="s">
        <v>269</v>
      </c>
      <c r="B1548" s="124">
        <v>45939.0</v>
      </c>
      <c r="C1548" s="26" t="s">
        <v>5592</v>
      </c>
      <c r="D1548" s="125">
        <v>0.3333333333333333</v>
      </c>
      <c r="E1548" s="125">
        <v>0.6666666666666666</v>
      </c>
    </row>
    <row r="1549">
      <c r="A1549" s="26" t="s">
        <v>276</v>
      </c>
      <c r="B1549" s="124">
        <v>45939.0</v>
      </c>
      <c r="C1549" s="26" t="s">
        <v>5592</v>
      </c>
      <c r="D1549" s="125">
        <v>0.3333333333333333</v>
      </c>
      <c r="E1549" s="125">
        <v>0.6666666666666666</v>
      </c>
    </row>
    <row r="1550">
      <c r="A1550" s="26" t="s">
        <v>280</v>
      </c>
      <c r="B1550" s="124">
        <v>45939.0</v>
      </c>
      <c r="C1550" s="26" t="s">
        <v>5592</v>
      </c>
      <c r="D1550" s="125">
        <v>0.4166666666666667</v>
      </c>
      <c r="E1550" s="125">
        <v>0.75</v>
      </c>
    </row>
    <row r="1551">
      <c r="A1551" s="26" t="s">
        <v>243</v>
      </c>
      <c r="B1551" s="124">
        <v>45938.0</v>
      </c>
      <c r="C1551" s="26" t="s">
        <v>5592</v>
      </c>
      <c r="D1551" s="125">
        <v>0.3333333333333333</v>
      </c>
      <c r="E1551" s="125">
        <v>0.6666666666666666</v>
      </c>
    </row>
    <row r="1552">
      <c r="A1552" s="26" t="s">
        <v>248</v>
      </c>
      <c r="B1552" s="124">
        <v>45938.0</v>
      </c>
      <c r="C1552" s="26" t="s">
        <v>5592</v>
      </c>
      <c r="D1552" s="125">
        <v>0.3333333333333333</v>
      </c>
      <c r="E1552" s="125">
        <v>0.6666666666666666</v>
      </c>
    </row>
    <row r="1553">
      <c r="A1553" s="26" t="s">
        <v>253</v>
      </c>
      <c r="B1553" s="124">
        <v>45938.0</v>
      </c>
      <c r="C1553" s="26" t="s">
        <v>5592</v>
      </c>
      <c r="D1553" s="125">
        <v>0.4166666666666667</v>
      </c>
      <c r="E1553" s="125">
        <v>0.75</v>
      </c>
    </row>
    <row r="1554">
      <c r="A1554" s="26" t="s">
        <v>258</v>
      </c>
      <c r="B1554" s="124">
        <v>45938.0</v>
      </c>
      <c r="C1554" s="26" t="s">
        <v>5592</v>
      </c>
      <c r="D1554" s="125">
        <v>0.3333333333333333</v>
      </c>
      <c r="E1554" s="125">
        <v>0.6666666666666666</v>
      </c>
    </row>
    <row r="1555">
      <c r="A1555" s="26" t="s">
        <v>261</v>
      </c>
      <c r="B1555" s="124">
        <v>45938.0</v>
      </c>
      <c r="C1555" s="26" t="s">
        <v>5592</v>
      </c>
      <c r="D1555" s="125">
        <v>0.4166666666666667</v>
      </c>
      <c r="E1555" s="125">
        <v>0.75</v>
      </c>
    </row>
    <row r="1556">
      <c r="A1556" s="26" t="s">
        <v>265</v>
      </c>
      <c r="B1556" s="124">
        <v>45938.0</v>
      </c>
      <c r="C1556" s="26" t="s">
        <v>5592</v>
      </c>
      <c r="D1556" s="125">
        <v>0.3333333333333333</v>
      </c>
      <c r="E1556" s="125">
        <v>0.6666666666666666</v>
      </c>
    </row>
    <row r="1557">
      <c r="A1557" s="26" t="s">
        <v>269</v>
      </c>
      <c r="B1557" s="124">
        <v>45938.0</v>
      </c>
      <c r="C1557" s="26" t="s">
        <v>5592</v>
      </c>
      <c r="D1557" s="125">
        <v>0.3333333333333333</v>
      </c>
      <c r="E1557" s="125">
        <v>0.6666666666666666</v>
      </c>
    </row>
    <row r="1558">
      <c r="A1558" s="26" t="s">
        <v>276</v>
      </c>
      <c r="B1558" s="124">
        <v>45938.0</v>
      </c>
      <c r="C1558" s="26" t="s">
        <v>5592</v>
      </c>
      <c r="D1558" s="125">
        <v>0.3333333333333333</v>
      </c>
      <c r="E1558" s="125">
        <v>0.6666666666666666</v>
      </c>
    </row>
    <row r="1559">
      <c r="A1559" s="26" t="s">
        <v>280</v>
      </c>
      <c r="B1559" s="124">
        <v>45938.0</v>
      </c>
      <c r="C1559" s="26" t="s">
        <v>5592</v>
      </c>
      <c r="D1559" s="125">
        <v>0.4166666666666667</v>
      </c>
      <c r="E1559" s="125">
        <v>0.75</v>
      </c>
    </row>
    <row r="1560">
      <c r="A1560" s="26" t="s">
        <v>243</v>
      </c>
      <c r="B1560" s="124">
        <v>45937.0</v>
      </c>
      <c r="C1560" s="26" t="s">
        <v>5592</v>
      </c>
      <c r="D1560" s="125">
        <v>0.3333333333333333</v>
      </c>
      <c r="E1560" s="125">
        <v>0.6666666666666666</v>
      </c>
    </row>
    <row r="1561">
      <c r="A1561" s="26" t="s">
        <v>248</v>
      </c>
      <c r="B1561" s="124">
        <v>45937.0</v>
      </c>
      <c r="C1561" s="26" t="s">
        <v>5592</v>
      </c>
      <c r="D1561" s="125">
        <v>0.3333333333333333</v>
      </c>
      <c r="E1561" s="125">
        <v>0.6666666666666666</v>
      </c>
    </row>
    <row r="1562">
      <c r="A1562" s="26" t="s">
        <v>253</v>
      </c>
      <c r="B1562" s="124">
        <v>45937.0</v>
      </c>
      <c r="C1562" s="26" t="s">
        <v>5592</v>
      </c>
      <c r="D1562" s="125">
        <v>0.4166666666666667</v>
      </c>
      <c r="E1562" s="125">
        <v>0.75</v>
      </c>
    </row>
    <row r="1563">
      <c r="A1563" s="26" t="s">
        <v>258</v>
      </c>
      <c r="B1563" s="124">
        <v>45937.0</v>
      </c>
      <c r="C1563" s="26" t="s">
        <v>5592</v>
      </c>
      <c r="D1563" s="125">
        <v>0.3333333333333333</v>
      </c>
      <c r="E1563" s="125">
        <v>0.6666666666666666</v>
      </c>
    </row>
    <row r="1564">
      <c r="A1564" s="26" t="s">
        <v>261</v>
      </c>
      <c r="B1564" s="124">
        <v>45937.0</v>
      </c>
      <c r="C1564" s="26" t="s">
        <v>5592</v>
      </c>
      <c r="D1564" s="125">
        <v>0.4166666666666667</v>
      </c>
      <c r="E1564" s="125">
        <v>0.75</v>
      </c>
    </row>
    <row r="1565">
      <c r="A1565" s="26" t="s">
        <v>265</v>
      </c>
      <c r="B1565" s="124">
        <v>45937.0</v>
      </c>
      <c r="C1565" s="26" t="s">
        <v>5592</v>
      </c>
      <c r="D1565" s="125">
        <v>0.3333333333333333</v>
      </c>
      <c r="E1565" s="125">
        <v>0.6666666666666666</v>
      </c>
    </row>
    <row r="1566">
      <c r="A1566" s="26" t="s">
        <v>269</v>
      </c>
      <c r="B1566" s="124">
        <v>45937.0</v>
      </c>
      <c r="C1566" s="26" t="s">
        <v>5592</v>
      </c>
      <c r="D1566" s="125">
        <v>0.3333333333333333</v>
      </c>
      <c r="E1566" s="125">
        <v>0.6666666666666666</v>
      </c>
    </row>
    <row r="1567">
      <c r="A1567" s="26" t="s">
        <v>276</v>
      </c>
      <c r="B1567" s="124">
        <v>45937.0</v>
      </c>
      <c r="C1567" s="26" t="s">
        <v>5592</v>
      </c>
      <c r="D1567" s="125">
        <v>0.3333333333333333</v>
      </c>
      <c r="E1567" s="125">
        <v>0.6666666666666666</v>
      </c>
    </row>
    <row r="1568">
      <c r="A1568" s="26" t="s">
        <v>280</v>
      </c>
      <c r="B1568" s="124">
        <v>45937.0</v>
      </c>
      <c r="C1568" s="26" t="s">
        <v>5592</v>
      </c>
      <c r="D1568" s="125">
        <v>0.4166666666666667</v>
      </c>
      <c r="E1568" s="125">
        <v>0.75</v>
      </c>
    </row>
    <row r="1569">
      <c r="A1569" s="26" t="s">
        <v>243</v>
      </c>
      <c r="B1569" s="124">
        <v>45936.0</v>
      </c>
      <c r="C1569" s="26" t="s">
        <v>5592</v>
      </c>
      <c r="D1569" s="125">
        <v>0.3333333333333333</v>
      </c>
      <c r="E1569" s="125">
        <v>0.6666666666666666</v>
      </c>
    </row>
    <row r="1570">
      <c r="A1570" s="26" t="s">
        <v>248</v>
      </c>
      <c r="B1570" s="124">
        <v>45936.0</v>
      </c>
      <c r="C1570" s="26" t="s">
        <v>5592</v>
      </c>
      <c r="D1570" s="125">
        <v>0.3333333333333333</v>
      </c>
      <c r="E1570" s="125">
        <v>0.6666666666666666</v>
      </c>
    </row>
    <row r="1571">
      <c r="A1571" s="26" t="s">
        <v>253</v>
      </c>
      <c r="B1571" s="124">
        <v>45936.0</v>
      </c>
      <c r="C1571" s="26" t="s">
        <v>5592</v>
      </c>
      <c r="D1571" s="125">
        <v>0.4166666666666667</v>
      </c>
      <c r="E1571" s="125">
        <v>0.75</v>
      </c>
    </row>
    <row r="1572">
      <c r="A1572" s="26" t="s">
        <v>258</v>
      </c>
      <c r="B1572" s="124">
        <v>45936.0</v>
      </c>
      <c r="C1572" s="26" t="s">
        <v>5592</v>
      </c>
      <c r="D1572" s="125">
        <v>0.3333333333333333</v>
      </c>
      <c r="E1572" s="125">
        <v>0.6666666666666666</v>
      </c>
    </row>
    <row r="1573">
      <c r="A1573" s="26" t="s">
        <v>261</v>
      </c>
      <c r="B1573" s="124">
        <v>45936.0</v>
      </c>
      <c r="C1573" s="26" t="s">
        <v>5592</v>
      </c>
      <c r="D1573" s="125">
        <v>0.4166666666666667</v>
      </c>
      <c r="E1573" s="125">
        <v>0.75</v>
      </c>
    </row>
    <row r="1574">
      <c r="A1574" s="26" t="s">
        <v>265</v>
      </c>
      <c r="B1574" s="124">
        <v>45936.0</v>
      </c>
      <c r="C1574" s="26" t="s">
        <v>5592</v>
      </c>
      <c r="D1574" s="125">
        <v>0.3333333333333333</v>
      </c>
      <c r="E1574" s="125">
        <v>0.6666666666666666</v>
      </c>
    </row>
    <row r="1575">
      <c r="A1575" s="26" t="s">
        <v>269</v>
      </c>
      <c r="B1575" s="124">
        <v>45936.0</v>
      </c>
      <c r="C1575" s="26" t="s">
        <v>5592</v>
      </c>
      <c r="D1575" s="125">
        <v>0.3333333333333333</v>
      </c>
      <c r="E1575" s="125">
        <v>0.6666666666666666</v>
      </c>
    </row>
    <row r="1576">
      <c r="A1576" s="26" t="s">
        <v>276</v>
      </c>
      <c r="B1576" s="124">
        <v>45936.0</v>
      </c>
      <c r="C1576" s="26" t="s">
        <v>5592</v>
      </c>
      <c r="D1576" s="125">
        <v>0.3333333333333333</v>
      </c>
      <c r="E1576" s="125">
        <v>0.6666666666666666</v>
      </c>
    </row>
    <row r="1577">
      <c r="A1577" s="26" t="s">
        <v>280</v>
      </c>
      <c r="B1577" s="124">
        <v>45936.0</v>
      </c>
      <c r="C1577" s="26" t="s">
        <v>5592</v>
      </c>
      <c r="D1577" s="125">
        <v>0.4166666666666667</v>
      </c>
      <c r="E1577" s="125">
        <v>0.75</v>
      </c>
    </row>
    <row r="1578">
      <c r="A1578" s="26" t="s">
        <v>243</v>
      </c>
      <c r="B1578" s="124">
        <v>45934.0</v>
      </c>
      <c r="C1578" s="26" t="s">
        <v>5592</v>
      </c>
      <c r="D1578" s="125">
        <v>0.3333333333333333</v>
      </c>
      <c r="E1578" s="125">
        <v>0.6666666666666666</v>
      </c>
    </row>
    <row r="1579">
      <c r="A1579" s="26" t="s">
        <v>248</v>
      </c>
      <c r="B1579" s="124">
        <v>45934.0</v>
      </c>
      <c r="C1579" s="26" t="s">
        <v>5592</v>
      </c>
      <c r="D1579" s="125">
        <v>0.3333333333333333</v>
      </c>
      <c r="E1579" s="125">
        <v>0.6666666666666666</v>
      </c>
    </row>
    <row r="1580">
      <c r="A1580" s="26" t="s">
        <v>253</v>
      </c>
      <c r="B1580" s="124">
        <v>45934.0</v>
      </c>
      <c r="C1580" s="26" t="s">
        <v>5592</v>
      </c>
      <c r="D1580" s="125">
        <v>0.4166666666666667</v>
      </c>
      <c r="E1580" s="125">
        <v>0.75</v>
      </c>
    </row>
    <row r="1581">
      <c r="A1581" s="26" t="s">
        <v>258</v>
      </c>
      <c r="B1581" s="124">
        <v>45934.0</v>
      </c>
      <c r="C1581" s="26" t="s">
        <v>5592</v>
      </c>
      <c r="D1581" s="125">
        <v>0.3333333333333333</v>
      </c>
      <c r="E1581" s="125">
        <v>0.6666666666666666</v>
      </c>
    </row>
    <row r="1582">
      <c r="A1582" s="26" t="s">
        <v>261</v>
      </c>
      <c r="B1582" s="124">
        <v>45934.0</v>
      </c>
      <c r="C1582" s="26" t="s">
        <v>5592</v>
      </c>
      <c r="D1582" s="125">
        <v>0.4166666666666667</v>
      </c>
      <c r="E1582" s="125">
        <v>0.75</v>
      </c>
    </row>
    <row r="1583">
      <c r="A1583" s="26" t="s">
        <v>265</v>
      </c>
      <c r="B1583" s="124">
        <v>45934.0</v>
      </c>
      <c r="C1583" s="26" t="s">
        <v>5592</v>
      </c>
      <c r="D1583" s="125">
        <v>0.3333333333333333</v>
      </c>
      <c r="E1583" s="125">
        <v>0.6666666666666666</v>
      </c>
    </row>
    <row r="1584">
      <c r="A1584" s="26" t="s">
        <v>269</v>
      </c>
      <c r="B1584" s="124">
        <v>45934.0</v>
      </c>
      <c r="C1584" s="26" t="s">
        <v>5592</v>
      </c>
      <c r="D1584" s="125">
        <v>0.3333333333333333</v>
      </c>
      <c r="E1584" s="125">
        <v>0.6666666666666666</v>
      </c>
    </row>
    <row r="1585">
      <c r="A1585" s="26" t="s">
        <v>276</v>
      </c>
      <c r="B1585" s="124">
        <v>45934.0</v>
      </c>
      <c r="C1585" s="26" t="s">
        <v>5592</v>
      </c>
      <c r="D1585" s="125">
        <v>0.3333333333333333</v>
      </c>
      <c r="E1585" s="125">
        <v>0.6666666666666666</v>
      </c>
    </row>
    <row r="1586">
      <c r="A1586" s="26" t="s">
        <v>280</v>
      </c>
      <c r="B1586" s="124">
        <v>45934.0</v>
      </c>
      <c r="C1586" s="26" t="s">
        <v>5592</v>
      </c>
      <c r="D1586" s="125">
        <v>0.4166666666666667</v>
      </c>
      <c r="E1586" s="125">
        <v>0.75</v>
      </c>
    </row>
    <row r="1587">
      <c r="A1587" s="26" t="s">
        <v>243</v>
      </c>
      <c r="B1587" s="124">
        <v>45933.0</v>
      </c>
      <c r="C1587" s="26" t="s">
        <v>5592</v>
      </c>
      <c r="D1587" s="125">
        <v>0.3333333333333333</v>
      </c>
      <c r="E1587" s="125">
        <v>0.6666666666666666</v>
      </c>
    </row>
    <row r="1588">
      <c r="A1588" s="26" t="s">
        <v>248</v>
      </c>
      <c r="B1588" s="124">
        <v>45933.0</v>
      </c>
      <c r="C1588" s="26" t="s">
        <v>5592</v>
      </c>
      <c r="D1588" s="125">
        <v>0.3333333333333333</v>
      </c>
      <c r="E1588" s="125">
        <v>0.6666666666666666</v>
      </c>
    </row>
    <row r="1589">
      <c r="A1589" s="26" t="s">
        <v>253</v>
      </c>
      <c r="B1589" s="124">
        <v>45933.0</v>
      </c>
      <c r="C1589" s="26" t="s">
        <v>5592</v>
      </c>
      <c r="D1589" s="125">
        <v>0.4166666666666667</v>
      </c>
      <c r="E1589" s="125">
        <v>0.75</v>
      </c>
    </row>
    <row r="1590">
      <c r="A1590" s="26" t="s">
        <v>258</v>
      </c>
      <c r="B1590" s="124">
        <v>45933.0</v>
      </c>
      <c r="C1590" s="26" t="s">
        <v>5592</v>
      </c>
      <c r="D1590" s="125">
        <v>0.3333333333333333</v>
      </c>
      <c r="E1590" s="125">
        <v>0.6666666666666666</v>
      </c>
    </row>
    <row r="1591">
      <c r="A1591" s="26" t="s">
        <v>261</v>
      </c>
      <c r="B1591" s="124">
        <v>45933.0</v>
      </c>
      <c r="C1591" s="26" t="s">
        <v>5592</v>
      </c>
      <c r="D1591" s="125">
        <v>0.4166666666666667</v>
      </c>
      <c r="E1591" s="125">
        <v>0.75</v>
      </c>
    </row>
    <row r="1592">
      <c r="A1592" s="26" t="s">
        <v>265</v>
      </c>
      <c r="B1592" s="124">
        <v>45933.0</v>
      </c>
      <c r="C1592" s="26" t="s">
        <v>5592</v>
      </c>
      <c r="D1592" s="125">
        <v>0.3333333333333333</v>
      </c>
      <c r="E1592" s="125">
        <v>0.6666666666666666</v>
      </c>
    </row>
    <row r="1593">
      <c r="A1593" s="26" t="s">
        <v>269</v>
      </c>
      <c r="B1593" s="124">
        <v>45933.0</v>
      </c>
      <c r="C1593" s="26" t="s">
        <v>5592</v>
      </c>
      <c r="D1593" s="125">
        <v>0.3333333333333333</v>
      </c>
      <c r="E1593" s="125">
        <v>0.6666666666666666</v>
      </c>
    </row>
    <row r="1594">
      <c r="A1594" s="26" t="s">
        <v>276</v>
      </c>
      <c r="B1594" s="124">
        <v>45933.0</v>
      </c>
      <c r="C1594" s="26" t="s">
        <v>5592</v>
      </c>
      <c r="D1594" s="125">
        <v>0.3333333333333333</v>
      </c>
      <c r="E1594" s="125">
        <v>0.6666666666666666</v>
      </c>
    </row>
    <row r="1595">
      <c r="A1595" s="26" t="s">
        <v>280</v>
      </c>
      <c r="B1595" s="124">
        <v>45933.0</v>
      </c>
      <c r="C1595" s="26" t="s">
        <v>5592</v>
      </c>
      <c r="D1595" s="125">
        <v>0.4166666666666667</v>
      </c>
      <c r="E1595" s="125">
        <v>0.75</v>
      </c>
    </row>
    <row r="1596">
      <c r="A1596" s="26" t="s">
        <v>243</v>
      </c>
      <c r="B1596" s="124">
        <v>45932.0</v>
      </c>
      <c r="C1596" s="26" t="s">
        <v>5592</v>
      </c>
      <c r="D1596" s="125">
        <v>0.3333333333333333</v>
      </c>
      <c r="E1596" s="125">
        <v>0.6666666666666666</v>
      </c>
    </row>
    <row r="1597">
      <c r="A1597" s="26" t="s">
        <v>248</v>
      </c>
      <c r="B1597" s="124">
        <v>45932.0</v>
      </c>
      <c r="C1597" s="26" t="s">
        <v>5592</v>
      </c>
      <c r="D1597" s="125">
        <v>0.3333333333333333</v>
      </c>
      <c r="E1597" s="125">
        <v>0.6666666666666666</v>
      </c>
    </row>
    <row r="1598">
      <c r="A1598" s="26" t="s">
        <v>253</v>
      </c>
      <c r="B1598" s="124">
        <v>45932.0</v>
      </c>
      <c r="C1598" s="26" t="s">
        <v>5592</v>
      </c>
      <c r="D1598" s="125">
        <v>0.4166666666666667</v>
      </c>
      <c r="E1598" s="125">
        <v>0.75</v>
      </c>
    </row>
    <row r="1599">
      <c r="A1599" s="26" t="s">
        <v>258</v>
      </c>
      <c r="B1599" s="124">
        <v>45932.0</v>
      </c>
      <c r="C1599" s="26" t="s">
        <v>5592</v>
      </c>
      <c r="D1599" s="125">
        <v>0.3333333333333333</v>
      </c>
      <c r="E1599" s="125">
        <v>0.6666666666666666</v>
      </c>
    </row>
    <row r="1600">
      <c r="A1600" s="26" t="s">
        <v>261</v>
      </c>
      <c r="B1600" s="124">
        <v>45932.0</v>
      </c>
      <c r="C1600" s="26" t="s">
        <v>5592</v>
      </c>
      <c r="D1600" s="125">
        <v>0.4166666666666667</v>
      </c>
      <c r="E1600" s="125">
        <v>0.75</v>
      </c>
    </row>
    <row r="1601">
      <c r="A1601" s="26" t="s">
        <v>265</v>
      </c>
      <c r="B1601" s="124">
        <v>45932.0</v>
      </c>
      <c r="C1601" s="26" t="s">
        <v>5592</v>
      </c>
      <c r="D1601" s="125">
        <v>0.3333333333333333</v>
      </c>
      <c r="E1601" s="125">
        <v>0.6666666666666666</v>
      </c>
    </row>
    <row r="1602">
      <c r="A1602" s="26" t="s">
        <v>269</v>
      </c>
      <c r="B1602" s="124">
        <v>45932.0</v>
      </c>
      <c r="C1602" s="26" t="s">
        <v>5592</v>
      </c>
      <c r="D1602" s="125">
        <v>0.3333333333333333</v>
      </c>
      <c r="E1602" s="125">
        <v>0.6666666666666666</v>
      </c>
    </row>
    <row r="1603">
      <c r="A1603" s="26" t="s">
        <v>276</v>
      </c>
      <c r="B1603" s="124">
        <v>45932.0</v>
      </c>
      <c r="C1603" s="26" t="s">
        <v>5592</v>
      </c>
      <c r="D1603" s="125">
        <v>0.3333333333333333</v>
      </c>
      <c r="E1603" s="125">
        <v>0.6666666666666666</v>
      </c>
    </row>
    <row r="1604">
      <c r="A1604" s="26" t="s">
        <v>280</v>
      </c>
      <c r="B1604" s="124">
        <v>45932.0</v>
      </c>
      <c r="C1604" s="26" t="s">
        <v>5592</v>
      </c>
      <c r="D1604" s="125">
        <v>0.4166666666666667</v>
      </c>
      <c r="E1604" s="125">
        <v>0.75</v>
      </c>
    </row>
    <row r="1605">
      <c r="A1605" s="26" t="s">
        <v>243</v>
      </c>
      <c r="B1605" s="124">
        <v>45931.0</v>
      </c>
      <c r="C1605" s="26" t="s">
        <v>5592</v>
      </c>
      <c r="D1605" s="125">
        <v>0.3333333333333333</v>
      </c>
      <c r="E1605" s="125">
        <v>0.6666666666666666</v>
      </c>
    </row>
    <row r="1606">
      <c r="A1606" s="26" t="s">
        <v>248</v>
      </c>
      <c r="B1606" s="124">
        <v>45931.0</v>
      </c>
      <c r="C1606" s="26" t="s">
        <v>5592</v>
      </c>
      <c r="D1606" s="125">
        <v>0.3333333333333333</v>
      </c>
      <c r="E1606" s="125">
        <v>0.6666666666666666</v>
      </c>
    </row>
    <row r="1607">
      <c r="A1607" s="26" t="s">
        <v>253</v>
      </c>
      <c r="B1607" s="124">
        <v>45931.0</v>
      </c>
      <c r="C1607" s="26" t="s">
        <v>5592</v>
      </c>
      <c r="D1607" s="125">
        <v>0.4166666666666667</v>
      </c>
      <c r="E1607" s="125">
        <v>0.75</v>
      </c>
    </row>
    <row r="1608">
      <c r="A1608" s="26" t="s">
        <v>258</v>
      </c>
      <c r="B1608" s="124">
        <v>45931.0</v>
      </c>
      <c r="C1608" s="26" t="s">
        <v>5592</v>
      </c>
      <c r="D1608" s="125">
        <v>0.3333333333333333</v>
      </c>
      <c r="E1608" s="125">
        <v>0.6666666666666666</v>
      </c>
    </row>
    <row r="1609">
      <c r="A1609" s="26" t="s">
        <v>261</v>
      </c>
      <c r="B1609" s="124">
        <v>45931.0</v>
      </c>
      <c r="C1609" s="26" t="s">
        <v>5592</v>
      </c>
      <c r="D1609" s="125">
        <v>0.4166666666666667</v>
      </c>
      <c r="E1609" s="125">
        <v>0.75</v>
      </c>
    </row>
    <row r="1610">
      <c r="A1610" s="26" t="s">
        <v>265</v>
      </c>
      <c r="B1610" s="124">
        <v>45931.0</v>
      </c>
      <c r="C1610" s="26" t="s">
        <v>5592</v>
      </c>
      <c r="D1610" s="125">
        <v>0.3333333333333333</v>
      </c>
      <c r="E1610" s="125">
        <v>0.6666666666666666</v>
      </c>
    </row>
    <row r="1611">
      <c r="A1611" s="26" t="s">
        <v>269</v>
      </c>
      <c r="B1611" s="124">
        <v>45931.0</v>
      </c>
      <c r="C1611" s="26" t="s">
        <v>5592</v>
      </c>
      <c r="D1611" s="125">
        <v>0.3333333333333333</v>
      </c>
      <c r="E1611" s="125">
        <v>0.6666666666666666</v>
      </c>
    </row>
    <row r="1612">
      <c r="A1612" s="26" t="s">
        <v>276</v>
      </c>
      <c r="B1612" s="124">
        <v>45931.0</v>
      </c>
      <c r="C1612" s="26" t="s">
        <v>5592</v>
      </c>
      <c r="D1612" s="125">
        <v>0.3333333333333333</v>
      </c>
      <c r="E1612" s="125">
        <v>0.6666666666666666</v>
      </c>
    </row>
    <row r="1613">
      <c r="A1613" s="26" t="s">
        <v>280</v>
      </c>
      <c r="B1613" s="124">
        <v>45931.0</v>
      </c>
      <c r="C1613" s="26" t="s">
        <v>5592</v>
      </c>
      <c r="D1613" s="125">
        <v>0.4166666666666667</v>
      </c>
      <c r="E1613" s="125">
        <v>0.75</v>
      </c>
    </row>
    <row r="1614">
      <c r="A1614" s="26" t="s">
        <v>243</v>
      </c>
      <c r="B1614" s="124">
        <v>45930.0</v>
      </c>
      <c r="C1614" s="26" t="s">
        <v>5592</v>
      </c>
      <c r="D1614" s="125">
        <v>0.3333333333333333</v>
      </c>
      <c r="E1614" s="125">
        <v>0.6666666666666666</v>
      </c>
    </row>
    <row r="1615">
      <c r="A1615" s="26" t="s">
        <v>248</v>
      </c>
      <c r="B1615" s="124">
        <v>45930.0</v>
      </c>
      <c r="C1615" s="26" t="s">
        <v>5592</v>
      </c>
      <c r="D1615" s="125">
        <v>0.3333333333333333</v>
      </c>
      <c r="E1615" s="125">
        <v>0.6666666666666666</v>
      </c>
    </row>
    <row r="1616">
      <c r="A1616" s="26" t="s">
        <v>253</v>
      </c>
      <c r="B1616" s="124">
        <v>45930.0</v>
      </c>
      <c r="C1616" s="26" t="s">
        <v>5592</v>
      </c>
      <c r="D1616" s="125">
        <v>0.4166666666666667</v>
      </c>
      <c r="E1616" s="125">
        <v>0.75</v>
      </c>
    </row>
    <row r="1617">
      <c r="A1617" s="26" t="s">
        <v>258</v>
      </c>
      <c r="B1617" s="124">
        <v>45930.0</v>
      </c>
      <c r="C1617" s="26" t="s">
        <v>5592</v>
      </c>
      <c r="D1617" s="125">
        <v>0.3333333333333333</v>
      </c>
      <c r="E1617" s="125">
        <v>0.6666666666666666</v>
      </c>
    </row>
    <row r="1618">
      <c r="A1618" s="26" t="s">
        <v>261</v>
      </c>
      <c r="B1618" s="124">
        <v>45930.0</v>
      </c>
      <c r="C1618" s="26" t="s">
        <v>5592</v>
      </c>
      <c r="D1618" s="125">
        <v>0.4166666666666667</v>
      </c>
      <c r="E1618" s="125">
        <v>0.75</v>
      </c>
    </row>
    <row r="1619">
      <c r="A1619" s="26" t="s">
        <v>265</v>
      </c>
      <c r="B1619" s="124">
        <v>45930.0</v>
      </c>
      <c r="C1619" s="26" t="s">
        <v>5592</v>
      </c>
      <c r="D1619" s="125">
        <v>0.3333333333333333</v>
      </c>
      <c r="E1619" s="125">
        <v>0.6666666666666666</v>
      </c>
    </row>
    <row r="1620">
      <c r="A1620" s="26" t="s">
        <v>269</v>
      </c>
      <c r="B1620" s="124">
        <v>45930.0</v>
      </c>
      <c r="C1620" s="26" t="s">
        <v>5592</v>
      </c>
      <c r="D1620" s="125">
        <v>0.3333333333333333</v>
      </c>
      <c r="E1620" s="125">
        <v>0.6666666666666666</v>
      </c>
    </row>
    <row r="1621">
      <c r="A1621" s="26" t="s">
        <v>276</v>
      </c>
      <c r="B1621" s="124">
        <v>45930.0</v>
      </c>
      <c r="C1621" s="26" t="s">
        <v>5592</v>
      </c>
      <c r="D1621" s="125">
        <v>0.3333333333333333</v>
      </c>
      <c r="E1621" s="125">
        <v>0.6666666666666666</v>
      </c>
    </row>
    <row r="1622">
      <c r="A1622" s="26" t="s">
        <v>280</v>
      </c>
      <c r="B1622" s="124">
        <v>45930.0</v>
      </c>
      <c r="C1622" s="26" t="s">
        <v>5592</v>
      </c>
      <c r="D1622" s="125">
        <v>0.4166666666666667</v>
      </c>
      <c r="E1622" s="125">
        <v>0.75</v>
      </c>
    </row>
    <row r="1623">
      <c r="A1623" s="26" t="s">
        <v>243</v>
      </c>
      <c r="B1623" s="124">
        <v>45929.0</v>
      </c>
      <c r="C1623" s="26" t="s">
        <v>5592</v>
      </c>
      <c r="D1623" s="125">
        <v>0.3333333333333333</v>
      </c>
      <c r="E1623" s="125">
        <v>0.6666666666666666</v>
      </c>
    </row>
    <row r="1624">
      <c r="A1624" s="26" t="s">
        <v>248</v>
      </c>
      <c r="B1624" s="124">
        <v>45929.0</v>
      </c>
      <c r="C1624" s="26" t="s">
        <v>5592</v>
      </c>
      <c r="D1624" s="125">
        <v>0.3333333333333333</v>
      </c>
      <c r="E1624" s="125">
        <v>0.6666666666666666</v>
      </c>
    </row>
    <row r="1625">
      <c r="A1625" s="26" t="s">
        <v>253</v>
      </c>
      <c r="B1625" s="124">
        <v>45929.0</v>
      </c>
      <c r="C1625" s="26" t="s">
        <v>5592</v>
      </c>
      <c r="D1625" s="125">
        <v>0.4166666666666667</v>
      </c>
      <c r="E1625" s="125">
        <v>0.75</v>
      </c>
    </row>
    <row r="1626">
      <c r="A1626" s="26" t="s">
        <v>258</v>
      </c>
      <c r="B1626" s="124">
        <v>45929.0</v>
      </c>
      <c r="C1626" s="26" t="s">
        <v>5592</v>
      </c>
      <c r="D1626" s="125">
        <v>0.3333333333333333</v>
      </c>
      <c r="E1626" s="125">
        <v>0.6666666666666666</v>
      </c>
    </row>
    <row r="1627">
      <c r="A1627" s="26" t="s">
        <v>261</v>
      </c>
      <c r="B1627" s="124">
        <v>45929.0</v>
      </c>
      <c r="C1627" s="26" t="s">
        <v>5592</v>
      </c>
      <c r="D1627" s="125">
        <v>0.4166666666666667</v>
      </c>
      <c r="E1627" s="125">
        <v>0.75</v>
      </c>
    </row>
    <row r="1628">
      <c r="A1628" s="26" t="s">
        <v>265</v>
      </c>
      <c r="B1628" s="124">
        <v>45929.0</v>
      </c>
      <c r="C1628" s="26" t="s">
        <v>5592</v>
      </c>
      <c r="D1628" s="125">
        <v>0.3333333333333333</v>
      </c>
      <c r="E1628" s="125">
        <v>0.6666666666666666</v>
      </c>
    </row>
    <row r="1629">
      <c r="A1629" s="26" t="s">
        <v>269</v>
      </c>
      <c r="B1629" s="124">
        <v>45929.0</v>
      </c>
      <c r="C1629" s="26" t="s">
        <v>5592</v>
      </c>
      <c r="D1629" s="125">
        <v>0.3333333333333333</v>
      </c>
      <c r="E1629" s="125">
        <v>0.6666666666666666</v>
      </c>
    </row>
    <row r="1630">
      <c r="A1630" s="26" t="s">
        <v>276</v>
      </c>
      <c r="B1630" s="124">
        <v>45929.0</v>
      </c>
      <c r="C1630" s="26" t="s">
        <v>5592</v>
      </c>
      <c r="D1630" s="125">
        <v>0.3333333333333333</v>
      </c>
      <c r="E1630" s="125">
        <v>0.6666666666666666</v>
      </c>
    </row>
    <row r="1631">
      <c r="A1631" s="26" t="s">
        <v>280</v>
      </c>
      <c r="B1631" s="124">
        <v>45929.0</v>
      </c>
      <c r="C1631" s="26" t="s">
        <v>5592</v>
      </c>
      <c r="D1631" s="125">
        <v>0.4166666666666667</v>
      </c>
      <c r="E1631" s="125">
        <v>0.75</v>
      </c>
    </row>
    <row r="1632">
      <c r="A1632" s="26" t="s">
        <v>243</v>
      </c>
      <c r="B1632" s="124">
        <v>45927.0</v>
      </c>
      <c r="C1632" s="26" t="s">
        <v>5592</v>
      </c>
      <c r="D1632" s="125">
        <v>0.3333333333333333</v>
      </c>
      <c r="E1632" s="125">
        <v>0.6666666666666666</v>
      </c>
    </row>
    <row r="1633">
      <c r="A1633" s="26" t="s">
        <v>248</v>
      </c>
      <c r="B1633" s="124">
        <v>45927.0</v>
      </c>
      <c r="C1633" s="26" t="s">
        <v>5592</v>
      </c>
      <c r="D1633" s="125">
        <v>0.3333333333333333</v>
      </c>
      <c r="E1633" s="125">
        <v>0.6666666666666666</v>
      </c>
    </row>
    <row r="1634">
      <c r="A1634" s="26" t="s">
        <v>253</v>
      </c>
      <c r="B1634" s="124">
        <v>45927.0</v>
      </c>
      <c r="C1634" s="26" t="s">
        <v>5592</v>
      </c>
      <c r="D1634" s="125">
        <v>0.4166666666666667</v>
      </c>
      <c r="E1634" s="125">
        <v>0.75</v>
      </c>
    </row>
    <row r="1635">
      <c r="A1635" s="26" t="s">
        <v>258</v>
      </c>
      <c r="B1635" s="124">
        <v>45927.0</v>
      </c>
      <c r="C1635" s="26" t="s">
        <v>5592</v>
      </c>
      <c r="D1635" s="125">
        <v>0.3333333333333333</v>
      </c>
      <c r="E1635" s="125">
        <v>0.6666666666666666</v>
      </c>
    </row>
    <row r="1636">
      <c r="A1636" s="26" t="s">
        <v>261</v>
      </c>
      <c r="B1636" s="124">
        <v>45927.0</v>
      </c>
      <c r="C1636" s="26" t="s">
        <v>5592</v>
      </c>
      <c r="D1636" s="125">
        <v>0.4166666666666667</v>
      </c>
      <c r="E1636" s="125">
        <v>0.75</v>
      </c>
    </row>
    <row r="1637">
      <c r="A1637" s="26" t="s">
        <v>265</v>
      </c>
      <c r="B1637" s="124">
        <v>45927.0</v>
      </c>
      <c r="C1637" s="26" t="s">
        <v>5592</v>
      </c>
      <c r="D1637" s="125">
        <v>0.3333333333333333</v>
      </c>
      <c r="E1637" s="125">
        <v>0.6666666666666666</v>
      </c>
    </row>
    <row r="1638">
      <c r="A1638" s="26" t="s">
        <v>269</v>
      </c>
      <c r="B1638" s="124">
        <v>45927.0</v>
      </c>
      <c r="C1638" s="26" t="s">
        <v>5592</v>
      </c>
      <c r="D1638" s="125">
        <v>0.3333333333333333</v>
      </c>
      <c r="E1638" s="125">
        <v>0.6666666666666666</v>
      </c>
    </row>
    <row r="1639">
      <c r="A1639" s="26" t="s">
        <v>276</v>
      </c>
      <c r="B1639" s="124">
        <v>45927.0</v>
      </c>
      <c r="C1639" s="26" t="s">
        <v>5592</v>
      </c>
      <c r="D1639" s="125">
        <v>0.3333333333333333</v>
      </c>
      <c r="E1639" s="125">
        <v>0.6666666666666666</v>
      </c>
    </row>
    <row r="1640">
      <c r="A1640" s="26" t="s">
        <v>280</v>
      </c>
      <c r="B1640" s="124">
        <v>45927.0</v>
      </c>
      <c r="C1640" s="26" t="s">
        <v>5592</v>
      </c>
      <c r="D1640" s="125">
        <v>0.4166666666666667</v>
      </c>
      <c r="E1640" s="125">
        <v>0.75</v>
      </c>
    </row>
    <row r="1641">
      <c r="A1641" s="26" t="s">
        <v>243</v>
      </c>
      <c r="B1641" s="124">
        <v>45926.0</v>
      </c>
      <c r="C1641" s="26" t="s">
        <v>5592</v>
      </c>
      <c r="D1641" s="125">
        <v>0.3333333333333333</v>
      </c>
      <c r="E1641" s="125">
        <v>0.6666666666666666</v>
      </c>
    </row>
    <row r="1642">
      <c r="A1642" s="26" t="s">
        <v>248</v>
      </c>
      <c r="B1642" s="124">
        <v>45926.0</v>
      </c>
      <c r="C1642" s="26" t="s">
        <v>5592</v>
      </c>
      <c r="D1642" s="125">
        <v>0.3333333333333333</v>
      </c>
      <c r="E1642" s="125">
        <v>0.6666666666666666</v>
      </c>
    </row>
    <row r="1643">
      <c r="A1643" s="26" t="s">
        <v>253</v>
      </c>
      <c r="B1643" s="124">
        <v>45926.0</v>
      </c>
      <c r="C1643" s="26" t="s">
        <v>5592</v>
      </c>
      <c r="D1643" s="125">
        <v>0.4166666666666667</v>
      </c>
      <c r="E1643" s="125">
        <v>0.75</v>
      </c>
    </row>
    <row r="1644">
      <c r="A1644" s="26" t="s">
        <v>258</v>
      </c>
      <c r="B1644" s="124">
        <v>45926.0</v>
      </c>
      <c r="C1644" s="26" t="s">
        <v>5592</v>
      </c>
      <c r="D1644" s="125">
        <v>0.3333333333333333</v>
      </c>
      <c r="E1644" s="125">
        <v>0.6666666666666666</v>
      </c>
    </row>
    <row r="1645">
      <c r="A1645" s="26" t="s">
        <v>261</v>
      </c>
      <c r="B1645" s="124">
        <v>45926.0</v>
      </c>
      <c r="C1645" s="26" t="s">
        <v>5592</v>
      </c>
      <c r="D1645" s="125">
        <v>0.4166666666666667</v>
      </c>
      <c r="E1645" s="125">
        <v>0.75</v>
      </c>
    </row>
    <row r="1646">
      <c r="A1646" s="26" t="s">
        <v>265</v>
      </c>
      <c r="B1646" s="124">
        <v>45926.0</v>
      </c>
      <c r="C1646" s="26" t="s">
        <v>5592</v>
      </c>
      <c r="D1646" s="125">
        <v>0.3333333333333333</v>
      </c>
      <c r="E1646" s="125">
        <v>0.6666666666666666</v>
      </c>
    </row>
    <row r="1647">
      <c r="A1647" s="26" t="s">
        <v>269</v>
      </c>
      <c r="B1647" s="124">
        <v>45926.0</v>
      </c>
      <c r="C1647" s="26" t="s">
        <v>5592</v>
      </c>
      <c r="D1647" s="125">
        <v>0.3333333333333333</v>
      </c>
      <c r="E1647" s="125">
        <v>0.6666666666666666</v>
      </c>
    </row>
    <row r="1648">
      <c r="A1648" s="26" t="s">
        <v>276</v>
      </c>
      <c r="B1648" s="124">
        <v>45926.0</v>
      </c>
      <c r="C1648" s="26" t="s">
        <v>5592</v>
      </c>
      <c r="D1648" s="125">
        <v>0.3333333333333333</v>
      </c>
      <c r="E1648" s="125">
        <v>0.6666666666666666</v>
      </c>
    </row>
    <row r="1649">
      <c r="A1649" s="26" t="s">
        <v>280</v>
      </c>
      <c r="B1649" s="124">
        <v>45926.0</v>
      </c>
      <c r="C1649" s="26" t="s">
        <v>5592</v>
      </c>
      <c r="D1649" s="125">
        <v>0.4166666666666667</v>
      </c>
      <c r="E1649" s="125">
        <v>0.75</v>
      </c>
    </row>
    <row r="1650">
      <c r="A1650" s="26" t="s">
        <v>243</v>
      </c>
      <c r="B1650" s="124">
        <v>45925.0</v>
      </c>
      <c r="C1650" s="26" t="s">
        <v>5592</v>
      </c>
      <c r="D1650" s="125">
        <v>0.3333333333333333</v>
      </c>
      <c r="E1650" s="125">
        <v>0.6666666666666666</v>
      </c>
    </row>
    <row r="1651">
      <c r="A1651" s="26" t="s">
        <v>248</v>
      </c>
      <c r="B1651" s="124">
        <v>45925.0</v>
      </c>
      <c r="C1651" s="26" t="s">
        <v>5592</v>
      </c>
      <c r="D1651" s="125">
        <v>0.3333333333333333</v>
      </c>
      <c r="E1651" s="125">
        <v>0.6666666666666666</v>
      </c>
    </row>
    <row r="1652">
      <c r="A1652" s="26" t="s">
        <v>253</v>
      </c>
      <c r="B1652" s="124">
        <v>45925.0</v>
      </c>
      <c r="C1652" s="26" t="s">
        <v>5592</v>
      </c>
      <c r="D1652" s="125">
        <v>0.4166666666666667</v>
      </c>
      <c r="E1652" s="125">
        <v>0.75</v>
      </c>
    </row>
    <row r="1653">
      <c r="A1653" s="26" t="s">
        <v>258</v>
      </c>
      <c r="B1653" s="124">
        <v>45925.0</v>
      </c>
      <c r="C1653" s="26" t="s">
        <v>5592</v>
      </c>
      <c r="D1653" s="125">
        <v>0.3333333333333333</v>
      </c>
      <c r="E1653" s="125">
        <v>0.6666666666666666</v>
      </c>
    </row>
    <row r="1654">
      <c r="A1654" s="26" t="s">
        <v>261</v>
      </c>
      <c r="B1654" s="124">
        <v>45925.0</v>
      </c>
      <c r="C1654" s="26" t="s">
        <v>5592</v>
      </c>
      <c r="D1654" s="125">
        <v>0.4166666666666667</v>
      </c>
      <c r="E1654" s="125">
        <v>0.75</v>
      </c>
    </row>
    <row r="1655">
      <c r="A1655" s="26" t="s">
        <v>265</v>
      </c>
      <c r="B1655" s="124">
        <v>45925.0</v>
      </c>
      <c r="C1655" s="26" t="s">
        <v>5592</v>
      </c>
      <c r="D1655" s="125">
        <v>0.3333333333333333</v>
      </c>
      <c r="E1655" s="125">
        <v>0.6666666666666666</v>
      </c>
    </row>
    <row r="1656">
      <c r="A1656" s="26" t="s">
        <v>269</v>
      </c>
      <c r="B1656" s="124">
        <v>45925.0</v>
      </c>
      <c r="C1656" s="26" t="s">
        <v>5592</v>
      </c>
      <c r="D1656" s="125">
        <v>0.3333333333333333</v>
      </c>
      <c r="E1656" s="125">
        <v>0.6666666666666666</v>
      </c>
    </row>
    <row r="1657">
      <c r="A1657" s="26" t="s">
        <v>276</v>
      </c>
      <c r="B1657" s="124">
        <v>45925.0</v>
      </c>
      <c r="C1657" s="26" t="s">
        <v>5592</v>
      </c>
      <c r="D1657" s="125">
        <v>0.3333333333333333</v>
      </c>
      <c r="E1657" s="125">
        <v>0.6666666666666666</v>
      </c>
    </row>
    <row r="1658">
      <c r="A1658" s="26" t="s">
        <v>280</v>
      </c>
      <c r="B1658" s="124">
        <v>45925.0</v>
      </c>
      <c r="C1658" s="26" t="s">
        <v>5592</v>
      </c>
      <c r="D1658" s="125">
        <v>0.4166666666666667</v>
      </c>
      <c r="E1658" s="125">
        <v>0.75</v>
      </c>
    </row>
    <row r="1659">
      <c r="A1659" s="26" t="s">
        <v>243</v>
      </c>
      <c r="B1659" s="124">
        <v>45924.0</v>
      </c>
      <c r="C1659" s="26" t="s">
        <v>5592</v>
      </c>
      <c r="D1659" s="125">
        <v>0.3333333333333333</v>
      </c>
      <c r="E1659" s="125">
        <v>0.6666666666666666</v>
      </c>
    </row>
    <row r="1660">
      <c r="A1660" s="26" t="s">
        <v>248</v>
      </c>
      <c r="B1660" s="124">
        <v>45924.0</v>
      </c>
      <c r="C1660" s="26" t="s">
        <v>5592</v>
      </c>
      <c r="D1660" s="125">
        <v>0.3333333333333333</v>
      </c>
      <c r="E1660" s="125">
        <v>0.6666666666666666</v>
      </c>
    </row>
    <row r="1661">
      <c r="A1661" s="26" t="s">
        <v>253</v>
      </c>
      <c r="B1661" s="124">
        <v>45924.0</v>
      </c>
      <c r="C1661" s="26" t="s">
        <v>5592</v>
      </c>
      <c r="D1661" s="125">
        <v>0.4166666666666667</v>
      </c>
      <c r="E1661" s="125">
        <v>0.75</v>
      </c>
    </row>
    <row r="1662">
      <c r="A1662" s="26" t="s">
        <v>258</v>
      </c>
      <c r="B1662" s="124">
        <v>45924.0</v>
      </c>
      <c r="C1662" s="26" t="s">
        <v>5592</v>
      </c>
      <c r="D1662" s="125">
        <v>0.3333333333333333</v>
      </c>
      <c r="E1662" s="125">
        <v>0.6666666666666666</v>
      </c>
    </row>
    <row r="1663">
      <c r="A1663" s="26" t="s">
        <v>261</v>
      </c>
      <c r="B1663" s="124">
        <v>45924.0</v>
      </c>
      <c r="C1663" s="26" t="s">
        <v>5592</v>
      </c>
      <c r="D1663" s="125">
        <v>0.4166666666666667</v>
      </c>
      <c r="E1663" s="125">
        <v>0.75</v>
      </c>
    </row>
    <row r="1664">
      <c r="A1664" s="26" t="s">
        <v>265</v>
      </c>
      <c r="B1664" s="124">
        <v>45924.0</v>
      </c>
      <c r="C1664" s="26" t="s">
        <v>5592</v>
      </c>
      <c r="D1664" s="125">
        <v>0.3333333333333333</v>
      </c>
      <c r="E1664" s="125">
        <v>0.6666666666666666</v>
      </c>
    </row>
    <row r="1665">
      <c r="A1665" s="26" t="s">
        <v>269</v>
      </c>
      <c r="B1665" s="124">
        <v>45924.0</v>
      </c>
      <c r="C1665" s="26" t="s">
        <v>5592</v>
      </c>
      <c r="D1665" s="125">
        <v>0.3333333333333333</v>
      </c>
      <c r="E1665" s="125">
        <v>0.6666666666666666</v>
      </c>
    </row>
    <row r="1666">
      <c r="A1666" s="26" t="s">
        <v>276</v>
      </c>
      <c r="B1666" s="124">
        <v>45924.0</v>
      </c>
      <c r="C1666" s="26" t="s">
        <v>5592</v>
      </c>
      <c r="D1666" s="125">
        <v>0.3333333333333333</v>
      </c>
      <c r="E1666" s="125">
        <v>0.6666666666666666</v>
      </c>
    </row>
    <row r="1667">
      <c r="A1667" s="26" t="s">
        <v>280</v>
      </c>
      <c r="B1667" s="124">
        <v>45924.0</v>
      </c>
      <c r="C1667" s="26" t="s">
        <v>5592</v>
      </c>
      <c r="D1667" s="125">
        <v>0.4166666666666667</v>
      </c>
      <c r="E1667" s="125">
        <v>0.75</v>
      </c>
    </row>
    <row r="1668">
      <c r="A1668" s="26" t="s">
        <v>243</v>
      </c>
      <c r="B1668" s="124">
        <v>45923.0</v>
      </c>
      <c r="C1668" s="26" t="s">
        <v>5592</v>
      </c>
      <c r="D1668" s="125">
        <v>0.3333333333333333</v>
      </c>
      <c r="E1668" s="125">
        <v>0.6666666666666666</v>
      </c>
    </row>
    <row r="1669">
      <c r="A1669" s="26" t="s">
        <v>248</v>
      </c>
      <c r="B1669" s="124">
        <v>45923.0</v>
      </c>
      <c r="C1669" s="26" t="s">
        <v>5592</v>
      </c>
      <c r="D1669" s="125">
        <v>0.3333333333333333</v>
      </c>
      <c r="E1669" s="125">
        <v>0.6666666666666666</v>
      </c>
    </row>
    <row r="1670">
      <c r="A1670" s="26" t="s">
        <v>253</v>
      </c>
      <c r="B1670" s="124">
        <v>45923.0</v>
      </c>
      <c r="C1670" s="26" t="s">
        <v>5592</v>
      </c>
      <c r="D1670" s="125">
        <v>0.4166666666666667</v>
      </c>
      <c r="E1670" s="125">
        <v>0.75</v>
      </c>
    </row>
    <row r="1671">
      <c r="A1671" s="26" t="s">
        <v>258</v>
      </c>
      <c r="B1671" s="124">
        <v>45923.0</v>
      </c>
      <c r="C1671" s="26" t="s">
        <v>5592</v>
      </c>
      <c r="D1671" s="125">
        <v>0.3333333333333333</v>
      </c>
      <c r="E1671" s="125">
        <v>0.6666666666666666</v>
      </c>
    </row>
    <row r="1672">
      <c r="A1672" s="26" t="s">
        <v>261</v>
      </c>
      <c r="B1672" s="124">
        <v>45923.0</v>
      </c>
      <c r="C1672" s="26" t="s">
        <v>5592</v>
      </c>
      <c r="D1672" s="125">
        <v>0.4166666666666667</v>
      </c>
      <c r="E1672" s="125">
        <v>0.75</v>
      </c>
    </row>
    <row r="1673">
      <c r="A1673" s="26" t="s">
        <v>265</v>
      </c>
      <c r="B1673" s="124">
        <v>45923.0</v>
      </c>
      <c r="C1673" s="26" t="s">
        <v>5592</v>
      </c>
      <c r="D1673" s="125">
        <v>0.3333333333333333</v>
      </c>
      <c r="E1673" s="125">
        <v>0.6666666666666666</v>
      </c>
    </row>
    <row r="1674">
      <c r="A1674" s="26" t="s">
        <v>269</v>
      </c>
      <c r="B1674" s="124">
        <v>45923.0</v>
      </c>
      <c r="C1674" s="26" t="s">
        <v>5592</v>
      </c>
      <c r="D1674" s="125">
        <v>0.3333333333333333</v>
      </c>
      <c r="E1674" s="125">
        <v>0.6666666666666666</v>
      </c>
    </row>
    <row r="1675">
      <c r="A1675" s="26" t="s">
        <v>276</v>
      </c>
      <c r="B1675" s="124">
        <v>45923.0</v>
      </c>
      <c r="C1675" s="26" t="s">
        <v>5592</v>
      </c>
      <c r="D1675" s="125">
        <v>0.3333333333333333</v>
      </c>
      <c r="E1675" s="125">
        <v>0.6666666666666666</v>
      </c>
    </row>
    <row r="1676">
      <c r="A1676" s="26" t="s">
        <v>280</v>
      </c>
      <c r="B1676" s="124">
        <v>45923.0</v>
      </c>
      <c r="C1676" s="26" t="s">
        <v>5592</v>
      </c>
      <c r="D1676" s="125">
        <v>0.4166666666666667</v>
      </c>
      <c r="E1676" s="125">
        <v>0.75</v>
      </c>
    </row>
    <row r="1677">
      <c r="A1677" s="26" t="s">
        <v>243</v>
      </c>
      <c r="B1677" s="124">
        <v>45922.0</v>
      </c>
      <c r="C1677" s="26" t="s">
        <v>5592</v>
      </c>
      <c r="D1677" s="125">
        <v>0.3333333333333333</v>
      </c>
      <c r="E1677" s="125">
        <v>0.6666666666666666</v>
      </c>
    </row>
    <row r="1678">
      <c r="A1678" s="26" t="s">
        <v>248</v>
      </c>
      <c r="B1678" s="124">
        <v>45922.0</v>
      </c>
      <c r="C1678" s="26" t="s">
        <v>5592</v>
      </c>
      <c r="D1678" s="125">
        <v>0.3333333333333333</v>
      </c>
      <c r="E1678" s="125">
        <v>0.6666666666666666</v>
      </c>
    </row>
    <row r="1679">
      <c r="A1679" s="26" t="s">
        <v>253</v>
      </c>
      <c r="B1679" s="124">
        <v>45922.0</v>
      </c>
      <c r="C1679" s="26" t="s">
        <v>5592</v>
      </c>
      <c r="D1679" s="125">
        <v>0.4166666666666667</v>
      </c>
      <c r="E1679" s="125">
        <v>0.75</v>
      </c>
    </row>
    <row r="1680">
      <c r="A1680" s="26" t="s">
        <v>258</v>
      </c>
      <c r="B1680" s="124">
        <v>45922.0</v>
      </c>
      <c r="C1680" s="26" t="s">
        <v>5592</v>
      </c>
      <c r="D1680" s="125">
        <v>0.3333333333333333</v>
      </c>
      <c r="E1680" s="125">
        <v>0.6666666666666666</v>
      </c>
    </row>
    <row r="1681">
      <c r="A1681" s="26" t="s">
        <v>261</v>
      </c>
      <c r="B1681" s="124">
        <v>45922.0</v>
      </c>
      <c r="C1681" s="26" t="s">
        <v>5592</v>
      </c>
      <c r="D1681" s="125">
        <v>0.4166666666666667</v>
      </c>
      <c r="E1681" s="125">
        <v>0.75</v>
      </c>
    </row>
    <row r="1682">
      <c r="A1682" s="26" t="s">
        <v>265</v>
      </c>
      <c r="B1682" s="124">
        <v>45922.0</v>
      </c>
      <c r="C1682" s="26" t="s">
        <v>5592</v>
      </c>
      <c r="D1682" s="125">
        <v>0.3333333333333333</v>
      </c>
      <c r="E1682" s="125">
        <v>0.6666666666666666</v>
      </c>
    </row>
    <row r="1683">
      <c r="A1683" s="26" t="s">
        <v>269</v>
      </c>
      <c r="B1683" s="124">
        <v>45922.0</v>
      </c>
      <c r="C1683" s="26" t="s">
        <v>5592</v>
      </c>
      <c r="D1683" s="125">
        <v>0.3333333333333333</v>
      </c>
      <c r="E1683" s="125">
        <v>0.6666666666666666</v>
      </c>
    </row>
    <row r="1684">
      <c r="A1684" s="26" t="s">
        <v>276</v>
      </c>
      <c r="B1684" s="124">
        <v>45922.0</v>
      </c>
      <c r="C1684" s="26" t="s">
        <v>5592</v>
      </c>
      <c r="D1684" s="125">
        <v>0.3333333333333333</v>
      </c>
      <c r="E1684" s="125">
        <v>0.6666666666666666</v>
      </c>
    </row>
    <row r="1685">
      <c r="A1685" s="26" t="s">
        <v>280</v>
      </c>
      <c r="B1685" s="124">
        <v>45922.0</v>
      </c>
      <c r="C1685" s="26" t="s">
        <v>5592</v>
      </c>
      <c r="D1685" s="125">
        <v>0.4166666666666667</v>
      </c>
      <c r="E1685" s="125">
        <v>0.75</v>
      </c>
    </row>
    <row r="1686">
      <c r="A1686" s="26" t="s">
        <v>243</v>
      </c>
      <c r="B1686" s="124">
        <v>45920.0</v>
      </c>
      <c r="C1686" s="26" t="s">
        <v>5592</v>
      </c>
      <c r="D1686" s="125">
        <v>0.3333333333333333</v>
      </c>
      <c r="E1686" s="125">
        <v>0.6666666666666666</v>
      </c>
    </row>
    <row r="1687">
      <c r="A1687" s="26" t="s">
        <v>248</v>
      </c>
      <c r="B1687" s="124">
        <v>45920.0</v>
      </c>
      <c r="C1687" s="26" t="s">
        <v>5592</v>
      </c>
      <c r="D1687" s="125">
        <v>0.3333333333333333</v>
      </c>
      <c r="E1687" s="125">
        <v>0.6666666666666666</v>
      </c>
    </row>
    <row r="1688">
      <c r="A1688" s="26" t="s">
        <v>253</v>
      </c>
      <c r="B1688" s="124">
        <v>45920.0</v>
      </c>
      <c r="C1688" s="26" t="s">
        <v>5592</v>
      </c>
      <c r="D1688" s="125">
        <v>0.4166666666666667</v>
      </c>
      <c r="E1688" s="125">
        <v>0.75</v>
      </c>
    </row>
    <row r="1689">
      <c r="A1689" s="26" t="s">
        <v>258</v>
      </c>
      <c r="B1689" s="124">
        <v>45920.0</v>
      </c>
      <c r="C1689" s="26" t="s">
        <v>5592</v>
      </c>
      <c r="D1689" s="125">
        <v>0.3333333333333333</v>
      </c>
      <c r="E1689" s="125">
        <v>0.6666666666666666</v>
      </c>
    </row>
    <row r="1690">
      <c r="A1690" s="26" t="s">
        <v>261</v>
      </c>
      <c r="B1690" s="124">
        <v>45920.0</v>
      </c>
      <c r="C1690" s="26" t="s">
        <v>5592</v>
      </c>
      <c r="D1690" s="125">
        <v>0.4166666666666667</v>
      </c>
      <c r="E1690" s="125">
        <v>0.75</v>
      </c>
    </row>
    <row r="1691">
      <c r="A1691" s="26" t="s">
        <v>265</v>
      </c>
      <c r="B1691" s="124">
        <v>45920.0</v>
      </c>
      <c r="C1691" s="26" t="s">
        <v>5592</v>
      </c>
      <c r="D1691" s="125">
        <v>0.3333333333333333</v>
      </c>
      <c r="E1691" s="125">
        <v>0.6666666666666666</v>
      </c>
    </row>
    <row r="1692">
      <c r="A1692" s="26" t="s">
        <v>269</v>
      </c>
      <c r="B1692" s="124">
        <v>45920.0</v>
      </c>
      <c r="C1692" s="26" t="s">
        <v>5592</v>
      </c>
      <c r="D1692" s="125">
        <v>0.3333333333333333</v>
      </c>
      <c r="E1692" s="125">
        <v>0.6666666666666666</v>
      </c>
    </row>
    <row r="1693">
      <c r="A1693" s="26" t="s">
        <v>276</v>
      </c>
      <c r="B1693" s="124">
        <v>45920.0</v>
      </c>
      <c r="C1693" s="26" t="s">
        <v>5592</v>
      </c>
      <c r="D1693" s="125">
        <v>0.3333333333333333</v>
      </c>
      <c r="E1693" s="125">
        <v>0.6666666666666666</v>
      </c>
    </row>
    <row r="1694">
      <c r="A1694" s="26" t="s">
        <v>280</v>
      </c>
      <c r="B1694" s="124">
        <v>45920.0</v>
      </c>
      <c r="C1694" s="26" t="s">
        <v>5592</v>
      </c>
      <c r="D1694" s="125">
        <v>0.4166666666666667</v>
      </c>
      <c r="E1694" s="125">
        <v>0.75</v>
      </c>
    </row>
    <row r="1695">
      <c r="A1695" s="26" t="s">
        <v>243</v>
      </c>
      <c r="B1695" s="124">
        <v>45919.0</v>
      </c>
      <c r="C1695" s="26" t="s">
        <v>5592</v>
      </c>
      <c r="D1695" s="125">
        <v>0.3333333333333333</v>
      </c>
      <c r="E1695" s="125">
        <v>0.6666666666666666</v>
      </c>
    </row>
    <row r="1696">
      <c r="A1696" s="26" t="s">
        <v>248</v>
      </c>
      <c r="B1696" s="124">
        <v>45919.0</v>
      </c>
      <c r="C1696" s="26" t="s">
        <v>5592</v>
      </c>
      <c r="D1696" s="125">
        <v>0.3333333333333333</v>
      </c>
      <c r="E1696" s="125">
        <v>0.6666666666666666</v>
      </c>
    </row>
    <row r="1697">
      <c r="A1697" s="26" t="s">
        <v>253</v>
      </c>
      <c r="B1697" s="124">
        <v>45919.0</v>
      </c>
      <c r="C1697" s="26" t="s">
        <v>5592</v>
      </c>
      <c r="D1697" s="125">
        <v>0.4166666666666667</v>
      </c>
      <c r="E1697" s="125">
        <v>0.75</v>
      </c>
    </row>
    <row r="1698">
      <c r="A1698" s="26" t="s">
        <v>258</v>
      </c>
      <c r="B1698" s="124">
        <v>45919.0</v>
      </c>
      <c r="C1698" s="26" t="s">
        <v>5592</v>
      </c>
      <c r="D1698" s="125">
        <v>0.3333333333333333</v>
      </c>
      <c r="E1698" s="125">
        <v>0.6666666666666666</v>
      </c>
    </row>
    <row r="1699">
      <c r="A1699" s="26" t="s">
        <v>261</v>
      </c>
      <c r="B1699" s="124">
        <v>45919.0</v>
      </c>
      <c r="C1699" s="26" t="s">
        <v>5592</v>
      </c>
      <c r="D1699" s="125">
        <v>0.4166666666666667</v>
      </c>
      <c r="E1699" s="125">
        <v>0.75</v>
      </c>
    </row>
    <row r="1700">
      <c r="A1700" s="26" t="s">
        <v>265</v>
      </c>
      <c r="B1700" s="124">
        <v>45919.0</v>
      </c>
      <c r="C1700" s="26" t="s">
        <v>5592</v>
      </c>
      <c r="D1700" s="125">
        <v>0.3333333333333333</v>
      </c>
      <c r="E1700" s="125">
        <v>0.6666666666666666</v>
      </c>
    </row>
    <row r="1701">
      <c r="A1701" s="26" t="s">
        <v>269</v>
      </c>
      <c r="B1701" s="124">
        <v>45919.0</v>
      </c>
      <c r="C1701" s="26" t="s">
        <v>5592</v>
      </c>
      <c r="D1701" s="125">
        <v>0.3333333333333333</v>
      </c>
      <c r="E1701" s="125">
        <v>0.6666666666666666</v>
      </c>
    </row>
    <row r="1702">
      <c r="A1702" s="26" t="s">
        <v>276</v>
      </c>
      <c r="B1702" s="124">
        <v>45919.0</v>
      </c>
      <c r="C1702" s="26" t="s">
        <v>5592</v>
      </c>
      <c r="D1702" s="125">
        <v>0.3333333333333333</v>
      </c>
      <c r="E1702" s="125">
        <v>0.6666666666666666</v>
      </c>
    </row>
    <row r="1703">
      <c r="A1703" s="26" t="s">
        <v>280</v>
      </c>
      <c r="B1703" s="124">
        <v>45919.0</v>
      </c>
      <c r="C1703" s="26" t="s">
        <v>5592</v>
      </c>
      <c r="D1703" s="125">
        <v>0.4166666666666667</v>
      </c>
      <c r="E1703" s="125">
        <v>0.75</v>
      </c>
    </row>
    <row r="1704">
      <c r="A1704" s="26" t="s">
        <v>243</v>
      </c>
      <c r="B1704" s="124">
        <v>45918.0</v>
      </c>
      <c r="C1704" s="26" t="s">
        <v>5592</v>
      </c>
      <c r="D1704" s="125">
        <v>0.3333333333333333</v>
      </c>
      <c r="E1704" s="125">
        <v>0.6666666666666666</v>
      </c>
    </row>
    <row r="1705">
      <c r="A1705" s="26" t="s">
        <v>248</v>
      </c>
      <c r="B1705" s="124">
        <v>45918.0</v>
      </c>
      <c r="C1705" s="26" t="s">
        <v>5592</v>
      </c>
      <c r="D1705" s="125">
        <v>0.3333333333333333</v>
      </c>
      <c r="E1705" s="125">
        <v>0.6666666666666666</v>
      </c>
    </row>
    <row r="1706">
      <c r="A1706" s="26" t="s">
        <v>253</v>
      </c>
      <c r="B1706" s="124">
        <v>45918.0</v>
      </c>
      <c r="C1706" s="26" t="s">
        <v>5592</v>
      </c>
      <c r="D1706" s="125">
        <v>0.4166666666666667</v>
      </c>
      <c r="E1706" s="125">
        <v>0.75</v>
      </c>
    </row>
    <row r="1707">
      <c r="A1707" s="26" t="s">
        <v>258</v>
      </c>
      <c r="B1707" s="124">
        <v>45918.0</v>
      </c>
      <c r="C1707" s="26" t="s">
        <v>5592</v>
      </c>
      <c r="D1707" s="125">
        <v>0.3333333333333333</v>
      </c>
      <c r="E1707" s="125">
        <v>0.6666666666666666</v>
      </c>
    </row>
    <row r="1708">
      <c r="A1708" s="26" t="s">
        <v>261</v>
      </c>
      <c r="B1708" s="124">
        <v>45918.0</v>
      </c>
      <c r="C1708" s="26" t="s">
        <v>5592</v>
      </c>
      <c r="D1708" s="125">
        <v>0.4166666666666667</v>
      </c>
      <c r="E1708" s="125">
        <v>0.75</v>
      </c>
    </row>
    <row r="1709">
      <c r="A1709" s="26" t="s">
        <v>265</v>
      </c>
      <c r="B1709" s="124">
        <v>45918.0</v>
      </c>
      <c r="C1709" s="26" t="s">
        <v>5592</v>
      </c>
      <c r="D1709" s="125">
        <v>0.3333333333333333</v>
      </c>
      <c r="E1709" s="125">
        <v>0.6666666666666666</v>
      </c>
    </row>
    <row r="1710">
      <c r="A1710" s="26" t="s">
        <v>269</v>
      </c>
      <c r="B1710" s="124">
        <v>45918.0</v>
      </c>
      <c r="C1710" s="26" t="s">
        <v>5592</v>
      </c>
      <c r="D1710" s="125">
        <v>0.3333333333333333</v>
      </c>
      <c r="E1710" s="125">
        <v>0.6666666666666666</v>
      </c>
    </row>
    <row r="1711">
      <c r="A1711" s="26" t="s">
        <v>276</v>
      </c>
      <c r="B1711" s="124">
        <v>45918.0</v>
      </c>
      <c r="C1711" s="26" t="s">
        <v>5592</v>
      </c>
      <c r="D1711" s="125">
        <v>0.3333333333333333</v>
      </c>
      <c r="E1711" s="125">
        <v>0.6666666666666666</v>
      </c>
    </row>
    <row r="1712">
      <c r="A1712" s="26" t="s">
        <v>280</v>
      </c>
      <c r="B1712" s="124">
        <v>45918.0</v>
      </c>
      <c r="C1712" s="26" t="s">
        <v>5592</v>
      </c>
      <c r="D1712" s="125">
        <v>0.4166666666666667</v>
      </c>
      <c r="E1712" s="125">
        <v>0.75</v>
      </c>
    </row>
    <row r="1713">
      <c r="A1713" s="26" t="s">
        <v>243</v>
      </c>
      <c r="B1713" s="124">
        <v>45917.0</v>
      </c>
      <c r="C1713" s="26" t="s">
        <v>5592</v>
      </c>
      <c r="D1713" s="125">
        <v>0.3333333333333333</v>
      </c>
      <c r="E1713" s="125">
        <v>0.6666666666666666</v>
      </c>
    </row>
    <row r="1714">
      <c r="A1714" s="26" t="s">
        <v>248</v>
      </c>
      <c r="B1714" s="124">
        <v>45917.0</v>
      </c>
      <c r="C1714" s="26" t="s">
        <v>5592</v>
      </c>
      <c r="D1714" s="125">
        <v>0.3333333333333333</v>
      </c>
      <c r="E1714" s="125">
        <v>0.6666666666666666</v>
      </c>
    </row>
    <row r="1715">
      <c r="A1715" s="26" t="s">
        <v>253</v>
      </c>
      <c r="B1715" s="124">
        <v>45917.0</v>
      </c>
      <c r="C1715" s="26" t="s">
        <v>5592</v>
      </c>
      <c r="D1715" s="125">
        <v>0.4166666666666667</v>
      </c>
      <c r="E1715" s="125">
        <v>0.75</v>
      </c>
    </row>
    <row r="1716">
      <c r="A1716" s="26" t="s">
        <v>258</v>
      </c>
      <c r="B1716" s="124">
        <v>45917.0</v>
      </c>
      <c r="C1716" s="26" t="s">
        <v>5592</v>
      </c>
      <c r="D1716" s="125">
        <v>0.3333333333333333</v>
      </c>
      <c r="E1716" s="125">
        <v>0.6666666666666666</v>
      </c>
    </row>
    <row r="1717">
      <c r="A1717" s="26" t="s">
        <v>261</v>
      </c>
      <c r="B1717" s="124">
        <v>45917.0</v>
      </c>
      <c r="C1717" s="26" t="s">
        <v>5592</v>
      </c>
      <c r="D1717" s="125">
        <v>0.4166666666666667</v>
      </c>
      <c r="E1717" s="125">
        <v>0.75</v>
      </c>
    </row>
    <row r="1718">
      <c r="A1718" s="26" t="s">
        <v>265</v>
      </c>
      <c r="B1718" s="124">
        <v>45917.0</v>
      </c>
      <c r="C1718" s="26" t="s">
        <v>5592</v>
      </c>
      <c r="D1718" s="125">
        <v>0.3333333333333333</v>
      </c>
      <c r="E1718" s="125">
        <v>0.6666666666666666</v>
      </c>
    </row>
    <row r="1719">
      <c r="A1719" s="26" t="s">
        <v>269</v>
      </c>
      <c r="B1719" s="124">
        <v>45917.0</v>
      </c>
      <c r="C1719" s="26" t="s">
        <v>5592</v>
      </c>
      <c r="D1719" s="125">
        <v>0.3333333333333333</v>
      </c>
      <c r="E1719" s="125">
        <v>0.6666666666666666</v>
      </c>
    </row>
    <row r="1720">
      <c r="A1720" s="26" t="s">
        <v>276</v>
      </c>
      <c r="B1720" s="124">
        <v>45917.0</v>
      </c>
      <c r="C1720" s="26" t="s">
        <v>5592</v>
      </c>
      <c r="D1720" s="125">
        <v>0.3333333333333333</v>
      </c>
      <c r="E1720" s="125">
        <v>0.6666666666666666</v>
      </c>
    </row>
    <row r="1721">
      <c r="A1721" s="26" t="s">
        <v>280</v>
      </c>
      <c r="B1721" s="124">
        <v>45917.0</v>
      </c>
      <c r="C1721" s="26" t="s">
        <v>5592</v>
      </c>
      <c r="D1721" s="125">
        <v>0.4166666666666667</v>
      </c>
      <c r="E1721" s="125">
        <v>0.75</v>
      </c>
    </row>
    <row r="1722">
      <c r="A1722" s="26" t="s">
        <v>243</v>
      </c>
      <c r="B1722" s="124">
        <v>45916.0</v>
      </c>
      <c r="C1722" s="26" t="s">
        <v>5592</v>
      </c>
      <c r="D1722" s="125">
        <v>0.3333333333333333</v>
      </c>
      <c r="E1722" s="125">
        <v>0.6666666666666666</v>
      </c>
    </row>
    <row r="1723">
      <c r="A1723" s="26" t="s">
        <v>248</v>
      </c>
      <c r="B1723" s="124">
        <v>45916.0</v>
      </c>
      <c r="C1723" s="26" t="s">
        <v>5592</v>
      </c>
      <c r="D1723" s="125">
        <v>0.3333333333333333</v>
      </c>
      <c r="E1723" s="125">
        <v>0.6666666666666666</v>
      </c>
    </row>
    <row r="1724">
      <c r="A1724" s="26" t="s">
        <v>253</v>
      </c>
      <c r="B1724" s="124">
        <v>45916.0</v>
      </c>
      <c r="C1724" s="26" t="s">
        <v>5592</v>
      </c>
      <c r="D1724" s="125">
        <v>0.4166666666666667</v>
      </c>
      <c r="E1724" s="125">
        <v>0.75</v>
      </c>
    </row>
    <row r="1725">
      <c r="A1725" s="26" t="s">
        <v>258</v>
      </c>
      <c r="B1725" s="124">
        <v>45916.0</v>
      </c>
      <c r="C1725" s="26" t="s">
        <v>5592</v>
      </c>
      <c r="D1725" s="125">
        <v>0.3333333333333333</v>
      </c>
      <c r="E1725" s="125">
        <v>0.6666666666666666</v>
      </c>
    </row>
    <row r="1726">
      <c r="A1726" s="26" t="s">
        <v>261</v>
      </c>
      <c r="B1726" s="124">
        <v>45916.0</v>
      </c>
      <c r="C1726" s="26" t="s">
        <v>5592</v>
      </c>
      <c r="D1726" s="125">
        <v>0.4166666666666667</v>
      </c>
      <c r="E1726" s="125">
        <v>0.75</v>
      </c>
    </row>
    <row r="1727">
      <c r="A1727" s="26" t="s">
        <v>265</v>
      </c>
      <c r="B1727" s="124">
        <v>45916.0</v>
      </c>
      <c r="C1727" s="26" t="s">
        <v>5592</v>
      </c>
      <c r="D1727" s="125">
        <v>0.3333333333333333</v>
      </c>
      <c r="E1727" s="125">
        <v>0.6666666666666666</v>
      </c>
    </row>
    <row r="1728">
      <c r="A1728" s="26" t="s">
        <v>269</v>
      </c>
      <c r="B1728" s="124">
        <v>45916.0</v>
      </c>
      <c r="C1728" s="26" t="s">
        <v>5592</v>
      </c>
      <c r="D1728" s="125">
        <v>0.3333333333333333</v>
      </c>
      <c r="E1728" s="125">
        <v>0.6666666666666666</v>
      </c>
    </row>
    <row r="1729">
      <c r="A1729" s="26" t="s">
        <v>276</v>
      </c>
      <c r="B1729" s="124">
        <v>45916.0</v>
      </c>
      <c r="C1729" s="26" t="s">
        <v>5592</v>
      </c>
      <c r="D1729" s="125">
        <v>0.3333333333333333</v>
      </c>
      <c r="E1729" s="125">
        <v>0.6666666666666666</v>
      </c>
    </row>
    <row r="1730">
      <c r="A1730" s="26" t="s">
        <v>280</v>
      </c>
      <c r="B1730" s="124">
        <v>45916.0</v>
      </c>
      <c r="C1730" s="26" t="s">
        <v>5592</v>
      </c>
      <c r="D1730" s="125">
        <v>0.4166666666666667</v>
      </c>
      <c r="E1730" s="125">
        <v>0.75</v>
      </c>
    </row>
    <row r="1731">
      <c r="A1731" s="26" t="s">
        <v>243</v>
      </c>
      <c r="B1731" s="124">
        <v>45915.0</v>
      </c>
      <c r="C1731" s="26" t="s">
        <v>5592</v>
      </c>
      <c r="D1731" s="125">
        <v>0.3333333333333333</v>
      </c>
      <c r="E1731" s="125">
        <v>0.6666666666666666</v>
      </c>
    </row>
    <row r="1732">
      <c r="A1732" s="26" t="s">
        <v>248</v>
      </c>
      <c r="B1732" s="124">
        <v>45915.0</v>
      </c>
      <c r="C1732" s="26" t="s">
        <v>5592</v>
      </c>
      <c r="D1732" s="125">
        <v>0.3333333333333333</v>
      </c>
      <c r="E1732" s="125">
        <v>0.6666666666666666</v>
      </c>
    </row>
    <row r="1733">
      <c r="A1733" s="26" t="s">
        <v>253</v>
      </c>
      <c r="B1733" s="124">
        <v>45915.0</v>
      </c>
      <c r="C1733" s="26" t="s">
        <v>5592</v>
      </c>
      <c r="D1733" s="125">
        <v>0.4166666666666667</v>
      </c>
      <c r="E1733" s="125">
        <v>0.75</v>
      </c>
    </row>
    <row r="1734">
      <c r="A1734" s="26" t="s">
        <v>258</v>
      </c>
      <c r="B1734" s="124">
        <v>45915.0</v>
      </c>
      <c r="C1734" s="26" t="s">
        <v>5592</v>
      </c>
      <c r="D1734" s="125">
        <v>0.3333333333333333</v>
      </c>
      <c r="E1734" s="125">
        <v>0.6666666666666666</v>
      </c>
    </row>
    <row r="1735">
      <c r="A1735" s="26" t="s">
        <v>261</v>
      </c>
      <c r="B1735" s="124">
        <v>45915.0</v>
      </c>
      <c r="C1735" s="26" t="s">
        <v>5592</v>
      </c>
      <c r="D1735" s="125">
        <v>0.4166666666666667</v>
      </c>
      <c r="E1735" s="125">
        <v>0.75</v>
      </c>
    </row>
    <row r="1736">
      <c r="A1736" s="26" t="s">
        <v>265</v>
      </c>
      <c r="B1736" s="124">
        <v>45915.0</v>
      </c>
      <c r="C1736" s="26" t="s">
        <v>5592</v>
      </c>
      <c r="D1736" s="125">
        <v>0.3333333333333333</v>
      </c>
      <c r="E1736" s="125">
        <v>0.6666666666666666</v>
      </c>
    </row>
    <row r="1737">
      <c r="A1737" s="26" t="s">
        <v>269</v>
      </c>
      <c r="B1737" s="124">
        <v>45915.0</v>
      </c>
      <c r="C1737" s="26" t="s">
        <v>5592</v>
      </c>
      <c r="D1737" s="125">
        <v>0.3333333333333333</v>
      </c>
      <c r="E1737" s="125">
        <v>0.6666666666666666</v>
      </c>
    </row>
    <row r="1738">
      <c r="A1738" s="26" t="s">
        <v>276</v>
      </c>
      <c r="B1738" s="124">
        <v>45915.0</v>
      </c>
      <c r="C1738" s="26" t="s">
        <v>5592</v>
      </c>
      <c r="D1738" s="125">
        <v>0.3333333333333333</v>
      </c>
      <c r="E1738" s="125">
        <v>0.6666666666666666</v>
      </c>
    </row>
    <row r="1739">
      <c r="A1739" s="26" t="s">
        <v>280</v>
      </c>
      <c r="B1739" s="124">
        <v>45915.0</v>
      </c>
      <c r="C1739" s="26" t="s">
        <v>5592</v>
      </c>
      <c r="D1739" s="125">
        <v>0.4166666666666667</v>
      </c>
      <c r="E1739" s="125">
        <v>0.75</v>
      </c>
    </row>
    <row r="1740">
      <c r="A1740" s="26" t="s">
        <v>243</v>
      </c>
      <c r="B1740" s="124">
        <v>45913.0</v>
      </c>
      <c r="C1740" s="26" t="s">
        <v>5592</v>
      </c>
      <c r="D1740" s="125">
        <v>0.3333333333333333</v>
      </c>
      <c r="E1740" s="125">
        <v>0.6666666666666666</v>
      </c>
    </row>
    <row r="1741">
      <c r="A1741" s="26" t="s">
        <v>248</v>
      </c>
      <c r="B1741" s="124">
        <v>45913.0</v>
      </c>
      <c r="C1741" s="26" t="s">
        <v>5592</v>
      </c>
      <c r="D1741" s="125">
        <v>0.3333333333333333</v>
      </c>
      <c r="E1741" s="125">
        <v>0.6666666666666666</v>
      </c>
    </row>
    <row r="1742">
      <c r="A1742" s="26" t="s">
        <v>253</v>
      </c>
      <c r="B1742" s="124">
        <v>45913.0</v>
      </c>
      <c r="C1742" s="26" t="s">
        <v>5592</v>
      </c>
      <c r="D1742" s="125">
        <v>0.4166666666666667</v>
      </c>
      <c r="E1742" s="125">
        <v>0.75</v>
      </c>
    </row>
    <row r="1743">
      <c r="A1743" s="26" t="s">
        <v>258</v>
      </c>
      <c r="B1743" s="124">
        <v>45913.0</v>
      </c>
      <c r="C1743" s="26" t="s">
        <v>5592</v>
      </c>
      <c r="D1743" s="125">
        <v>0.3333333333333333</v>
      </c>
      <c r="E1743" s="125">
        <v>0.6666666666666666</v>
      </c>
    </row>
    <row r="1744">
      <c r="A1744" s="26" t="s">
        <v>261</v>
      </c>
      <c r="B1744" s="124">
        <v>45913.0</v>
      </c>
      <c r="C1744" s="26" t="s">
        <v>5592</v>
      </c>
      <c r="D1744" s="125">
        <v>0.4166666666666667</v>
      </c>
      <c r="E1744" s="125">
        <v>0.75</v>
      </c>
    </row>
    <row r="1745">
      <c r="A1745" s="26" t="s">
        <v>265</v>
      </c>
      <c r="B1745" s="124">
        <v>45913.0</v>
      </c>
      <c r="C1745" s="26" t="s">
        <v>5592</v>
      </c>
      <c r="D1745" s="125">
        <v>0.3333333333333333</v>
      </c>
      <c r="E1745" s="125">
        <v>0.6666666666666666</v>
      </c>
    </row>
    <row r="1746">
      <c r="A1746" s="26" t="s">
        <v>269</v>
      </c>
      <c r="B1746" s="124">
        <v>45913.0</v>
      </c>
      <c r="C1746" s="26" t="s">
        <v>5592</v>
      </c>
      <c r="D1746" s="125">
        <v>0.3333333333333333</v>
      </c>
      <c r="E1746" s="125">
        <v>0.6666666666666666</v>
      </c>
    </row>
    <row r="1747">
      <c r="A1747" s="26" t="s">
        <v>276</v>
      </c>
      <c r="B1747" s="124">
        <v>45913.0</v>
      </c>
      <c r="C1747" s="26" t="s">
        <v>5592</v>
      </c>
      <c r="D1747" s="125">
        <v>0.3333333333333333</v>
      </c>
      <c r="E1747" s="125">
        <v>0.6666666666666666</v>
      </c>
    </row>
    <row r="1748">
      <c r="A1748" s="26" t="s">
        <v>280</v>
      </c>
      <c r="B1748" s="124">
        <v>45913.0</v>
      </c>
      <c r="C1748" s="26" t="s">
        <v>5592</v>
      </c>
      <c r="D1748" s="125">
        <v>0.4166666666666667</v>
      </c>
      <c r="E1748" s="125">
        <v>0.75</v>
      </c>
    </row>
    <row r="1749">
      <c r="A1749" s="26" t="s">
        <v>243</v>
      </c>
      <c r="B1749" s="124">
        <v>45912.0</v>
      </c>
      <c r="C1749" s="26" t="s">
        <v>5592</v>
      </c>
      <c r="D1749" s="125">
        <v>0.3333333333333333</v>
      </c>
      <c r="E1749" s="125">
        <v>0.6666666666666666</v>
      </c>
    </row>
    <row r="1750">
      <c r="A1750" s="26" t="s">
        <v>248</v>
      </c>
      <c r="B1750" s="124">
        <v>45912.0</v>
      </c>
      <c r="C1750" s="26" t="s">
        <v>5592</v>
      </c>
      <c r="D1750" s="125">
        <v>0.3333333333333333</v>
      </c>
      <c r="E1750" s="125">
        <v>0.6666666666666666</v>
      </c>
    </row>
    <row r="1751">
      <c r="A1751" s="26" t="s">
        <v>253</v>
      </c>
      <c r="B1751" s="124">
        <v>45912.0</v>
      </c>
      <c r="C1751" s="26" t="s">
        <v>5592</v>
      </c>
      <c r="D1751" s="125">
        <v>0.4166666666666667</v>
      </c>
      <c r="E1751" s="125">
        <v>0.75</v>
      </c>
    </row>
    <row r="1752">
      <c r="A1752" s="26" t="s">
        <v>258</v>
      </c>
      <c r="B1752" s="124">
        <v>45912.0</v>
      </c>
      <c r="C1752" s="26" t="s">
        <v>5592</v>
      </c>
      <c r="D1752" s="125">
        <v>0.3333333333333333</v>
      </c>
      <c r="E1752" s="125">
        <v>0.6666666666666666</v>
      </c>
    </row>
    <row r="1753">
      <c r="A1753" s="26" t="s">
        <v>261</v>
      </c>
      <c r="B1753" s="124">
        <v>45912.0</v>
      </c>
      <c r="C1753" s="26" t="s">
        <v>5592</v>
      </c>
      <c r="D1753" s="125">
        <v>0.4166666666666667</v>
      </c>
      <c r="E1753" s="125">
        <v>0.75</v>
      </c>
    </row>
    <row r="1754">
      <c r="A1754" s="26" t="s">
        <v>265</v>
      </c>
      <c r="B1754" s="124">
        <v>45912.0</v>
      </c>
      <c r="C1754" s="26" t="s">
        <v>5592</v>
      </c>
      <c r="D1754" s="125">
        <v>0.3333333333333333</v>
      </c>
      <c r="E1754" s="125">
        <v>0.6666666666666666</v>
      </c>
    </row>
    <row r="1755">
      <c r="A1755" s="26" t="s">
        <v>269</v>
      </c>
      <c r="B1755" s="124">
        <v>45912.0</v>
      </c>
      <c r="C1755" s="26" t="s">
        <v>5592</v>
      </c>
      <c r="D1755" s="125">
        <v>0.3333333333333333</v>
      </c>
      <c r="E1755" s="125">
        <v>0.6666666666666666</v>
      </c>
    </row>
    <row r="1756">
      <c r="A1756" s="26" t="s">
        <v>276</v>
      </c>
      <c r="B1756" s="124">
        <v>45912.0</v>
      </c>
      <c r="C1756" s="26" t="s">
        <v>5592</v>
      </c>
      <c r="D1756" s="125">
        <v>0.3333333333333333</v>
      </c>
      <c r="E1756" s="125">
        <v>0.6666666666666666</v>
      </c>
    </row>
    <row r="1757">
      <c r="A1757" s="26" t="s">
        <v>280</v>
      </c>
      <c r="B1757" s="124">
        <v>45912.0</v>
      </c>
      <c r="C1757" s="26" t="s">
        <v>5592</v>
      </c>
      <c r="D1757" s="125">
        <v>0.4166666666666667</v>
      </c>
      <c r="E1757" s="125">
        <v>0.75</v>
      </c>
    </row>
    <row r="1758">
      <c r="A1758" s="26" t="s">
        <v>243</v>
      </c>
      <c r="B1758" s="124">
        <v>45911.0</v>
      </c>
      <c r="C1758" s="26" t="s">
        <v>5592</v>
      </c>
      <c r="D1758" s="125">
        <v>0.3333333333333333</v>
      </c>
      <c r="E1758" s="125">
        <v>0.6666666666666666</v>
      </c>
    </row>
    <row r="1759">
      <c r="A1759" s="26" t="s">
        <v>248</v>
      </c>
      <c r="B1759" s="124">
        <v>45911.0</v>
      </c>
      <c r="C1759" s="26" t="s">
        <v>5592</v>
      </c>
      <c r="D1759" s="125">
        <v>0.3333333333333333</v>
      </c>
      <c r="E1759" s="125">
        <v>0.6666666666666666</v>
      </c>
    </row>
    <row r="1760">
      <c r="A1760" s="26" t="s">
        <v>253</v>
      </c>
      <c r="B1760" s="124">
        <v>45911.0</v>
      </c>
      <c r="C1760" s="26" t="s">
        <v>5592</v>
      </c>
      <c r="D1760" s="125">
        <v>0.4166666666666667</v>
      </c>
      <c r="E1760" s="125">
        <v>0.75</v>
      </c>
    </row>
    <row r="1761">
      <c r="A1761" s="26" t="s">
        <v>258</v>
      </c>
      <c r="B1761" s="124">
        <v>45911.0</v>
      </c>
      <c r="C1761" s="26" t="s">
        <v>5592</v>
      </c>
      <c r="D1761" s="125">
        <v>0.3333333333333333</v>
      </c>
      <c r="E1761" s="125">
        <v>0.6666666666666666</v>
      </c>
    </row>
    <row r="1762">
      <c r="A1762" s="26" t="s">
        <v>261</v>
      </c>
      <c r="B1762" s="124">
        <v>45911.0</v>
      </c>
      <c r="C1762" s="26" t="s">
        <v>5592</v>
      </c>
      <c r="D1762" s="125">
        <v>0.4166666666666667</v>
      </c>
      <c r="E1762" s="125">
        <v>0.75</v>
      </c>
    </row>
    <row r="1763">
      <c r="A1763" s="26" t="s">
        <v>265</v>
      </c>
      <c r="B1763" s="124">
        <v>45911.0</v>
      </c>
      <c r="C1763" s="26" t="s">
        <v>5592</v>
      </c>
      <c r="D1763" s="125">
        <v>0.3333333333333333</v>
      </c>
      <c r="E1763" s="125">
        <v>0.6666666666666666</v>
      </c>
    </row>
    <row r="1764">
      <c r="A1764" s="26" t="s">
        <v>269</v>
      </c>
      <c r="B1764" s="124">
        <v>45911.0</v>
      </c>
      <c r="C1764" s="26" t="s">
        <v>5592</v>
      </c>
      <c r="D1764" s="125">
        <v>0.3333333333333333</v>
      </c>
      <c r="E1764" s="125">
        <v>0.6666666666666666</v>
      </c>
    </row>
    <row r="1765">
      <c r="A1765" s="26" t="s">
        <v>276</v>
      </c>
      <c r="B1765" s="124">
        <v>45911.0</v>
      </c>
      <c r="C1765" s="26" t="s">
        <v>5592</v>
      </c>
      <c r="D1765" s="125">
        <v>0.3333333333333333</v>
      </c>
      <c r="E1765" s="125">
        <v>0.6666666666666666</v>
      </c>
    </row>
    <row r="1766">
      <c r="A1766" s="26" t="s">
        <v>280</v>
      </c>
      <c r="B1766" s="124">
        <v>45911.0</v>
      </c>
      <c r="C1766" s="26" t="s">
        <v>5592</v>
      </c>
      <c r="D1766" s="125">
        <v>0.4166666666666667</v>
      </c>
      <c r="E1766" s="125">
        <v>0.75</v>
      </c>
    </row>
    <row r="1767">
      <c r="A1767" s="26" t="s">
        <v>243</v>
      </c>
      <c r="B1767" s="124">
        <v>45910.0</v>
      </c>
      <c r="C1767" s="26" t="s">
        <v>5592</v>
      </c>
      <c r="D1767" s="125">
        <v>0.3333333333333333</v>
      </c>
      <c r="E1767" s="125">
        <v>0.6666666666666666</v>
      </c>
    </row>
    <row r="1768">
      <c r="A1768" s="26" t="s">
        <v>248</v>
      </c>
      <c r="B1768" s="124">
        <v>45910.0</v>
      </c>
      <c r="C1768" s="26" t="s">
        <v>5592</v>
      </c>
      <c r="D1768" s="125">
        <v>0.3333333333333333</v>
      </c>
      <c r="E1768" s="125">
        <v>0.6666666666666666</v>
      </c>
    </row>
    <row r="1769">
      <c r="A1769" s="26" t="s">
        <v>253</v>
      </c>
      <c r="B1769" s="124">
        <v>45910.0</v>
      </c>
      <c r="C1769" s="26" t="s">
        <v>5592</v>
      </c>
      <c r="D1769" s="125">
        <v>0.4166666666666667</v>
      </c>
      <c r="E1769" s="125">
        <v>0.75</v>
      </c>
    </row>
    <row r="1770">
      <c r="A1770" s="26" t="s">
        <v>258</v>
      </c>
      <c r="B1770" s="124">
        <v>45910.0</v>
      </c>
      <c r="C1770" s="26" t="s">
        <v>5592</v>
      </c>
      <c r="D1770" s="125">
        <v>0.3333333333333333</v>
      </c>
      <c r="E1770" s="125">
        <v>0.6666666666666666</v>
      </c>
    </row>
    <row r="1771">
      <c r="A1771" s="26" t="s">
        <v>261</v>
      </c>
      <c r="B1771" s="124">
        <v>45910.0</v>
      </c>
      <c r="C1771" s="26" t="s">
        <v>5592</v>
      </c>
      <c r="D1771" s="125">
        <v>0.4166666666666667</v>
      </c>
      <c r="E1771" s="125">
        <v>0.75</v>
      </c>
    </row>
    <row r="1772">
      <c r="A1772" s="26" t="s">
        <v>265</v>
      </c>
      <c r="B1772" s="124">
        <v>45910.0</v>
      </c>
      <c r="C1772" s="26" t="s">
        <v>5592</v>
      </c>
      <c r="D1772" s="125">
        <v>0.3333333333333333</v>
      </c>
      <c r="E1772" s="125">
        <v>0.6666666666666666</v>
      </c>
    </row>
    <row r="1773">
      <c r="A1773" s="26" t="s">
        <v>269</v>
      </c>
      <c r="B1773" s="124">
        <v>45910.0</v>
      </c>
      <c r="C1773" s="26" t="s">
        <v>5592</v>
      </c>
      <c r="D1773" s="125">
        <v>0.3333333333333333</v>
      </c>
      <c r="E1773" s="125">
        <v>0.6666666666666666</v>
      </c>
    </row>
    <row r="1774">
      <c r="A1774" s="26" t="s">
        <v>276</v>
      </c>
      <c r="B1774" s="124">
        <v>45910.0</v>
      </c>
      <c r="C1774" s="26" t="s">
        <v>5592</v>
      </c>
      <c r="D1774" s="125">
        <v>0.3333333333333333</v>
      </c>
      <c r="E1774" s="125">
        <v>0.6666666666666666</v>
      </c>
    </row>
    <row r="1775">
      <c r="A1775" s="26" t="s">
        <v>280</v>
      </c>
      <c r="B1775" s="124">
        <v>45910.0</v>
      </c>
      <c r="C1775" s="26" t="s">
        <v>5592</v>
      </c>
      <c r="D1775" s="125">
        <v>0.4166666666666667</v>
      </c>
      <c r="E1775" s="125">
        <v>0.75</v>
      </c>
    </row>
    <row r="1776">
      <c r="A1776" s="26" t="s">
        <v>243</v>
      </c>
      <c r="B1776" s="124">
        <v>45909.0</v>
      </c>
      <c r="C1776" s="26" t="s">
        <v>5592</v>
      </c>
      <c r="D1776" s="125">
        <v>0.3333333333333333</v>
      </c>
      <c r="E1776" s="125">
        <v>0.6666666666666666</v>
      </c>
    </row>
    <row r="1777">
      <c r="A1777" s="26" t="s">
        <v>248</v>
      </c>
      <c r="B1777" s="124">
        <v>45909.0</v>
      </c>
      <c r="C1777" s="26" t="s">
        <v>5592</v>
      </c>
      <c r="D1777" s="125">
        <v>0.3333333333333333</v>
      </c>
      <c r="E1777" s="125">
        <v>0.6666666666666666</v>
      </c>
    </row>
    <row r="1778">
      <c r="A1778" s="26" t="s">
        <v>253</v>
      </c>
      <c r="B1778" s="124">
        <v>45909.0</v>
      </c>
      <c r="C1778" s="26" t="s">
        <v>5592</v>
      </c>
      <c r="D1778" s="125">
        <v>0.4166666666666667</v>
      </c>
      <c r="E1778" s="125">
        <v>0.75</v>
      </c>
    </row>
    <row r="1779">
      <c r="A1779" s="26" t="s">
        <v>258</v>
      </c>
      <c r="B1779" s="124">
        <v>45909.0</v>
      </c>
      <c r="C1779" s="26" t="s">
        <v>5592</v>
      </c>
      <c r="D1779" s="125">
        <v>0.3333333333333333</v>
      </c>
      <c r="E1779" s="125">
        <v>0.6666666666666666</v>
      </c>
    </row>
    <row r="1780">
      <c r="A1780" s="26" t="s">
        <v>261</v>
      </c>
      <c r="B1780" s="124">
        <v>45909.0</v>
      </c>
      <c r="C1780" s="26" t="s">
        <v>5592</v>
      </c>
      <c r="D1780" s="125">
        <v>0.4166666666666667</v>
      </c>
      <c r="E1780" s="125">
        <v>0.75</v>
      </c>
    </row>
    <row r="1781">
      <c r="A1781" s="26" t="s">
        <v>265</v>
      </c>
      <c r="B1781" s="124">
        <v>45909.0</v>
      </c>
      <c r="C1781" s="26" t="s">
        <v>5592</v>
      </c>
      <c r="D1781" s="125">
        <v>0.3333333333333333</v>
      </c>
      <c r="E1781" s="125">
        <v>0.6666666666666666</v>
      </c>
    </row>
    <row r="1782">
      <c r="A1782" s="26" t="s">
        <v>269</v>
      </c>
      <c r="B1782" s="124">
        <v>45909.0</v>
      </c>
      <c r="C1782" s="26" t="s">
        <v>5592</v>
      </c>
      <c r="D1782" s="125">
        <v>0.3333333333333333</v>
      </c>
      <c r="E1782" s="125">
        <v>0.6666666666666666</v>
      </c>
    </row>
    <row r="1783">
      <c r="A1783" s="26" t="s">
        <v>276</v>
      </c>
      <c r="B1783" s="124">
        <v>45909.0</v>
      </c>
      <c r="C1783" s="26" t="s">
        <v>5592</v>
      </c>
      <c r="D1783" s="125">
        <v>0.3333333333333333</v>
      </c>
      <c r="E1783" s="125">
        <v>0.6666666666666666</v>
      </c>
    </row>
    <row r="1784">
      <c r="A1784" s="26" t="s">
        <v>280</v>
      </c>
      <c r="B1784" s="124">
        <v>45909.0</v>
      </c>
      <c r="C1784" s="26" t="s">
        <v>5592</v>
      </c>
      <c r="D1784" s="125">
        <v>0.4166666666666667</v>
      </c>
      <c r="E1784" s="125">
        <v>0.75</v>
      </c>
    </row>
    <row r="1785">
      <c r="A1785" s="26" t="s">
        <v>243</v>
      </c>
      <c r="B1785" s="124">
        <v>45908.0</v>
      </c>
      <c r="C1785" s="26" t="s">
        <v>5592</v>
      </c>
      <c r="D1785" s="125">
        <v>0.3333333333333333</v>
      </c>
      <c r="E1785" s="125">
        <v>0.6666666666666666</v>
      </c>
    </row>
    <row r="1786">
      <c r="A1786" s="26" t="s">
        <v>248</v>
      </c>
      <c r="B1786" s="124">
        <v>45908.0</v>
      </c>
      <c r="C1786" s="26" t="s">
        <v>5592</v>
      </c>
      <c r="D1786" s="125">
        <v>0.3333333333333333</v>
      </c>
      <c r="E1786" s="125">
        <v>0.6666666666666666</v>
      </c>
    </row>
    <row r="1787">
      <c r="A1787" s="26" t="s">
        <v>253</v>
      </c>
      <c r="B1787" s="124">
        <v>45908.0</v>
      </c>
      <c r="C1787" s="26" t="s">
        <v>5592</v>
      </c>
      <c r="D1787" s="125">
        <v>0.4166666666666667</v>
      </c>
      <c r="E1787" s="125">
        <v>0.75</v>
      </c>
    </row>
    <row r="1788">
      <c r="A1788" s="26" t="s">
        <v>258</v>
      </c>
      <c r="B1788" s="124">
        <v>45908.0</v>
      </c>
      <c r="C1788" s="26" t="s">
        <v>5592</v>
      </c>
      <c r="D1788" s="125">
        <v>0.3333333333333333</v>
      </c>
      <c r="E1788" s="125">
        <v>0.6666666666666666</v>
      </c>
    </row>
    <row r="1789">
      <c r="A1789" s="26" t="s">
        <v>261</v>
      </c>
      <c r="B1789" s="124">
        <v>45908.0</v>
      </c>
      <c r="C1789" s="26" t="s">
        <v>5592</v>
      </c>
      <c r="D1789" s="125">
        <v>0.4166666666666667</v>
      </c>
      <c r="E1789" s="125">
        <v>0.75</v>
      </c>
    </row>
    <row r="1790">
      <c r="A1790" s="26" t="s">
        <v>265</v>
      </c>
      <c r="B1790" s="124">
        <v>45908.0</v>
      </c>
      <c r="C1790" s="26" t="s">
        <v>5592</v>
      </c>
      <c r="D1790" s="125">
        <v>0.3333333333333333</v>
      </c>
      <c r="E1790" s="125">
        <v>0.6666666666666666</v>
      </c>
    </row>
    <row r="1791">
      <c r="A1791" s="26" t="s">
        <v>269</v>
      </c>
      <c r="B1791" s="124">
        <v>45908.0</v>
      </c>
      <c r="C1791" s="26" t="s">
        <v>5592</v>
      </c>
      <c r="D1791" s="125">
        <v>0.3333333333333333</v>
      </c>
      <c r="E1791" s="125">
        <v>0.6666666666666666</v>
      </c>
    </row>
    <row r="1792">
      <c r="A1792" s="26" t="s">
        <v>276</v>
      </c>
      <c r="B1792" s="124">
        <v>45908.0</v>
      </c>
      <c r="C1792" s="26" t="s">
        <v>5592</v>
      </c>
      <c r="D1792" s="125">
        <v>0.3333333333333333</v>
      </c>
      <c r="E1792" s="125">
        <v>0.6666666666666666</v>
      </c>
    </row>
    <row r="1793">
      <c r="A1793" s="26" t="s">
        <v>280</v>
      </c>
      <c r="B1793" s="124">
        <v>45908.0</v>
      </c>
      <c r="C1793" s="26" t="s">
        <v>5592</v>
      </c>
      <c r="D1793" s="125">
        <v>0.4166666666666667</v>
      </c>
      <c r="E1793" s="125">
        <v>0.75</v>
      </c>
    </row>
    <row r="1794">
      <c r="A1794" s="26" t="s">
        <v>243</v>
      </c>
      <c r="B1794" s="124">
        <v>45906.0</v>
      </c>
      <c r="C1794" s="26" t="s">
        <v>5592</v>
      </c>
      <c r="D1794" s="125">
        <v>0.3333333333333333</v>
      </c>
      <c r="E1794" s="125">
        <v>0.6666666666666666</v>
      </c>
    </row>
    <row r="1795">
      <c r="A1795" s="26" t="s">
        <v>248</v>
      </c>
      <c r="B1795" s="124">
        <v>45906.0</v>
      </c>
      <c r="C1795" s="26" t="s">
        <v>5592</v>
      </c>
      <c r="D1795" s="125">
        <v>0.3333333333333333</v>
      </c>
      <c r="E1795" s="125">
        <v>0.6666666666666666</v>
      </c>
    </row>
    <row r="1796">
      <c r="A1796" s="26" t="s">
        <v>253</v>
      </c>
      <c r="B1796" s="124">
        <v>45906.0</v>
      </c>
      <c r="C1796" s="26" t="s">
        <v>5592</v>
      </c>
      <c r="D1796" s="125">
        <v>0.4166666666666667</v>
      </c>
      <c r="E1796" s="125">
        <v>0.75</v>
      </c>
    </row>
    <row r="1797">
      <c r="A1797" s="26" t="s">
        <v>258</v>
      </c>
      <c r="B1797" s="124">
        <v>45906.0</v>
      </c>
      <c r="C1797" s="26" t="s">
        <v>5592</v>
      </c>
      <c r="D1797" s="125">
        <v>0.3333333333333333</v>
      </c>
      <c r="E1797" s="125">
        <v>0.6666666666666666</v>
      </c>
    </row>
    <row r="1798">
      <c r="A1798" s="26" t="s">
        <v>261</v>
      </c>
      <c r="B1798" s="124">
        <v>45906.0</v>
      </c>
      <c r="C1798" s="26" t="s">
        <v>5592</v>
      </c>
      <c r="D1798" s="125">
        <v>0.4166666666666667</v>
      </c>
      <c r="E1798" s="125">
        <v>0.75</v>
      </c>
    </row>
    <row r="1799">
      <c r="A1799" s="26" t="s">
        <v>265</v>
      </c>
      <c r="B1799" s="124">
        <v>45906.0</v>
      </c>
      <c r="C1799" s="26" t="s">
        <v>5592</v>
      </c>
      <c r="D1799" s="125">
        <v>0.3333333333333333</v>
      </c>
      <c r="E1799" s="125">
        <v>0.6666666666666666</v>
      </c>
    </row>
    <row r="1800">
      <c r="A1800" s="26" t="s">
        <v>269</v>
      </c>
      <c r="B1800" s="124">
        <v>45906.0</v>
      </c>
      <c r="C1800" s="26" t="s">
        <v>5592</v>
      </c>
      <c r="D1800" s="125">
        <v>0.3333333333333333</v>
      </c>
      <c r="E1800" s="125">
        <v>0.6666666666666666</v>
      </c>
    </row>
    <row r="1801">
      <c r="A1801" s="26" t="s">
        <v>276</v>
      </c>
      <c r="B1801" s="124">
        <v>45906.0</v>
      </c>
      <c r="C1801" s="26" t="s">
        <v>5592</v>
      </c>
      <c r="D1801" s="125">
        <v>0.3333333333333333</v>
      </c>
      <c r="E1801" s="125">
        <v>0.6666666666666666</v>
      </c>
    </row>
    <row r="1802">
      <c r="A1802" s="26" t="s">
        <v>280</v>
      </c>
      <c r="B1802" s="124">
        <v>45906.0</v>
      </c>
      <c r="C1802" s="26" t="s">
        <v>5592</v>
      </c>
      <c r="D1802" s="125">
        <v>0.4166666666666667</v>
      </c>
      <c r="E1802" s="125">
        <v>0.75</v>
      </c>
    </row>
    <row r="1803">
      <c r="A1803" s="26" t="s">
        <v>243</v>
      </c>
      <c r="B1803" s="124">
        <v>45905.0</v>
      </c>
      <c r="C1803" s="26" t="s">
        <v>5592</v>
      </c>
      <c r="D1803" s="125">
        <v>0.3333333333333333</v>
      </c>
      <c r="E1803" s="125">
        <v>0.6666666666666666</v>
      </c>
    </row>
    <row r="1804">
      <c r="A1804" s="26" t="s">
        <v>248</v>
      </c>
      <c r="B1804" s="124">
        <v>45905.0</v>
      </c>
      <c r="C1804" s="26" t="s">
        <v>5592</v>
      </c>
      <c r="D1804" s="125">
        <v>0.3333333333333333</v>
      </c>
      <c r="E1804" s="125">
        <v>0.6666666666666666</v>
      </c>
    </row>
    <row r="1805">
      <c r="A1805" s="26" t="s">
        <v>253</v>
      </c>
      <c r="B1805" s="124">
        <v>45905.0</v>
      </c>
      <c r="C1805" s="26" t="s">
        <v>5592</v>
      </c>
      <c r="D1805" s="125">
        <v>0.4166666666666667</v>
      </c>
      <c r="E1805" s="125">
        <v>0.75</v>
      </c>
    </row>
    <row r="1806">
      <c r="A1806" s="26" t="s">
        <v>258</v>
      </c>
      <c r="B1806" s="124">
        <v>45905.0</v>
      </c>
      <c r="C1806" s="26" t="s">
        <v>5592</v>
      </c>
      <c r="D1806" s="125">
        <v>0.3333333333333333</v>
      </c>
      <c r="E1806" s="125">
        <v>0.6666666666666666</v>
      </c>
    </row>
    <row r="1807">
      <c r="A1807" s="26" t="s">
        <v>261</v>
      </c>
      <c r="B1807" s="124">
        <v>45905.0</v>
      </c>
      <c r="C1807" s="26" t="s">
        <v>5592</v>
      </c>
      <c r="D1807" s="125">
        <v>0.4166666666666667</v>
      </c>
      <c r="E1807" s="125">
        <v>0.75</v>
      </c>
    </row>
    <row r="1808">
      <c r="A1808" s="26" t="s">
        <v>265</v>
      </c>
      <c r="B1808" s="124">
        <v>45905.0</v>
      </c>
      <c r="C1808" s="26" t="s">
        <v>5592</v>
      </c>
      <c r="D1808" s="125">
        <v>0.3333333333333333</v>
      </c>
      <c r="E1808" s="125">
        <v>0.6666666666666666</v>
      </c>
    </row>
    <row r="1809">
      <c r="A1809" s="26" t="s">
        <v>269</v>
      </c>
      <c r="B1809" s="124">
        <v>45905.0</v>
      </c>
      <c r="C1809" s="26" t="s">
        <v>5592</v>
      </c>
      <c r="D1809" s="125">
        <v>0.3333333333333333</v>
      </c>
      <c r="E1809" s="125">
        <v>0.6666666666666666</v>
      </c>
    </row>
    <row r="1810">
      <c r="A1810" s="26" t="s">
        <v>276</v>
      </c>
      <c r="B1810" s="124">
        <v>45905.0</v>
      </c>
      <c r="C1810" s="26" t="s">
        <v>5592</v>
      </c>
      <c r="D1810" s="125">
        <v>0.3333333333333333</v>
      </c>
      <c r="E1810" s="125">
        <v>0.6666666666666666</v>
      </c>
    </row>
    <row r="1811">
      <c r="A1811" s="26" t="s">
        <v>280</v>
      </c>
      <c r="B1811" s="124">
        <v>45905.0</v>
      </c>
      <c r="C1811" s="26" t="s">
        <v>5592</v>
      </c>
      <c r="D1811" s="125">
        <v>0.4166666666666667</v>
      </c>
      <c r="E1811" s="125">
        <v>0.75</v>
      </c>
    </row>
    <row r="1812">
      <c r="A1812" s="26" t="s">
        <v>243</v>
      </c>
      <c r="B1812" s="124">
        <v>45904.0</v>
      </c>
      <c r="C1812" s="26" t="s">
        <v>5592</v>
      </c>
      <c r="D1812" s="125">
        <v>0.3333333333333333</v>
      </c>
      <c r="E1812" s="125">
        <v>0.6666666666666666</v>
      </c>
    </row>
    <row r="1813">
      <c r="A1813" s="26" t="s">
        <v>248</v>
      </c>
      <c r="B1813" s="124">
        <v>45904.0</v>
      </c>
      <c r="C1813" s="26" t="s">
        <v>5592</v>
      </c>
      <c r="D1813" s="125">
        <v>0.3333333333333333</v>
      </c>
      <c r="E1813" s="125">
        <v>0.6666666666666666</v>
      </c>
    </row>
    <row r="1814">
      <c r="A1814" s="26" t="s">
        <v>253</v>
      </c>
      <c r="B1814" s="124">
        <v>45904.0</v>
      </c>
      <c r="C1814" s="26" t="s">
        <v>5592</v>
      </c>
      <c r="D1814" s="125">
        <v>0.4166666666666667</v>
      </c>
      <c r="E1814" s="125">
        <v>0.75</v>
      </c>
    </row>
    <row r="1815">
      <c r="A1815" s="26" t="s">
        <v>258</v>
      </c>
      <c r="B1815" s="124">
        <v>45904.0</v>
      </c>
      <c r="C1815" s="26" t="s">
        <v>5592</v>
      </c>
      <c r="D1815" s="125">
        <v>0.3333333333333333</v>
      </c>
      <c r="E1815" s="125">
        <v>0.6666666666666666</v>
      </c>
    </row>
    <row r="1816">
      <c r="A1816" s="26" t="s">
        <v>261</v>
      </c>
      <c r="B1816" s="124">
        <v>45904.0</v>
      </c>
      <c r="C1816" s="26" t="s">
        <v>5592</v>
      </c>
      <c r="D1816" s="125">
        <v>0.4166666666666667</v>
      </c>
      <c r="E1816" s="125">
        <v>0.75</v>
      </c>
    </row>
    <row r="1817">
      <c r="A1817" s="26" t="s">
        <v>265</v>
      </c>
      <c r="B1817" s="124">
        <v>45904.0</v>
      </c>
      <c r="C1817" s="26" t="s">
        <v>5592</v>
      </c>
      <c r="D1817" s="125">
        <v>0.3333333333333333</v>
      </c>
      <c r="E1817" s="125">
        <v>0.6666666666666666</v>
      </c>
    </row>
    <row r="1818">
      <c r="A1818" s="26" t="s">
        <v>269</v>
      </c>
      <c r="B1818" s="124">
        <v>45904.0</v>
      </c>
      <c r="C1818" s="26" t="s">
        <v>5592</v>
      </c>
      <c r="D1818" s="125">
        <v>0.3333333333333333</v>
      </c>
      <c r="E1818" s="125">
        <v>0.6666666666666666</v>
      </c>
    </row>
    <row r="1819">
      <c r="A1819" s="26" t="s">
        <v>276</v>
      </c>
      <c r="B1819" s="124">
        <v>45904.0</v>
      </c>
      <c r="C1819" s="26" t="s">
        <v>5592</v>
      </c>
      <c r="D1819" s="125">
        <v>0.3333333333333333</v>
      </c>
      <c r="E1819" s="125">
        <v>0.6666666666666666</v>
      </c>
    </row>
    <row r="1820">
      <c r="A1820" s="26" t="s">
        <v>280</v>
      </c>
      <c r="B1820" s="124">
        <v>45904.0</v>
      </c>
      <c r="C1820" s="26" t="s">
        <v>5592</v>
      </c>
      <c r="D1820" s="125">
        <v>0.4166666666666667</v>
      </c>
      <c r="E1820" s="125">
        <v>0.75</v>
      </c>
    </row>
    <row r="1821">
      <c r="A1821" s="26" t="s">
        <v>243</v>
      </c>
      <c r="B1821" s="124">
        <v>45903.0</v>
      </c>
      <c r="C1821" s="26" t="s">
        <v>5592</v>
      </c>
      <c r="D1821" s="125">
        <v>0.3333333333333333</v>
      </c>
      <c r="E1821" s="125">
        <v>0.6666666666666666</v>
      </c>
    </row>
    <row r="1822">
      <c r="A1822" s="26" t="s">
        <v>248</v>
      </c>
      <c r="B1822" s="124">
        <v>45903.0</v>
      </c>
      <c r="C1822" s="26" t="s">
        <v>5592</v>
      </c>
      <c r="D1822" s="125">
        <v>0.3333333333333333</v>
      </c>
      <c r="E1822" s="125">
        <v>0.6666666666666666</v>
      </c>
    </row>
    <row r="1823">
      <c r="A1823" s="26" t="s">
        <v>253</v>
      </c>
      <c r="B1823" s="124">
        <v>45903.0</v>
      </c>
      <c r="C1823" s="26" t="s">
        <v>5592</v>
      </c>
      <c r="D1823" s="125">
        <v>0.4166666666666667</v>
      </c>
      <c r="E1823" s="125">
        <v>0.75</v>
      </c>
    </row>
    <row r="1824">
      <c r="A1824" s="26" t="s">
        <v>258</v>
      </c>
      <c r="B1824" s="124">
        <v>45903.0</v>
      </c>
      <c r="C1824" s="26" t="s">
        <v>5592</v>
      </c>
      <c r="D1824" s="125">
        <v>0.3333333333333333</v>
      </c>
      <c r="E1824" s="125">
        <v>0.6666666666666666</v>
      </c>
    </row>
    <row r="1825">
      <c r="A1825" s="26" t="s">
        <v>261</v>
      </c>
      <c r="B1825" s="124">
        <v>45903.0</v>
      </c>
      <c r="C1825" s="26" t="s">
        <v>5592</v>
      </c>
      <c r="D1825" s="125">
        <v>0.4166666666666667</v>
      </c>
      <c r="E1825" s="125">
        <v>0.75</v>
      </c>
    </row>
    <row r="1826">
      <c r="A1826" s="26" t="s">
        <v>265</v>
      </c>
      <c r="B1826" s="124">
        <v>45903.0</v>
      </c>
      <c r="C1826" s="26" t="s">
        <v>5592</v>
      </c>
      <c r="D1826" s="125">
        <v>0.3333333333333333</v>
      </c>
      <c r="E1826" s="125">
        <v>0.6666666666666666</v>
      </c>
    </row>
    <row r="1827">
      <c r="A1827" s="26" t="s">
        <v>269</v>
      </c>
      <c r="B1827" s="124">
        <v>45903.0</v>
      </c>
      <c r="C1827" s="26" t="s">
        <v>5592</v>
      </c>
      <c r="D1827" s="125">
        <v>0.3333333333333333</v>
      </c>
      <c r="E1827" s="125">
        <v>0.6666666666666666</v>
      </c>
    </row>
    <row r="1828">
      <c r="A1828" s="26" t="s">
        <v>276</v>
      </c>
      <c r="B1828" s="124">
        <v>45903.0</v>
      </c>
      <c r="C1828" s="26" t="s">
        <v>5592</v>
      </c>
      <c r="D1828" s="125">
        <v>0.3333333333333333</v>
      </c>
      <c r="E1828" s="125">
        <v>0.6666666666666666</v>
      </c>
    </row>
    <row r="1829">
      <c r="A1829" s="26" t="s">
        <v>280</v>
      </c>
      <c r="B1829" s="124">
        <v>45903.0</v>
      </c>
      <c r="C1829" s="26" t="s">
        <v>5592</v>
      </c>
      <c r="D1829" s="125">
        <v>0.4166666666666667</v>
      </c>
      <c r="E1829" s="125">
        <v>0.75</v>
      </c>
    </row>
    <row r="1830">
      <c r="A1830" s="26" t="s">
        <v>243</v>
      </c>
      <c r="B1830" s="124">
        <v>45901.0</v>
      </c>
      <c r="C1830" s="26" t="s">
        <v>5592</v>
      </c>
      <c r="D1830" s="125">
        <v>0.3333333333333333</v>
      </c>
      <c r="E1830" s="125">
        <v>0.6666666666666666</v>
      </c>
    </row>
    <row r="1831">
      <c r="A1831" s="26" t="s">
        <v>248</v>
      </c>
      <c r="B1831" s="124">
        <v>45901.0</v>
      </c>
      <c r="C1831" s="26" t="s">
        <v>5592</v>
      </c>
      <c r="D1831" s="125">
        <v>0.3333333333333333</v>
      </c>
      <c r="E1831" s="125">
        <v>0.6666666666666666</v>
      </c>
    </row>
    <row r="1832">
      <c r="A1832" s="26" t="s">
        <v>253</v>
      </c>
      <c r="B1832" s="124">
        <v>45901.0</v>
      </c>
      <c r="C1832" s="26" t="s">
        <v>5592</v>
      </c>
      <c r="D1832" s="125">
        <v>0.4166666666666667</v>
      </c>
      <c r="E1832" s="125">
        <v>0.75</v>
      </c>
    </row>
    <row r="1833">
      <c r="A1833" s="26" t="s">
        <v>258</v>
      </c>
      <c r="B1833" s="124">
        <v>45901.0</v>
      </c>
      <c r="C1833" s="26" t="s">
        <v>5592</v>
      </c>
      <c r="D1833" s="125">
        <v>0.3333333333333333</v>
      </c>
      <c r="E1833" s="125">
        <v>0.6666666666666666</v>
      </c>
    </row>
    <row r="1834">
      <c r="A1834" s="26" t="s">
        <v>261</v>
      </c>
      <c r="B1834" s="124">
        <v>45901.0</v>
      </c>
      <c r="C1834" s="26" t="s">
        <v>5592</v>
      </c>
      <c r="D1834" s="125">
        <v>0.4166666666666667</v>
      </c>
      <c r="E1834" s="125">
        <v>0.75</v>
      </c>
    </row>
    <row r="1835">
      <c r="A1835" s="26" t="s">
        <v>265</v>
      </c>
      <c r="B1835" s="124">
        <v>45901.0</v>
      </c>
      <c r="C1835" s="26" t="s">
        <v>5592</v>
      </c>
      <c r="D1835" s="125">
        <v>0.3333333333333333</v>
      </c>
      <c r="E1835" s="125">
        <v>0.6666666666666666</v>
      </c>
    </row>
    <row r="1836">
      <c r="A1836" s="26" t="s">
        <v>269</v>
      </c>
      <c r="B1836" s="124">
        <v>45901.0</v>
      </c>
      <c r="C1836" s="26" t="s">
        <v>5592</v>
      </c>
      <c r="D1836" s="125">
        <v>0.3333333333333333</v>
      </c>
      <c r="E1836" s="125">
        <v>0.6666666666666666</v>
      </c>
    </row>
    <row r="1837">
      <c r="A1837" s="26" t="s">
        <v>276</v>
      </c>
      <c r="B1837" s="124">
        <v>45901.0</v>
      </c>
      <c r="C1837" s="26" t="s">
        <v>5592</v>
      </c>
      <c r="D1837" s="125">
        <v>0.3333333333333333</v>
      </c>
      <c r="E1837" s="125">
        <v>0.6666666666666666</v>
      </c>
    </row>
    <row r="1838">
      <c r="A1838" s="26" t="s">
        <v>280</v>
      </c>
      <c r="B1838" s="124">
        <v>45901.0</v>
      </c>
      <c r="C1838" s="26" t="s">
        <v>5592</v>
      </c>
      <c r="D1838" s="125">
        <v>0.4166666666666667</v>
      </c>
      <c r="E1838" s="125">
        <v>0.75</v>
      </c>
    </row>
    <row r="1839">
      <c r="A1839" s="26" t="s">
        <v>243</v>
      </c>
      <c r="B1839" s="124">
        <v>45899.0</v>
      </c>
      <c r="C1839" s="26" t="s">
        <v>5592</v>
      </c>
      <c r="D1839" s="125">
        <v>0.3333333333333333</v>
      </c>
      <c r="E1839" s="125">
        <v>0.6666666666666666</v>
      </c>
    </row>
    <row r="1840">
      <c r="A1840" s="26" t="s">
        <v>248</v>
      </c>
      <c r="B1840" s="124">
        <v>45899.0</v>
      </c>
      <c r="C1840" s="26" t="s">
        <v>5592</v>
      </c>
      <c r="D1840" s="125">
        <v>0.3333333333333333</v>
      </c>
      <c r="E1840" s="125">
        <v>0.6666666666666666</v>
      </c>
    </row>
    <row r="1841">
      <c r="A1841" s="26" t="s">
        <v>253</v>
      </c>
      <c r="B1841" s="124">
        <v>45899.0</v>
      </c>
      <c r="C1841" s="26" t="s">
        <v>5592</v>
      </c>
      <c r="D1841" s="125">
        <v>0.4166666666666667</v>
      </c>
      <c r="E1841" s="125">
        <v>0.75</v>
      </c>
    </row>
    <row r="1842">
      <c r="A1842" s="26" t="s">
        <v>258</v>
      </c>
      <c r="B1842" s="124">
        <v>45899.0</v>
      </c>
      <c r="C1842" s="26" t="s">
        <v>5592</v>
      </c>
      <c r="D1842" s="125">
        <v>0.3333333333333333</v>
      </c>
      <c r="E1842" s="125">
        <v>0.6666666666666666</v>
      </c>
    </row>
    <row r="1843">
      <c r="A1843" s="26" t="s">
        <v>261</v>
      </c>
      <c r="B1843" s="124">
        <v>45899.0</v>
      </c>
      <c r="C1843" s="26" t="s">
        <v>5592</v>
      </c>
      <c r="D1843" s="125">
        <v>0.4166666666666667</v>
      </c>
      <c r="E1843" s="125">
        <v>0.75</v>
      </c>
    </row>
    <row r="1844">
      <c r="A1844" s="26" t="s">
        <v>265</v>
      </c>
      <c r="B1844" s="124">
        <v>45899.0</v>
      </c>
      <c r="C1844" s="26" t="s">
        <v>5592</v>
      </c>
      <c r="D1844" s="125">
        <v>0.3333333333333333</v>
      </c>
      <c r="E1844" s="125">
        <v>0.6666666666666666</v>
      </c>
    </row>
    <row r="1845">
      <c r="A1845" s="26" t="s">
        <v>269</v>
      </c>
      <c r="B1845" s="124">
        <v>45899.0</v>
      </c>
      <c r="C1845" s="26" t="s">
        <v>5592</v>
      </c>
      <c r="D1845" s="125">
        <v>0.3333333333333333</v>
      </c>
      <c r="E1845" s="125">
        <v>0.6666666666666666</v>
      </c>
    </row>
    <row r="1846">
      <c r="A1846" s="26" t="s">
        <v>276</v>
      </c>
      <c r="B1846" s="124">
        <v>45899.0</v>
      </c>
      <c r="C1846" s="26" t="s">
        <v>5592</v>
      </c>
      <c r="D1846" s="125">
        <v>0.3333333333333333</v>
      </c>
      <c r="E1846" s="125">
        <v>0.6666666666666666</v>
      </c>
    </row>
    <row r="1847">
      <c r="A1847" s="26" t="s">
        <v>280</v>
      </c>
      <c r="B1847" s="124">
        <v>45899.0</v>
      </c>
      <c r="C1847" s="26" t="s">
        <v>5592</v>
      </c>
      <c r="D1847" s="125">
        <v>0.4166666666666667</v>
      </c>
      <c r="E1847" s="125">
        <v>0.75</v>
      </c>
    </row>
    <row r="1848">
      <c r="A1848" s="26" t="s">
        <v>243</v>
      </c>
      <c r="B1848" s="124">
        <v>45898.0</v>
      </c>
      <c r="C1848" s="26" t="s">
        <v>5592</v>
      </c>
      <c r="D1848" s="125">
        <v>0.3333333333333333</v>
      </c>
      <c r="E1848" s="125">
        <v>0.6666666666666666</v>
      </c>
    </row>
    <row r="1849">
      <c r="A1849" s="26" t="s">
        <v>248</v>
      </c>
      <c r="B1849" s="124">
        <v>45898.0</v>
      </c>
      <c r="C1849" s="26" t="s">
        <v>5592</v>
      </c>
      <c r="D1849" s="125">
        <v>0.3333333333333333</v>
      </c>
      <c r="E1849" s="125">
        <v>0.6666666666666666</v>
      </c>
    </row>
    <row r="1850">
      <c r="A1850" s="26" t="s">
        <v>253</v>
      </c>
      <c r="B1850" s="124">
        <v>45898.0</v>
      </c>
      <c r="C1850" s="26" t="s">
        <v>5592</v>
      </c>
      <c r="D1850" s="125">
        <v>0.4166666666666667</v>
      </c>
      <c r="E1850" s="125">
        <v>0.75</v>
      </c>
    </row>
    <row r="1851">
      <c r="A1851" s="26" t="s">
        <v>258</v>
      </c>
      <c r="B1851" s="124">
        <v>45898.0</v>
      </c>
      <c r="C1851" s="26" t="s">
        <v>5592</v>
      </c>
      <c r="D1851" s="125">
        <v>0.3333333333333333</v>
      </c>
      <c r="E1851" s="125">
        <v>0.6666666666666666</v>
      </c>
    </row>
    <row r="1852">
      <c r="A1852" s="26" t="s">
        <v>261</v>
      </c>
      <c r="B1852" s="124">
        <v>45898.0</v>
      </c>
      <c r="C1852" s="26" t="s">
        <v>5592</v>
      </c>
      <c r="D1852" s="125">
        <v>0.4166666666666667</v>
      </c>
      <c r="E1852" s="125">
        <v>0.75</v>
      </c>
    </row>
    <row r="1853">
      <c r="A1853" s="26" t="s">
        <v>265</v>
      </c>
      <c r="B1853" s="124">
        <v>45898.0</v>
      </c>
      <c r="C1853" s="26" t="s">
        <v>5592</v>
      </c>
      <c r="D1853" s="125">
        <v>0.3333333333333333</v>
      </c>
      <c r="E1853" s="125">
        <v>0.6666666666666666</v>
      </c>
    </row>
    <row r="1854">
      <c r="A1854" s="26" t="s">
        <v>269</v>
      </c>
      <c r="B1854" s="124">
        <v>45898.0</v>
      </c>
      <c r="C1854" s="26" t="s">
        <v>5592</v>
      </c>
      <c r="D1854" s="125">
        <v>0.3333333333333333</v>
      </c>
      <c r="E1854" s="125">
        <v>0.6666666666666666</v>
      </c>
    </row>
    <row r="1855">
      <c r="A1855" s="26" t="s">
        <v>276</v>
      </c>
      <c r="B1855" s="124">
        <v>45898.0</v>
      </c>
      <c r="C1855" s="26" t="s">
        <v>5592</v>
      </c>
      <c r="D1855" s="125">
        <v>0.3333333333333333</v>
      </c>
      <c r="E1855" s="125">
        <v>0.6666666666666666</v>
      </c>
    </row>
    <row r="1856">
      <c r="A1856" s="26" t="s">
        <v>280</v>
      </c>
      <c r="B1856" s="124">
        <v>45898.0</v>
      </c>
      <c r="C1856" s="26" t="s">
        <v>5592</v>
      </c>
      <c r="D1856" s="125">
        <v>0.4166666666666667</v>
      </c>
      <c r="E1856" s="125">
        <v>0.75</v>
      </c>
    </row>
    <row r="1857">
      <c r="A1857" s="26" t="s">
        <v>243</v>
      </c>
      <c r="B1857" s="124">
        <v>45897.0</v>
      </c>
      <c r="C1857" s="26" t="s">
        <v>5592</v>
      </c>
      <c r="D1857" s="125">
        <v>0.3333333333333333</v>
      </c>
      <c r="E1857" s="125">
        <v>0.6666666666666666</v>
      </c>
    </row>
    <row r="1858">
      <c r="A1858" s="26" t="s">
        <v>248</v>
      </c>
      <c r="B1858" s="124">
        <v>45897.0</v>
      </c>
      <c r="C1858" s="26" t="s">
        <v>5592</v>
      </c>
      <c r="D1858" s="125">
        <v>0.3333333333333333</v>
      </c>
      <c r="E1858" s="125">
        <v>0.6666666666666666</v>
      </c>
    </row>
    <row r="1859">
      <c r="A1859" s="26" t="s">
        <v>253</v>
      </c>
      <c r="B1859" s="124">
        <v>45897.0</v>
      </c>
      <c r="C1859" s="26" t="s">
        <v>5592</v>
      </c>
      <c r="D1859" s="125">
        <v>0.4166666666666667</v>
      </c>
      <c r="E1859" s="125">
        <v>0.75</v>
      </c>
    </row>
    <row r="1860">
      <c r="A1860" s="26" t="s">
        <v>258</v>
      </c>
      <c r="B1860" s="124">
        <v>45897.0</v>
      </c>
      <c r="C1860" s="26" t="s">
        <v>5592</v>
      </c>
      <c r="D1860" s="125">
        <v>0.3333333333333333</v>
      </c>
      <c r="E1860" s="125">
        <v>0.6666666666666666</v>
      </c>
    </row>
    <row r="1861">
      <c r="A1861" s="26" t="s">
        <v>261</v>
      </c>
      <c r="B1861" s="124">
        <v>45897.0</v>
      </c>
      <c r="C1861" s="26" t="s">
        <v>5592</v>
      </c>
      <c r="D1861" s="125">
        <v>0.4166666666666667</v>
      </c>
      <c r="E1861" s="125">
        <v>0.75</v>
      </c>
    </row>
    <row r="1862">
      <c r="A1862" s="26" t="s">
        <v>265</v>
      </c>
      <c r="B1862" s="124">
        <v>45897.0</v>
      </c>
      <c r="C1862" s="26" t="s">
        <v>5592</v>
      </c>
      <c r="D1862" s="125">
        <v>0.3333333333333333</v>
      </c>
      <c r="E1862" s="125">
        <v>0.6666666666666666</v>
      </c>
    </row>
    <row r="1863">
      <c r="A1863" s="26" t="s">
        <v>269</v>
      </c>
      <c r="B1863" s="124">
        <v>45897.0</v>
      </c>
      <c r="C1863" s="26" t="s">
        <v>5592</v>
      </c>
      <c r="D1863" s="125">
        <v>0.3333333333333333</v>
      </c>
      <c r="E1863" s="125">
        <v>0.6666666666666666</v>
      </c>
    </row>
    <row r="1864">
      <c r="A1864" s="26" t="s">
        <v>276</v>
      </c>
      <c r="B1864" s="124">
        <v>45897.0</v>
      </c>
      <c r="C1864" s="26" t="s">
        <v>5592</v>
      </c>
      <c r="D1864" s="125">
        <v>0.3333333333333333</v>
      </c>
      <c r="E1864" s="125">
        <v>0.6666666666666666</v>
      </c>
    </row>
    <row r="1865">
      <c r="A1865" s="26" t="s">
        <v>280</v>
      </c>
      <c r="B1865" s="124">
        <v>45897.0</v>
      </c>
      <c r="C1865" s="26" t="s">
        <v>5592</v>
      </c>
      <c r="D1865" s="125">
        <v>0.4166666666666667</v>
      </c>
      <c r="E1865" s="125">
        <v>0.75</v>
      </c>
    </row>
    <row r="1866">
      <c r="A1866" s="26" t="s">
        <v>243</v>
      </c>
      <c r="B1866" s="124">
        <v>45896.0</v>
      </c>
      <c r="C1866" s="26" t="s">
        <v>5592</v>
      </c>
      <c r="D1866" s="125">
        <v>0.3333333333333333</v>
      </c>
      <c r="E1866" s="125">
        <v>0.6666666666666666</v>
      </c>
    </row>
    <row r="1867">
      <c r="A1867" s="26" t="s">
        <v>248</v>
      </c>
      <c r="B1867" s="124">
        <v>45896.0</v>
      </c>
      <c r="C1867" s="26" t="s">
        <v>5592</v>
      </c>
      <c r="D1867" s="125">
        <v>0.3333333333333333</v>
      </c>
      <c r="E1867" s="125">
        <v>0.6666666666666666</v>
      </c>
    </row>
    <row r="1868">
      <c r="A1868" s="26" t="s">
        <v>253</v>
      </c>
      <c r="B1868" s="124">
        <v>45896.0</v>
      </c>
      <c r="C1868" s="26" t="s">
        <v>5592</v>
      </c>
      <c r="D1868" s="125">
        <v>0.4166666666666667</v>
      </c>
      <c r="E1868" s="125">
        <v>0.75</v>
      </c>
    </row>
    <row r="1869">
      <c r="A1869" s="26" t="s">
        <v>258</v>
      </c>
      <c r="B1869" s="124">
        <v>45896.0</v>
      </c>
      <c r="C1869" s="26" t="s">
        <v>5592</v>
      </c>
      <c r="D1869" s="125">
        <v>0.3333333333333333</v>
      </c>
      <c r="E1869" s="125">
        <v>0.6666666666666666</v>
      </c>
    </row>
    <row r="1870">
      <c r="A1870" s="26" t="s">
        <v>261</v>
      </c>
      <c r="B1870" s="124">
        <v>45896.0</v>
      </c>
      <c r="C1870" s="26" t="s">
        <v>5592</v>
      </c>
      <c r="D1870" s="125">
        <v>0.4166666666666667</v>
      </c>
      <c r="E1870" s="125">
        <v>0.75</v>
      </c>
    </row>
    <row r="1871">
      <c r="A1871" s="26" t="s">
        <v>265</v>
      </c>
      <c r="B1871" s="124">
        <v>45896.0</v>
      </c>
      <c r="C1871" s="26" t="s">
        <v>5592</v>
      </c>
      <c r="D1871" s="125">
        <v>0.3333333333333333</v>
      </c>
      <c r="E1871" s="125">
        <v>0.6666666666666666</v>
      </c>
    </row>
    <row r="1872">
      <c r="A1872" s="26" t="s">
        <v>269</v>
      </c>
      <c r="B1872" s="124">
        <v>45896.0</v>
      </c>
      <c r="C1872" s="26" t="s">
        <v>5592</v>
      </c>
      <c r="D1872" s="125">
        <v>0.3333333333333333</v>
      </c>
      <c r="E1872" s="125">
        <v>0.6666666666666666</v>
      </c>
    </row>
    <row r="1873">
      <c r="A1873" s="26" t="s">
        <v>276</v>
      </c>
      <c r="B1873" s="124">
        <v>45896.0</v>
      </c>
      <c r="C1873" s="26" t="s">
        <v>5592</v>
      </c>
      <c r="D1873" s="125">
        <v>0.3333333333333333</v>
      </c>
      <c r="E1873" s="125">
        <v>0.6666666666666666</v>
      </c>
    </row>
    <row r="1874">
      <c r="A1874" s="26" t="s">
        <v>280</v>
      </c>
      <c r="B1874" s="124">
        <v>45896.0</v>
      </c>
      <c r="C1874" s="26" t="s">
        <v>5592</v>
      </c>
      <c r="D1874" s="125">
        <v>0.4166666666666667</v>
      </c>
      <c r="E1874" s="125">
        <v>0.75</v>
      </c>
    </row>
    <row r="1875">
      <c r="A1875" s="26" t="s">
        <v>243</v>
      </c>
      <c r="B1875" s="124">
        <v>45895.0</v>
      </c>
      <c r="C1875" s="26" t="s">
        <v>5592</v>
      </c>
      <c r="D1875" s="125">
        <v>0.3333333333333333</v>
      </c>
      <c r="E1875" s="125">
        <v>0.6666666666666666</v>
      </c>
    </row>
    <row r="1876">
      <c r="A1876" s="26" t="s">
        <v>248</v>
      </c>
      <c r="B1876" s="124">
        <v>45895.0</v>
      </c>
      <c r="C1876" s="26" t="s">
        <v>5592</v>
      </c>
      <c r="D1876" s="125">
        <v>0.3333333333333333</v>
      </c>
      <c r="E1876" s="125">
        <v>0.6666666666666666</v>
      </c>
    </row>
    <row r="1877">
      <c r="A1877" s="26" t="s">
        <v>253</v>
      </c>
      <c r="B1877" s="124">
        <v>45895.0</v>
      </c>
      <c r="C1877" s="26" t="s">
        <v>5592</v>
      </c>
      <c r="D1877" s="125">
        <v>0.4166666666666667</v>
      </c>
      <c r="E1877" s="125">
        <v>0.75</v>
      </c>
    </row>
    <row r="1878">
      <c r="A1878" s="26" t="s">
        <v>258</v>
      </c>
      <c r="B1878" s="124">
        <v>45895.0</v>
      </c>
      <c r="C1878" s="26" t="s">
        <v>5592</v>
      </c>
      <c r="D1878" s="125">
        <v>0.3333333333333333</v>
      </c>
      <c r="E1878" s="125">
        <v>0.6666666666666666</v>
      </c>
    </row>
    <row r="1879">
      <c r="A1879" s="26" t="s">
        <v>261</v>
      </c>
      <c r="B1879" s="124">
        <v>45895.0</v>
      </c>
      <c r="C1879" s="26" t="s">
        <v>5592</v>
      </c>
      <c r="D1879" s="125">
        <v>0.4166666666666667</v>
      </c>
      <c r="E1879" s="125">
        <v>0.75</v>
      </c>
    </row>
    <row r="1880">
      <c r="A1880" s="26" t="s">
        <v>265</v>
      </c>
      <c r="B1880" s="124">
        <v>45895.0</v>
      </c>
      <c r="C1880" s="26" t="s">
        <v>5592</v>
      </c>
      <c r="D1880" s="125">
        <v>0.3333333333333333</v>
      </c>
      <c r="E1880" s="125">
        <v>0.6666666666666666</v>
      </c>
    </row>
    <row r="1881">
      <c r="A1881" s="26" t="s">
        <v>269</v>
      </c>
      <c r="B1881" s="124">
        <v>45895.0</v>
      </c>
      <c r="C1881" s="26" t="s">
        <v>5592</v>
      </c>
      <c r="D1881" s="125">
        <v>0.3333333333333333</v>
      </c>
      <c r="E1881" s="125">
        <v>0.6666666666666666</v>
      </c>
    </row>
    <row r="1882">
      <c r="A1882" s="26" t="s">
        <v>276</v>
      </c>
      <c r="B1882" s="124">
        <v>45895.0</v>
      </c>
      <c r="C1882" s="26" t="s">
        <v>5592</v>
      </c>
      <c r="D1882" s="125">
        <v>0.3333333333333333</v>
      </c>
      <c r="E1882" s="125">
        <v>0.6666666666666666</v>
      </c>
    </row>
    <row r="1883">
      <c r="A1883" s="26" t="s">
        <v>280</v>
      </c>
      <c r="B1883" s="124">
        <v>45895.0</v>
      </c>
      <c r="C1883" s="26" t="s">
        <v>5592</v>
      </c>
      <c r="D1883" s="125">
        <v>0.4166666666666667</v>
      </c>
      <c r="E1883" s="125">
        <v>0.75</v>
      </c>
    </row>
    <row r="1884">
      <c r="A1884" s="26" t="s">
        <v>243</v>
      </c>
      <c r="B1884" s="124">
        <v>45894.0</v>
      </c>
      <c r="C1884" s="26" t="s">
        <v>5592</v>
      </c>
      <c r="D1884" s="125">
        <v>0.3333333333333333</v>
      </c>
      <c r="E1884" s="125">
        <v>0.6666666666666666</v>
      </c>
    </row>
    <row r="1885">
      <c r="A1885" s="26" t="s">
        <v>248</v>
      </c>
      <c r="B1885" s="124">
        <v>45894.0</v>
      </c>
      <c r="C1885" s="26" t="s">
        <v>5592</v>
      </c>
      <c r="D1885" s="125">
        <v>0.3333333333333333</v>
      </c>
      <c r="E1885" s="125">
        <v>0.6666666666666666</v>
      </c>
    </row>
    <row r="1886">
      <c r="A1886" s="26" t="s">
        <v>253</v>
      </c>
      <c r="B1886" s="124">
        <v>45894.0</v>
      </c>
      <c r="C1886" s="26" t="s">
        <v>5592</v>
      </c>
      <c r="D1886" s="125">
        <v>0.4166666666666667</v>
      </c>
      <c r="E1886" s="125">
        <v>0.75</v>
      </c>
    </row>
    <row r="1887">
      <c r="A1887" s="26" t="s">
        <v>258</v>
      </c>
      <c r="B1887" s="124">
        <v>45894.0</v>
      </c>
      <c r="C1887" s="26" t="s">
        <v>5592</v>
      </c>
      <c r="D1887" s="125">
        <v>0.3333333333333333</v>
      </c>
      <c r="E1887" s="125">
        <v>0.6666666666666666</v>
      </c>
    </row>
    <row r="1888">
      <c r="A1888" s="26" t="s">
        <v>261</v>
      </c>
      <c r="B1888" s="124">
        <v>45894.0</v>
      </c>
      <c r="C1888" s="26" t="s">
        <v>5592</v>
      </c>
      <c r="D1888" s="125">
        <v>0.4166666666666667</v>
      </c>
      <c r="E1888" s="125">
        <v>0.75</v>
      </c>
    </row>
    <row r="1889">
      <c r="A1889" s="26" t="s">
        <v>265</v>
      </c>
      <c r="B1889" s="124">
        <v>45894.0</v>
      </c>
      <c r="C1889" s="26" t="s">
        <v>5592</v>
      </c>
      <c r="D1889" s="125">
        <v>0.3333333333333333</v>
      </c>
      <c r="E1889" s="125">
        <v>0.6666666666666666</v>
      </c>
    </row>
    <row r="1890">
      <c r="A1890" s="26" t="s">
        <v>269</v>
      </c>
      <c r="B1890" s="124">
        <v>45894.0</v>
      </c>
      <c r="C1890" s="26" t="s">
        <v>5592</v>
      </c>
      <c r="D1890" s="125">
        <v>0.3333333333333333</v>
      </c>
      <c r="E1890" s="125">
        <v>0.6666666666666666</v>
      </c>
    </row>
    <row r="1891">
      <c r="A1891" s="26" t="s">
        <v>276</v>
      </c>
      <c r="B1891" s="124">
        <v>45894.0</v>
      </c>
      <c r="C1891" s="26" t="s">
        <v>5592</v>
      </c>
      <c r="D1891" s="125">
        <v>0.3333333333333333</v>
      </c>
      <c r="E1891" s="125">
        <v>0.6666666666666666</v>
      </c>
    </row>
    <row r="1892">
      <c r="A1892" s="26" t="s">
        <v>280</v>
      </c>
      <c r="B1892" s="124">
        <v>45894.0</v>
      </c>
      <c r="C1892" s="26" t="s">
        <v>5592</v>
      </c>
      <c r="D1892" s="125">
        <v>0.4166666666666667</v>
      </c>
      <c r="E1892" s="125">
        <v>0.75</v>
      </c>
    </row>
    <row r="1893">
      <c r="A1893" s="26" t="s">
        <v>243</v>
      </c>
      <c r="B1893" s="124">
        <v>45892.0</v>
      </c>
      <c r="C1893" s="26" t="s">
        <v>5592</v>
      </c>
      <c r="D1893" s="125">
        <v>0.3333333333333333</v>
      </c>
      <c r="E1893" s="125">
        <v>0.6666666666666666</v>
      </c>
    </row>
    <row r="1894">
      <c r="A1894" s="26" t="s">
        <v>248</v>
      </c>
      <c r="B1894" s="124">
        <v>45892.0</v>
      </c>
      <c r="C1894" s="26" t="s">
        <v>5592</v>
      </c>
      <c r="D1894" s="125">
        <v>0.3333333333333333</v>
      </c>
      <c r="E1894" s="125">
        <v>0.6666666666666666</v>
      </c>
    </row>
    <row r="1895">
      <c r="A1895" s="26" t="s">
        <v>253</v>
      </c>
      <c r="B1895" s="124">
        <v>45892.0</v>
      </c>
      <c r="C1895" s="26" t="s">
        <v>5592</v>
      </c>
      <c r="D1895" s="125">
        <v>0.4166666666666667</v>
      </c>
      <c r="E1895" s="125">
        <v>0.75</v>
      </c>
    </row>
    <row r="1896">
      <c r="A1896" s="26" t="s">
        <v>258</v>
      </c>
      <c r="B1896" s="124">
        <v>45892.0</v>
      </c>
      <c r="C1896" s="26" t="s">
        <v>5592</v>
      </c>
      <c r="D1896" s="125">
        <v>0.3333333333333333</v>
      </c>
      <c r="E1896" s="125">
        <v>0.6666666666666666</v>
      </c>
    </row>
    <row r="1897">
      <c r="A1897" s="26" t="s">
        <v>261</v>
      </c>
      <c r="B1897" s="124">
        <v>45892.0</v>
      </c>
      <c r="C1897" s="26" t="s">
        <v>5592</v>
      </c>
      <c r="D1897" s="125">
        <v>0.4166666666666667</v>
      </c>
      <c r="E1897" s="125">
        <v>0.75</v>
      </c>
    </row>
    <row r="1898">
      <c r="A1898" s="26" t="s">
        <v>265</v>
      </c>
      <c r="B1898" s="124">
        <v>45892.0</v>
      </c>
      <c r="C1898" s="26" t="s">
        <v>5592</v>
      </c>
      <c r="D1898" s="125">
        <v>0.3333333333333333</v>
      </c>
      <c r="E1898" s="125">
        <v>0.6666666666666666</v>
      </c>
    </row>
    <row r="1899">
      <c r="A1899" s="26" t="s">
        <v>269</v>
      </c>
      <c r="B1899" s="124">
        <v>45892.0</v>
      </c>
      <c r="C1899" s="26" t="s">
        <v>5592</v>
      </c>
      <c r="D1899" s="125">
        <v>0.3333333333333333</v>
      </c>
      <c r="E1899" s="125">
        <v>0.6666666666666666</v>
      </c>
    </row>
    <row r="1900">
      <c r="A1900" s="26" t="s">
        <v>276</v>
      </c>
      <c r="B1900" s="124">
        <v>45892.0</v>
      </c>
      <c r="C1900" s="26" t="s">
        <v>5592</v>
      </c>
      <c r="D1900" s="125">
        <v>0.3333333333333333</v>
      </c>
      <c r="E1900" s="125">
        <v>0.6666666666666666</v>
      </c>
    </row>
    <row r="1901">
      <c r="A1901" s="26" t="s">
        <v>280</v>
      </c>
      <c r="B1901" s="124">
        <v>45892.0</v>
      </c>
      <c r="C1901" s="26" t="s">
        <v>5592</v>
      </c>
      <c r="D1901" s="125">
        <v>0.4166666666666667</v>
      </c>
      <c r="E1901" s="125">
        <v>0.75</v>
      </c>
    </row>
    <row r="1902">
      <c r="A1902" s="26" t="s">
        <v>243</v>
      </c>
      <c r="B1902" s="124">
        <v>45891.0</v>
      </c>
      <c r="C1902" s="26" t="s">
        <v>5592</v>
      </c>
      <c r="D1902" s="125">
        <v>0.3333333333333333</v>
      </c>
      <c r="E1902" s="125">
        <v>0.6666666666666666</v>
      </c>
    </row>
    <row r="1903">
      <c r="A1903" s="26" t="s">
        <v>248</v>
      </c>
      <c r="B1903" s="124">
        <v>45891.0</v>
      </c>
      <c r="C1903" s="26" t="s">
        <v>5592</v>
      </c>
      <c r="D1903" s="125">
        <v>0.3333333333333333</v>
      </c>
      <c r="E1903" s="125">
        <v>0.6666666666666666</v>
      </c>
    </row>
    <row r="1904">
      <c r="A1904" s="26" t="s">
        <v>253</v>
      </c>
      <c r="B1904" s="124">
        <v>45891.0</v>
      </c>
      <c r="C1904" s="26" t="s">
        <v>5592</v>
      </c>
      <c r="D1904" s="125">
        <v>0.4166666666666667</v>
      </c>
      <c r="E1904" s="125">
        <v>0.75</v>
      </c>
    </row>
    <row r="1905">
      <c r="A1905" s="26" t="s">
        <v>258</v>
      </c>
      <c r="B1905" s="124">
        <v>45891.0</v>
      </c>
      <c r="C1905" s="26" t="s">
        <v>5592</v>
      </c>
      <c r="D1905" s="125">
        <v>0.3333333333333333</v>
      </c>
      <c r="E1905" s="125">
        <v>0.6666666666666666</v>
      </c>
    </row>
    <row r="1906">
      <c r="A1906" s="26" t="s">
        <v>261</v>
      </c>
      <c r="B1906" s="124">
        <v>45891.0</v>
      </c>
      <c r="C1906" s="26" t="s">
        <v>5592</v>
      </c>
      <c r="D1906" s="125">
        <v>0.4166666666666667</v>
      </c>
      <c r="E1906" s="125">
        <v>0.75</v>
      </c>
    </row>
    <row r="1907">
      <c r="A1907" s="26" t="s">
        <v>265</v>
      </c>
      <c r="B1907" s="124">
        <v>45891.0</v>
      </c>
      <c r="C1907" s="26" t="s">
        <v>5592</v>
      </c>
      <c r="D1907" s="125">
        <v>0.3333333333333333</v>
      </c>
      <c r="E1907" s="125">
        <v>0.6666666666666666</v>
      </c>
    </row>
    <row r="1908">
      <c r="A1908" s="26" t="s">
        <v>269</v>
      </c>
      <c r="B1908" s="124">
        <v>45891.0</v>
      </c>
      <c r="C1908" s="26" t="s">
        <v>5592</v>
      </c>
      <c r="D1908" s="125">
        <v>0.3333333333333333</v>
      </c>
      <c r="E1908" s="125">
        <v>0.6666666666666666</v>
      </c>
    </row>
    <row r="1909">
      <c r="A1909" s="26" t="s">
        <v>276</v>
      </c>
      <c r="B1909" s="124">
        <v>45891.0</v>
      </c>
      <c r="C1909" s="26" t="s">
        <v>5592</v>
      </c>
      <c r="D1909" s="125">
        <v>0.3333333333333333</v>
      </c>
      <c r="E1909" s="125">
        <v>0.6666666666666666</v>
      </c>
    </row>
    <row r="1910">
      <c r="A1910" s="26" t="s">
        <v>280</v>
      </c>
      <c r="B1910" s="124">
        <v>45891.0</v>
      </c>
      <c r="C1910" s="26" t="s">
        <v>5592</v>
      </c>
      <c r="D1910" s="125">
        <v>0.4166666666666667</v>
      </c>
      <c r="E1910" s="125">
        <v>0.75</v>
      </c>
    </row>
    <row r="1911">
      <c r="A1911" s="26" t="s">
        <v>243</v>
      </c>
      <c r="B1911" s="124">
        <v>45890.0</v>
      </c>
      <c r="C1911" s="26" t="s">
        <v>5592</v>
      </c>
      <c r="D1911" s="125">
        <v>0.3333333333333333</v>
      </c>
      <c r="E1911" s="125">
        <v>0.6666666666666666</v>
      </c>
    </row>
    <row r="1912">
      <c r="A1912" s="26" t="s">
        <v>248</v>
      </c>
      <c r="B1912" s="124">
        <v>45890.0</v>
      </c>
      <c r="C1912" s="26" t="s">
        <v>5592</v>
      </c>
      <c r="D1912" s="125">
        <v>0.3333333333333333</v>
      </c>
      <c r="E1912" s="125">
        <v>0.6666666666666666</v>
      </c>
    </row>
    <row r="1913">
      <c r="A1913" s="26" t="s">
        <v>253</v>
      </c>
      <c r="B1913" s="124">
        <v>45890.0</v>
      </c>
      <c r="C1913" s="26" t="s">
        <v>5592</v>
      </c>
      <c r="D1913" s="125">
        <v>0.4166666666666667</v>
      </c>
      <c r="E1913" s="125">
        <v>0.75</v>
      </c>
    </row>
    <row r="1914">
      <c r="A1914" s="26" t="s">
        <v>258</v>
      </c>
      <c r="B1914" s="124">
        <v>45890.0</v>
      </c>
      <c r="C1914" s="26" t="s">
        <v>5592</v>
      </c>
      <c r="D1914" s="125">
        <v>0.3333333333333333</v>
      </c>
      <c r="E1914" s="125">
        <v>0.6666666666666666</v>
      </c>
    </row>
    <row r="1915">
      <c r="A1915" s="26" t="s">
        <v>261</v>
      </c>
      <c r="B1915" s="124">
        <v>45890.0</v>
      </c>
      <c r="C1915" s="26" t="s">
        <v>5592</v>
      </c>
      <c r="D1915" s="125">
        <v>0.4166666666666667</v>
      </c>
      <c r="E1915" s="125">
        <v>0.75</v>
      </c>
    </row>
    <row r="1916">
      <c r="A1916" s="26" t="s">
        <v>265</v>
      </c>
      <c r="B1916" s="124">
        <v>45890.0</v>
      </c>
      <c r="C1916" s="26" t="s">
        <v>5592</v>
      </c>
      <c r="D1916" s="125">
        <v>0.3333333333333333</v>
      </c>
      <c r="E1916" s="125">
        <v>0.6666666666666666</v>
      </c>
    </row>
    <row r="1917">
      <c r="A1917" s="26" t="s">
        <v>269</v>
      </c>
      <c r="B1917" s="124">
        <v>45890.0</v>
      </c>
      <c r="C1917" s="26" t="s">
        <v>5592</v>
      </c>
      <c r="D1917" s="125">
        <v>0.3333333333333333</v>
      </c>
      <c r="E1917" s="125">
        <v>0.6666666666666666</v>
      </c>
    </row>
    <row r="1918">
      <c r="A1918" s="26" t="s">
        <v>276</v>
      </c>
      <c r="B1918" s="124">
        <v>45890.0</v>
      </c>
      <c r="C1918" s="26" t="s">
        <v>5592</v>
      </c>
      <c r="D1918" s="125">
        <v>0.3333333333333333</v>
      </c>
      <c r="E1918" s="125">
        <v>0.6666666666666666</v>
      </c>
    </row>
    <row r="1919">
      <c r="A1919" s="26" t="s">
        <v>280</v>
      </c>
      <c r="B1919" s="124">
        <v>45890.0</v>
      </c>
      <c r="C1919" s="26" t="s">
        <v>5592</v>
      </c>
      <c r="D1919" s="125">
        <v>0.4166666666666667</v>
      </c>
      <c r="E1919" s="125">
        <v>0.75</v>
      </c>
    </row>
    <row r="1920">
      <c r="A1920" s="26" t="s">
        <v>243</v>
      </c>
      <c r="B1920" s="124">
        <v>45889.0</v>
      </c>
      <c r="C1920" s="26" t="s">
        <v>5592</v>
      </c>
      <c r="D1920" s="125">
        <v>0.3333333333333333</v>
      </c>
      <c r="E1920" s="125">
        <v>0.6666666666666666</v>
      </c>
    </row>
    <row r="1921">
      <c r="A1921" s="26" t="s">
        <v>248</v>
      </c>
      <c r="B1921" s="124">
        <v>45889.0</v>
      </c>
      <c r="C1921" s="26" t="s">
        <v>5592</v>
      </c>
      <c r="D1921" s="125">
        <v>0.3333333333333333</v>
      </c>
      <c r="E1921" s="125">
        <v>0.6666666666666666</v>
      </c>
    </row>
    <row r="1922">
      <c r="A1922" s="26" t="s">
        <v>253</v>
      </c>
      <c r="B1922" s="124">
        <v>45889.0</v>
      </c>
      <c r="C1922" s="26" t="s">
        <v>5592</v>
      </c>
      <c r="D1922" s="125">
        <v>0.4166666666666667</v>
      </c>
      <c r="E1922" s="125">
        <v>0.75</v>
      </c>
    </row>
    <row r="1923">
      <c r="A1923" s="26" t="s">
        <v>258</v>
      </c>
      <c r="B1923" s="124">
        <v>45889.0</v>
      </c>
      <c r="C1923" s="26" t="s">
        <v>5592</v>
      </c>
      <c r="D1923" s="125">
        <v>0.3333333333333333</v>
      </c>
      <c r="E1923" s="125">
        <v>0.6666666666666666</v>
      </c>
    </row>
    <row r="1924">
      <c r="A1924" s="26" t="s">
        <v>261</v>
      </c>
      <c r="B1924" s="124">
        <v>45889.0</v>
      </c>
      <c r="C1924" s="26" t="s">
        <v>5592</v>
      </c>
      <c r="D1924" s="125">
        <v>0.4166666666666667</v>
      </c>
      <c r="E1924" s="125">
        <v>0.75</v>
      </c>
    </row>
    <row r="1925">
      <c r="A1925" s="26" t="s">
        <v>265</v>
      </c>
      <c r="B1925" s="124">
        <v>45889.0</v>
      </c>
      <c r="C1925" s="26" t="s">
        <v>5592</v>
      </c>
      <c r="D1925" s="125">
        <v>0.3333333333333333</v>
      </c>
      <c r="E1925" s="125">
        <v>0.6666666666666666</v>
      </c>
    </row>
    <row r="1926">
      <c r="A1926" s="26" t="s">
        <v>269</v>
      </c>
      <c r="B1926" s="124">
        <v>45889.0</v>
      </c>
      <c r="C1926" s="26" t="s">
        <v>5592</v>
      </c>
      <c r="D1926" s="125">
        <v>0.3333333333333333</v>
      </c>
      <c r="E1926" s="125">
        <v>0.6666666666666666</v>
      </c>
    </row>
    <row r="1927">
      <c r="A1927" s="26" t="s">
        <v>276</v>
      </c>
      <c r="B1927" s="124">
        <v>45889.0</v>
      </c>
      <c r="C1927" s="26" t="s">
        <v>5592</v>
      </c>
      <c r="D1927" s="125">
        <v>0.3333333333333333</v>
      </c>
      <c r="E1927" s="125">
        <v>0.6666666666666666</v>
      </c>
    </row>
    <row r="1928">
      <c r="A1928" s="26" t="s">
        <v>280</v>
      </c>
      <c r="B1928" s="124">
        <v>45889.0</v>
      </c>
      <c r="C1928" s="26" t="s">
        <v>5592</v>
      </c>
      <c r="D1928" s="125">
        <v>0.4166666666666667</v>
      </c>
      <c r="E1928" s="125">
        <v>0.75</v>
      </c>
    </row>
    <row r="1929">
      <c r="A1929" s="26" t="s">
        <v>243</v>
      </c>
      <c r="B1929" s="124">
        <v>45888.0</v>
      </c>
      <c r="C1929" s="26" t="s">
        <v>5592</v>
      </c>
      <c r="D1929" s="125">
        <v>0.3333333333333333</v>
      </c>
      <c r="E1929" s="125">
        <v>0.6666666666666666</v>
      </c>
    </row>
    <row r="1930">
      <c r="A1930" s="26" t="s">
        <v>248</v>
      </c>
      <c r="B1930" s="124">
        <v>45888.0</v>
      </c>
      <c r="C1930" s="26" t="s">
        <v>5592</v>
      </c>
      <c r="D1930" s="125">
        <v>0.3333333333333333</v>
      </c>
      <c r="E1930" s="125">
        <v>0.6666666666666666</v>
      </c>
    </row>
    <row r="1931">
      <c r="A1931" s="26" t="s">
        <v>253</v>
      </c>
      <c r="B1931" s="124">
        <v>45888.0</v>
      </c>
      <c r="C1931" s="26" t="s">
        <v>5592</v>
      </c>
      <c r="D1931" s="125">
        <v>0.4166666666666667</v>
      </c>
      <c r="E1931" s="125">
        <v>0.75</v>
      </c>
    </row>
    <row r="1932">
      <c r="A1932" s="26" t="s">
        <v>258</v>
      </c>
      <c r="B1932" s="124">
        <v>45888.0</v>
      </c>
      <c r="C1932" s="26" t="s">
        <v>5592</v>
      </c>
      <c r="D1932" s="125">
        <v>0.3333333333333333</v>
      </c>
      <c r="E1932" s="125">
        <v>0.6666666666666666</v>
      </c>
    </row>
    <row r="1933">
      <c r="A1933" s="26" t="s">
        <v>261</v>
      </c>
      <c r="B1933" s="124">
        <v>45888.0</v>
      </c>
      <c r="C1933" s="26" t="s">
        <v>5592</v>
      </c>
      <c r="D1933" s="125">
        <v>0.4166666666666667</v>
      </c>
      <c r="E1933" s="125">
        <v>0.75</v>
      </c>
    </row>
    <row r="1934">
      <c r="A1934" s="26" t="s">
        <v>265</v>
      </c>
      <c r="B1934" s="124">
        <v>45888.0</v>
      </c>
      <c r="C1934" s="26" t="s">
        <v>5592</v>
      </c>
      <c r="D1934" s="125">
        <v>0.3333333333333333</v>
      </c>
      <c r="E1934" s="125">
        <v>0.6666666666666666</v>
      </c>
    </row>
    <row r="1935">
      <c r="A1935" s="26" t="s">
        <v>269</v>
      </c>
      <c r="B1935" s="124">
        <v>45888.0</v>
      </c>
      <c r="C1935" s="26" t="s">
        <v>5592</v>
      </c>
      <c r="D1935" s="125">
        <v>0.3333333333333333</v>
      </c>
      <c r="E1935" s="125">
        <v>0.6666666666666666</v>
      </c>
    </row>
    <row r="1936">
      <c r="A1936" s="26" t="s">
        <v>276</v>
      </c>
      <c r="B1936" s="124">
        <v>45888.0</v>
      </c>
      <c r="C1936" s="26" t="s">
        <v>5592</v>
      </c>
      <c r="D1936" s="125">
        <v>0.3333333333333333</v>
      </c>
      <c r="E1936" s="125">
        <v>0.6666666666666666</v>
      </c>
    </row>
    <row r="1937">
      <c r="A1937" s="26" t="s">
        <v>280</v>
      </c>
      <c r="B1937" s="124">
        <v>45888.0</v>
      </c>
      <c r="C1937" s="26" t="s">
        <v>5592</v>
      </c>
      <c r="D1937" s="125">
        <v>0.4166666666666667</v>
      </c>
      <c r="E1937" s="125">
        <v>0.75</v>
      </c>
    </row>
    <row r="1938">
      <c r="A1938" s="26" t="s">
        <v>243</v>
      </c>
      <c r="B1938" s="124">
        <v>45887.0</v>
      </c>
      <c r="C1938" s="26" t="s">
        <v>5592</v>
      </c>
      <c r="D1938" s="125">
        <v>0.3333333333333333</v>
      </c>
      <c r="E1938" s="125">
        <v>0.6666666666666666</v>
      </c>
    </row>
    <row r="1939">
      <c r="A1939" s="26" t="s">
        <v>248</v>
      </c>
      <c r="B1939" s="124">
        <v>45887.0</v>
      </c>
      <c r="C1939" s="26" t="s">
        <v>5592</v>
      </c>
      <c r="D1939" s="125">
        <v>0.3333333333333333</v>
      </c>
      <c r="E1939" s="125">
        <v>0.6666666666666666</v>
      </c>
    </row>
    <row r="1940">
      <c r="A1940" s="26" t="s">
        <v>253</v>
      </c>
      <c r="B1940" s="124">
        <v>45887.0</v>
      </c>
      <c r="C1940" s="26" t="s">
        <v>5592</v>
      </c>
      <c r="D1940" s="125">
        <v>0.4166666666666667</v>
      </c>
      <c r="E1940" s="125">
        <v>0.75</v>
      </c>
    </row>
    <row r="1941">
      <c r="A1941" s="26" t="s">
        <v>258</v>
      </c>
      <c r="B1941" s="124">
        <v>45887.0</v>
      </c>
      <c r="C1941" s="26" t="s">
        <v>5592</v>
      </c>
      <c r="D1941" s="125">
        <v>0.3333333333333333</v>
      </c>
      <c r="E1941" s="125">
        <v>0.6666666666666666</v>
      </c>
    </row>
    <row r="1942">
      <c r="A1942" s="26" t="s">
        <v>261</v>
      </c>
      <c r="B1942" s="124">
        <v>45887.0</v>
      </c>
      <c r="C1942" s="26" t="s">
        <v>5592</v>
      </c>
      <c r="D1942" s="125">
        <v>0.4166666666666667</v>
      </c>
      <c r="E1942" s="125">
        <v>0.75</v>
      </c>
    </row>
    <row r="1943">
      <c r="A1943" s="26" t="s">
        <v>265</v>
      </c>
      <c r="B1943" s="124">
        <v>45887.0</v>
      </c>
      <c r="C1943" s="26" t="s">
        <v>5592</v>
      </c>
      <c r="D1943" s="125">
        <v>0.3333333333333333</v>
      </c>
      <c r="E1943" s="125">
        <v>0.6666666666666666</v>
      </c>
    </row>
    <row r="1944">
      <c r="A1944" s="26" t="s">
        <v>269</v>
      </c>
      <c r="B1944" s="124">
        <v>45887.0</v>
      </c>
      <c r="C1944" s="26" t="s">
        <v>5592</v>
      </c>
      <c r="D1944" s="125">
        <v>0.3333333333333333</v>
      </c>
      <c r="E1944" s="125">
        <v>0.6666666666666666</v>
      </c>
    </row>
    <row r="1945">
      <c r="A1945" s="26" t="s">
        <v>276</v>
      </c>
      <c r="B1945" s="124">
        <v>45887.0</v>
      </c>
      <c r="C1945" s="26" t="s">
        <v>5592</v>
      </c>
      <c r="D1945" s="125">
        <v>0.3333333333333333</v>
      </c>
      <c r="E1945" s="125">
        <v>0.6666666666666666</v>
      </c>
    </row>
    <row r="1946">
      <c r="A1946" s="26" t="s">
        <v>280</v>
      </c>
      <c r="B1946" s="124">
        <v>45887.0</v>
      </c>
      <c r="C1946" s="26" t="s">
        <v>5592</v>
      </c>
      <c r="D1946" s="125">
        <v>0.4166666666666667</v>
      </c>
      <c r="E1946" s="125">
        <v>0.75</v>
      </c>
    </row>
    <row r="1947">
      <c r="A1947" s="26" t="s">
        <v>243</v>
      </c>
      <c r="B1947" s="124">
        <v>45885.0</v>
      </c>
      <c r="C1947" s="26" t="s">
        <v>5592</v>
      </c>
      <c r="D1947" s="125">
        <v>0.3333333333333333</v>
      </c>
      <c r="E1947" s="125">
        <v>0.6666666666666666</v>
      </c>
    </row>
    <row r="1948">
      <c r="A1948" s="26" t="s">
        <v>248</v>
      </c>
      <c r="B1948" s="124">
        <v>45885.0</v>
      </c>
      <c r="C1948" s="26" t="s">
        <v>5592</v>
      </c>
      <c r="D1948" s="125">
        <v>0.3333333333333333</v>
      </c>
      <c r="E1948" s="125">
        <v>0.6666666666666666</v>
      </c>
    </row>
    <row r="1949">
      <c r="A1949" s="26" t="s">
        <v>253</v>
      </c>
      <c r="B1949" s="124">
        <v>45885.0</v>
      </c>
      <c r="C1949" s="26" t="s">
        <v>5592</v>
      </c>
      <c r="D1949" s="125">
        <v>0.4166666666666667</v>
      </c>
      <c r="E1949" s="125">
        <v>0.75</v>
      </c>
    </row>
    <row r="1950">
      <c r="A1950" s="26" t="s">
        <v>258</v>
      </c>
      <c r="B1950" s="124">
        <v>45885.0</v>
      </c>
      <c r="C1950" s="26" t="s">
        <v>5592</v>
      </c>
      <c r="D1950" s="125">
        <v>0.3333333333333333</v>
      </c>
      <c r="E1950" s="125">
        <v>0.6666666666666666</v>
      </c>
    </row>
    <row r="1951">
      <c r="A1951" s="26" t="s">
        <v>261</v>
      </c>
      <c r="B1951" s="124">
        <v>45885.0</v>
      </c>
      <c r="C1951" s="26" t="s">
        <v>5592</v>
      </c>
      <c r="D1951" s="125">
        <v>0.4166666666666667</v>
      </c>
      <c r="E1951" s="125">
        <v>0.75</v>
      </c>
    </row>
    <row r="1952">
      <c r="A1952" s="26" t="s">
        <v>265</v>
      </c>
      <c r="B1952" s="124">
        <v>45885.0</v>
      </c>
      <c r="C1952" s="26" t="s">
        <v>5592</v>
      </c>
      <c r="D1952" s="125">
        <v>0.3333333333333333</v>
      </c>
      <c r="E1952" s="125">
        <v>0.6666666666666666</v>
      </c>
    </row>
    <row r="1953">
      <c r="A1953" s="26" t="s">
        <v>269</v>
      </c>
      <c r="B1953" s="124">
        <v>45885.0</v>
      </c>
      <c r="C1953" s="26" t="s">
        <v>5592</v>
      </c>
      <c r="D1953" s="125">
        <v>0.3333333333333333</v>
      </c>
      <c r="E1953" s="125">
        <v>0.6666666666666666</v>
      </c>
    </row>
    <row r="1954">
      <c r="A1954" s="26" t="s">
        <v>276</v>
      </c>
      <c r="B1954" s="124">
        <v>45885.0</v>
      </c>
      <c r="C1954" s="26" t="s">
        <v>5592</v>
      </c>
      <c r="D1954" s="125">
        <v>0.3333333333333333</v>
      </c>
      <c r="E1954" s="125">
        <v>0.6666666666666666</v>
      </c>
    </row>
    <row r="1955">
      <c r="A1955" s="26" t="s">
        <v>280</v>
      </c>
      <c r="B1955" s="124">
        <v>45885.0</v>
      </c>
      <c r="C1955" s="26" t="s">
        <v>5592</v>
      </c>
      <c r="D1955" s="125">
        <v>0.4166666666666667</v>
      </c>
      <c r="E1955" s="125">
        <v>0.75</v>
      </c>
    </row>
    <row r="1956">
      <c r="A1956" s="26" t="s">
        <v>243</v>
      </c>
      <c r="B1956" s="124">
        <v>45884.0</v>
      </c>
      <c r="C1956" s="26" t="s">
        <v>5592</v>
      </c>
      <c r="D1956" s="125">
        <v>0.3333333333333333</v>
      </c>
      <c r="E1956" s="125">
        <v>0.6666666666666666</v>
      </c>
    </row>
    <row r="1957">
      <c r="A1957" s="26" t="s">
        <v>248</v>
      </c>
      <c r="B1957" s="124">
        <v>45884.0</v>
      </c>
      <c r="C1957" s="26" t="s">
        <v>5592</v>
      </c>
      <c r="D1957" s="125">
        <v>0.3333333333333333</v>
      </c>
      <c r="E1957" s="125">
        <v>0.6666666666666666</v>
      </c>
    </row>
    <row r="1958">
      <c r="A1958" s="26" t="s">
        <v>253</v>
      </c>
      <c r="B1958" s="124">
        <v>45884.0</v>
      </c>
      <c r="C1958" s="26" t="s">
        <v>5592</v>
      </c>
      <c r="D1958" s="125">
        <v>0.4166666666666667</v>
      </c>
      <c r="E1958" s="125">
        <v>0.75</v>
      </c>
    </row>
    <row r="1959">
      <c r="A1959" s="26" t="s">
        <v>258</v>
      </c>
      <c r="B1959" s="124">
        <v>45884.0</v>
      </c>
      <c r="C1959" s="26" t="s">
        <v>5592</v>
      </c>
      <c r="D1959" s="125">
        <v>0.3333333333333333</v>
      </c>
      <c r="E1959" s="125">
        <v>0.6666666666666666</v>
      </c>
    </row>
    <row r="1960">
      <c r="A1960" s="26" t="s">
        <v>261</v>
      </c>
      <c r="B1960" s="124">
        <v>45884.0</v>
      </c>
      <c r="C1960" s="26" t="s">
        <v>5592</v>
      </c>
      <c r="D1960" s="125">
        <v>0.4166666666666667</v>
      </c>
      <c r="E1960" s="125">
        <v>0.75</v>
      </c>
    </row>
    <row r="1961">
      <c r="A1961" s="26" t="s">
        <v>265</v>
      </c>
      <c r="B1961" s="124">
        <v>45884.0</v>
      </c>
      <c r="C1961" s="26" t="s">
        <v>5592</v>
      </c>
      <c r="D1961" s="125">
        <v>0.3333333333333333</v>
      </c>
      <c r="E1961" s="125">
        <v>0.6666666666666666</v>
      </c>
    </row>
    <row r="1962">
      <c r="A1962" s="26" t="s">
        <v>269</v>
      </c>
      <c r="B1962" s="124">
        <v>45884.0</v>
      </c>
      <c r="C1962" s="26" t="s">
        <v>5592</v>
      </c>
      <c r="D1962" s="125">
        <v>0.3333333333333333</v>
      </c>
      <c r="E1962" s="125">
        <v>0.6666666666666666</v>
      </c>
    </row>
    <row r="1963">
      <c r="A1963" s="26" t="s">
        <v>276</v>
      </c>
      <c r="B1963" s="124">
        <v>45884.0</v>
      </c>
      <c r="C1963" s="26" t="s">
        <v>5592</v>
      </c>
      <c r="D1963" s="125">
        <v>0.3333333333333333</v>
      </c>
      <c r="E1963" s="125">
        <v>0.6666666666666666</v>
      </c>
    </row>
    <row r="1964">
      <c r="A1964" s="26" t="s">
        <v>280</v>
      </c>
      <c r="B1964" s="124">
        <v>45884.0</v>
      </c>
      <c r="C1964" s="26" t="s">
        <v>5592</v>
      </c>
      <c r="D1964" s="125">
        <v>0.4166666666666667</v>
      </c>
      <c r="E1964" s="125">
        <v>0.75</v>
      </c>
    </row>
    <row r="1965">
      <c r="A1965" s="26" t="s">
        <v>243</v>
      </c>
      <c r="B1965" s="124">
        <v>45883.0</v>
      </c>
      <c r="C1965" s="26" t="s">
        <v>5592</v>
      </c>
      <c r="D1965" s="125">
        <v>0.3333333333333333</v>
      </c>
      <c r="E1965" s="125">
        <v>0.6666666666666666</v>
      </c>
    </row>
    <row r="1966">
      <c r="A1966" s="26" t="s">
        <v>248</v>
      </c>
      <c r="B1966" s="124">
        <v>45883.0</v>
      </c>
      <c r="C1966" s="26" t="s">
        <v>5592</v>
      </c>
      <c r="D1966" s="125">
        <v>0.3333333333333333</v>
      </c>
      <c r="E1966" s="125">
        <v>0.6666666666666666</v>
      </c>
    </row>
    <row r="1967">
      <c r="A1967" s="26" t="s">
        <v>253</v>
      </c>
      <c r="B1967" s="124">
        <v>45883.0</v>
      </c>
      <c r="C1967" s="26" t="s">
        <v>5592</v>
      </c>
      <c r="D1967" s="125">
        <v>0.4166666666666667</v>
      </c>
      <c r="E1967" s="125">
        <v>0.75</v>
      </c>
    </row>
    <row r="1968">
      <c r="A1968" s="26" t="s">
        <v>258</v>
      </c>
      <c r="B1968" s="124">
        <v>45883.0</v>
      </c>
      <c r="C1968" s="26" t="s">
        <v>5592</v>
      </c>
      <c r="D1968" s="125">
        <v>0.3333333333333333</v>
      </c>
      <c r="E1968" s="125">
        <v>0.6666666666666666</v>
      </c>
    </row>
    <row r="1969">
      <c r="A1969" s="26" t="s">
        <v>261</v>
      </c>
      <c r="B1969" s="124">
        <v>45883.0</v>
      </c>
      <c r="C1969" s="26" t="s">
        <v>5592</v>
      </c>
      <c r="D1969" s="125">
        <v>0.4166666666666667</v>
      </c>
      <c r="E1969" s="125">
        <v>0.75</v>
      </c>
    </row>
    <row r="1970">
      <c r="A1970" s="26" t="s">
        <v>265</v>
      </c>
      <c r="B1970" s="124">
        <v>45883.0</v>
      </c>
      <c r="C1970" s="26" t="s">
        <v>5592</v>
      </c>
      <c r="D1970" s="125">
        <v>0.3333333333333333</v>
      </c>
      <c r="E1970" s="125">
        <v>0.6666666666666666</v>
      </c>
    </row>
    <row r="1971">
      <c r="A1971" s="26" t="s">
        <v>269</v>
      </c>
      <c r="B1971" s="124">
        <v>45883.0</v>
      </c>
      <c r="C1971" s="26" t="s">
        <v>5592</v>
      </c>
      <c r="D1971" s="125">
        <v>0.3333333333333333</v>
      </c>
      <c r="E1971" s="125">
        <v>0.6666666666666666</v>
      </c>
    </row>
    <row r="1972">
      <c r="A1972" s="26" t="s">
        <v>276</v>
      </c>
      <c r="B1972" s="124">
        <v>45883.0</v>
      </c>
      <c r="C1972" s="26" t="s">
        <v>5592</v>
      </c>
      <c r="D1972" s="125">
        <v>0.3333333333333333</v>
      </c>
      <c r="E1972" s="125">
        <v>0.6666666666666666</v>
      </c>
    </row>
    <row r="1973">
      <c r="A1973" s="26" t="s">
        <v>280</v>
      </c>
      <c r="B1973" s="124">
        <v>45883.0</v>
      </c>
      <c r="C1973" s="26" t="s">
        <v>5592</v>
      </c>
      <c r="D1973" s="125">
        <v>0.4166666666666667</v>
      </c>
      <c r="E1973" s="125">
        <v>0.75</v>
      </c>
    </row>
    <row r="1974">
      <c r="A1974" s="26" t="s">
        <v>243</v>
      </c>
      <c r="B1974" s="124">
        <v>45882.0</v>
      </c>
      <c r="C1974" s="26" t="s">
        <v>5592</v>
      </c>
      <c r="D1974" s="125">
        <v>0.3333333333333333</v>
      </c>
      <c r="E1974" s="125">
        <v>0.6666666666666666</v>
      </c>
    </row>
    <row r="1975">
      <c r="A1975" s="26" t="s">
        <v>248</v>
      </c>
      <c r="B1975" s="124">
        <v>45882.0</v>
      </c>
      <c r="C1975" s="26" t="s">
        <v>5592</v>
      </c>
      <c r="D1975" s="125">
        <v>0.3333333333333333</v>
      </c>
      <c r="E1975" s="125">
        <v>0.6666666666666666</v>
      </c>
    </row>
    <row r="1976">
      <c r="A1976" s="26" t="s">
        <v>253</v>
      </c>
      <c r="B1976" s="124">
        <v>45882.0</v>
      </c>
      <c r="C1976" s="26" t="s">
        <v>5592</v>
      </c>
      <c r="D1976" s="125">
        <v>0.4166666666666667</v>
      </c>
      <c r="E1976" s="125">
        <v>0.75</v>
      </c>
    </row>
    <row r="1977">
      <c r="A1977" s="26" t="s">
        <v>258</v>
      </c>
      <c r="B1977" s="124">
        <v>45882.0</v>
      </c>
      <c r="C1977" s="26" t="s">
        <v>5592</v>
      </c>
      <c r="D1977" s="125">
        <v>0.3333333333333333</v>
      </c>
      <c r="E1977" s="125">
        <v>0.6666666666666666</v>
      </c>
    </row>
    <row r="1978">
      <c r="A1978" s="26" t="s">
        <v>261</v>
      </c>
      <c r="B1978" s="124">
        <v>45882.0</v>
      </c>
      <c r="C1978" s="26" t="s">
        <v>5592</v>
      </c>
      <c r="D1978" s="125">
        <v>0.4166666666666667</v>
      </c>
      <c r="E1978" s="125">
        <v>0.75</v>
      </c>
    </row>
    <row r="1979">
      <c r="A1979" s="26" t="s">
        <v>265</v>
      </c>
      <c r="B1979" s="124">
        <v>45882.0</v>
      </c>
      <c r="C1979" s="26" t="s">
        <v>5592</v>
      </c>
      <c r="D1979" s="125">
        <v>0.3333333333333333</v>
      </c>
      <c r="E1979" s="125">
        <v>0.6666666666666666</v>
      </c>
    </row>
    <row r="1980">
      <c r="A1980" s="26" t="s">
        <v>269</v>
      </c>
      <c r="B1980" s="124">
        <v>45882.0</v>
      </c>
      <c r="C1980" s="26" t="s">
        <v>5592</v>
      </c>
      <c r="D1980" s="125">
        <v>0.3333333333333333</v>
      </c>
      <c r="E1980" s="125">
        <v>0.6666666666666666</v>
      </c>
    </row>
    <row r="1981">
      <c r="A1981" s="26" t="s">
        <v>276</v>
      </c>
      <c r="B1981" s="124">
        <v>45882.0</v>
      </c>
      <c r="C1981" s="26" t="s">
        <v>5592</v>
      </c>
      <c r="D1981" s="125">
        <v>0.3333333333333333</v>
      </c>
      <c r="E1981" s="125">
        <v>0.6666666666666666</v>
      </c>
    </row>
    <row r="1982">
      <c r="A1982" s="26" t="s">
        <v>280</v>
      </c>
      <c r="B1982" s="124">
        <v>45882.0</v>
      </c>
      <c r="C1982" s="26" t="s">
        <v>5592</v>
      </c>
      <c r="D1982" s="125">
        <v>0.4166666666666667</v>
      </c>
      <c r="E1982" s="125">
        <v>0.75</v>
      </c>
    </row>
    <row r="1983">
      <c r="A1983" s="26" t="s">
        <v>243</v>
      </c>
      <c r="B1983" s="124">
        <v>45881.0</v>
      </c>
      <c r="C1983" s="26" t="s">
        <v>5592</v>
      </c>
      <c r="D1983" s="125">
        <v>0.3333333333333333</v>
      </c>
      <c r="E1983" s="125">
        <v>0.6666666666666666</v>
      </c>
    </row>
    <row r="1984">
      <c r="A1984" s="26" t="s">
        <v>248</v>
      </c>
      <c r="B1984" s="124">
        <v>45881.0</v>
      </c>
      <c r="C1984" s="26" t="s">
        <v>5592</v>
      </c>
      <c r="D1984" s="125">
        <v>0.3333333333333333</v>
      </c>
      <c r="E1984" s="125">
        <v>0.6666666666666666</v>
      </c>
    </row>
    <row r="1985">
      <c r="A1985" s="26" t="s">
        <v>253</v>
      </c>
      <c r="B1985" s="124">
        <v>45881.0</v>
      </c>
      <c r="C1985" s="26" t="s">
        <v>5592</v>
      </c>
      <c r="D1985" s="125">
        <v>0.4166666666666667</v>
      </c>
      <c r="E1985" s="125">
        <v>0.75</v>
      </c>
    </row>
    <row r="1986">
      <c r="A1986" s="26" t="s">
        <v>258</v>
      </c>
      <c r="B1986" s="124">
        <v>45881.0</v>
      </c>
      <c r="C1986" s="26" t="s">
        <v>5592</v>
      </c>
      <c r="D1986" s="125">
        <v>0.3333333333333333</v>
      </c>
      <c r="E1986" s="125">
        <v>0.6666666666666666</v>
      </c>
    </row>
    <row r="1987">
      <c r="A1987" s="26" t="s">
        <v>261</v>
      </c>
      <c r="B1987" s="124">
        <v>45881.0</v>
      </c>
      <c r="C1987" s="26" t="s">
        <v>5592</v>
      </c>
      <c r="D1987" s="125">
        <v>0.4166666666666667</v>
      </c>
      <c r="E1987" s="125">
        <v>0.75</v>
      </c>
    </row>
    <row r="1988">
      <c r="A1988" s="26" t="s">
        <v>265</v>
      </c>
      <c r="B1988" s="124">
        <v>45881.0</v>
      </c>
      <c r="C1988" s="26" t="s">
        <v>5592</v>
      </c>
      <c r="D1988" s="125">
        <v>0.3333333333333333</v>
      </c>
      <c r="E1988" s="125">
        <v>0.6666666666666666</v>
      </c>
    </row>
    <row r="1989">
      <c r="A1989" s="26" t="s">
        <v>269</v>
      </c>
      <c r="B1989" s="124">
        <v>45881.0</v>
      </c>
      <c r="C1989" s="26" t="s">
        <v>5592</v>
      </c>
      <c r="D1989" s="125">
        <v>0.3333333333333333</v>
      </c>
      <c r="E1989" s="125">
        <v>0.6666666666666666</v>
      </c>
    </row>
    <row r="1990">
      <c r="A1990" s="26" t="s">
        <v>276</v>
      </c>
      <c r="B1990" s="124">
        <v>45881.0</v>
      </c>
      <c r="C1990" s="26" t="s">
        <v>5592</v>
      </c>
      <c r="D1990" s="125">
        <v>0.3333333333333333</v>
      </c>
      <c r="E1990" s="125">
        <v>0.6666666666666666</v>
      </c>
    </row>
    <row r="1991">
      <c r="A1991" s="26" t="s">
        <v>280</v>
      </c>
      <c r="B1991" s="124">
        <v>45881.0</v>
      </c>
      <c r="C1991" s="26" t="s">
        <v>5592</v>
      </c>
      <c r="D1991" s="125">
        <v>0.4166666666666667</v>
      </c>
      <c r="E1991" s="125">
        <v>0.75</v>
      </c>
    </row>
    <row r="1992">
      <c r="A1992" s="26" t="s">
        <v>243</v>
      </c>
      <c r="B1992" s="124">
        <v>45880.0</v>
      </c>
      <c r="C1992" s="26" t="s">
        <v>5592</v>
      </c>
      <c r="D1992" s="125">
        <v>0.3333333333333333</v>
      </c>
      <c r="E1992" s="125">
        <v>0.6666666666666666</v>
      </c>
    </row>
    <row r="1993">
      <c r="A1993" s="26" t="s">
        <v>248</v>
      </c>
      <c r="B1993" s="124">
        <v>45880.0</v>
      </c>
      <c r="C1993" s="26" t="s">
        <v>5592</v>
      </c>
      <c r="D1993" s="125">
        <v>0.3333333333333333</v>
      </c>
      <c r="E1993" s="125">
        <v>0.6666666666666666</v>
      </c>
    </row>
    <row r="1994">
      <c r="A1994" s="26" t="s">
        <v>253</v>
      </c>
      <c r="B1994" s="124">
        <v>45880.0</v>
      </c>
      <c r="C1994" s="26" t="s">
        <v>5592</v>
      </c>
      <c r="D1994" s="125">
        <v>0.4166666666666667</v>
      </c>
      <c r="E1994" s="125">
        <v>0.75</v>
      </c>
    </row>
    <row r="1995">
      <c r="A1995" s="26" t="s">
        <v>258</v>
      </c>
      <c r="B1995" s="124">
        <v>45880.0</v>
      </c>
      <c r="C1995" s="26" t="s">
        <v>5592</v>
      </c>
      <c r="D1995" s="125">
        <v>0.3333333333333333</v>
      </c>
      <c r="E1995" s="125">
        <v>0.6666666666666666</v>
      </c>
    </row>
    <row r="1996">
      <c r="A1996" s="26" t="s">
        <v>261</v>
      </c>
      <c r="B1996" s="124">
        <v>45880.0</v>
      </c>
      <c r="C1996" s="26" t="s">
        <v>5592</v>
      </c>
      <c r="D1996" s="125">
        <v>0.4166666666666667</v>
      </c>
      <c r="E1996" s="125">
        <v>0.75</v>
      </c>
    </row>
    <row r="1997">
      <c r="A1997" s="26" t="s">
        <v>265</v>
      </c>
      <c r="B1997" s="124">
        <v>45880.0</v>
      </c>
      <c r="C1997" s="26" t="s">
        <v>5592</v>
      </c>
      <c r="D1997" s="125">
        <v>0.3333333333333333</v>
      </c>
      <c r="E1997" s="125">
        <v>0.6666666666666666</v>
      </c>
    </row>
    <row r="1998">
      <c r="A1998" s="26" t="s">
        <v>269</v>
      </c>
      <c r="B1998" s="124">
        <v>45880.0</v>
      </c>
      <c r="C1998" s="26" t="s">
        <v>5592</v>
      </c>
      <c r="D1998" s="125">
        <v>0.3333333333333333</v>
      </c>
      <c r="E1998" s="125">
        <v>0.6666666666666666</v>
      </c>
    </row>
    <row r="1999">
      <c r="A1999" s="26" t="s">
        <v>276</v>
      </c>
      <c r="B1999" s="124">
        <v>45880.0</v>
      </c>
      <c r="C1999" s="26" t="s">
        <v>5592</v>
      </c>
      <c r="D1999" s="125">
        <v>0.3333333333333333</v>
      </c>
      <c r="E1999" s="125">
        <v>0.6666666666666666</v>
      </c>
    </row>
    <row r="2000">
      <c r="A2000" s="26" t="s">
        <v>280</v>
      </c>
      <c r="B2000" s="124">
        <v>45880.0</v>
      </c>
      <c r="C2000" s="26" t="s">
        <v>5592</v>
      </c>
      <c r="D2000" s="125">
        <v>0.4166666666666667</v>
      </c>
      <c r="E2000" s="125">
        <v>0.75</v>
      </c>
    </row>
    <row r="2001">
      <c r="A2001" s="26" t="s">
        <v>243</v>
      </c>
      <c r="B2001" s="124">
        <v>45878.0</v>
      </c>
      <c r="C2001" s="26" t="s">
        <v>5592</v>
      </c>
      <c r="D2001" s="125">
        <v>0.3333333333333333</v>
      </c>
      <c r="E2001" s="125">
        <v>0.6666666666666666</v>
      </c>
    </row>
    <row r="2002">
      <c r="A2002" s="26" t="s">
        <v>248</v>
      </c>
      <c r="B2002" s="124">
        <v>45878.0</v>
      </c>
      <c r="C2002" s="26" t="s">
        <v>5592</v>
      </c>
      <c r="D2002" s="125">
        <v>0.3333333333333333</v>
      </c>
      <c r="E2002" s="125">
        <v>0.6666666666666666</v>
      </c>
    </row>
    <row r="2003">
      <c r="A2003" s="26" t="s">
        <v>253</v>
      </c>
      <c r="B2003" s="124">
        <v>45878.0</v>
      </c>
      <c r="C2003" s="26" t="s">
        <v>5592</v>
      </c>
      <c r="D2003" s="125">
        <v>0.4166666666666667</v>
      </c>
      <c r="E2003" s="125">
        <v>0.75</v>
      </c>
    </row>
    <row r="2004">
      <c r="A2004" s="26" t="s">
        <v>258</v>
      </c>
      <c r="B2004" s="124">
        <v>45878.0</v>
      </c>
      <c r="C2004" s="26" t="s">
        <v>5592</v>
      </c>
      <c r="D2004" s="125">
        <v>0.3333333333333333</v>
      </c>
      <c r="E2004" s="125">
        <v>0.6666666666666666</v>
      </c>
    </row>
    <row r="2005">
      <c r="A2005" s="26" t="s">
        <v>261</v>
      </c>
      <c r="B2005" s="124">
        <v>45878.0</v>
      </c>
      <c r="C2005" s="26" t="s">
        <v>5592</v>
      </c>
      <c r="D2005" s="125">
        <v>0.4166666666666667</v>
      </c>
      <c r="E2005" s="125">
        <v>0.75</v>
      </c>
    </row>
    <row r="2006">
      <c r="A2006" s="26" t="s">
        <v>265</v>
      </c>
      <c r="B2006" s="124">
        <v>45878.0</v>
      </c>
      <c r="C2006" s="26" t="s">
        <v>5592</v>
      </c>
      <c r="D2006" s="125">
        <v>0.3333333333333333</v>
      </c>
      <c r="E2006" s="125">
        <v>0.6666666666666666</v>
      </c>
    </row>
    <row r="2007">
      <c r="A2007" s="26" t="s">
        <v>269</v>
      </c>
      <c r="B2007" s="124">
        <v>45878.0</v>
      </c>
      <c r="C2007" s="26" t="s">
        <v>5592</v>
      </c>
      <c r="D2007" s="125">
        <v>0.3333333333333333</v>
      </c>
      <c r="E2007" s="125">
        <v>0.6666666666666666</v>
      </c>
    </row>
    <row r="2008">
      <c r="A2008" s="26" t="s">
        <v>276</v>
      </c>
      <c r="B2008" s="124">
        <v>45878.0</v>
      </c>
      <c r="C2008" s="26" t="s">
        <v>5592</v>
      </c>
      <c r="D2008" s="125">
        <v>0.3333333333333333</v>
      </c>
      <c r="E2008" s="125">
        <v>0.6666666666666666</v>
      </c>
    </row>
    <row r="2009">
      <c r="A2009" s="26" t="s">
        <v>280</v>
      </c>
      <c r="B2009" s="124">
        <v>45878.0</v>
      </c>
      <c r="C2009" s="26" t="s">
        <v>5592</v>
      </c>
      <c r="D2009" s="125">
        <v>0.4166666666666667</v>
      </c>
      <c r="E2009" s="125">
        <v>0.75</v>
      </c>
    </row>
    <row r="2010">
      <c r="A2010" s="26" t="s">
        <v>243</v>
      </c>
      <c r="B2010" s="124">
        <v>45877.0</v>
      </c>
      <c r="C2010" s="26" t="s">
        <v>5592</v>
      </c>
      <c r="D2010" s="125">
        <v>0.3333333333333333</v>
      </c>
      <c r="E2010" s="125">
        <v>0.6666666666666666</v>
      </c>
    </row>
    <row r="2011">
      <c r="A2011" s="26" t="s">
        <v>248</v>
      </c>
      <c r="B2011" s="124">
        <v>45877.0</v>
      </c>
      <c r="C2011" s="26" t="s">
        <v>5592</v>
      </c>
      <c r="D2011" s="125">
        <v>0.3333333333333333</v>
      </c>
      <c r="E2011" s="125">
        <v>0.6666666666666666</v>
      </c>
    </row>
    <row r="2012">
      <c r="A2012" s="26" t="s">
        <v>253</v>
      </c>
      <c r="B2012" s="124">
        <v>45877.0</v>
      </c>
      <c r="C2012" s="26" t="s">
        <v>5592</v>
      </c>
      <c r="D2012" s="125">
        <v>0.4166666666666667</v>
      </c>
      <c r="E2012" s="125">
        <v>0.75</v>
      </c>
    </row>
    <row r="2013">
      <c r="A2013" s="26" t="s">
        <v>258</v>
      </c>
      <c r="B2013" s="124">
        <v>45877.0</v>
      </c>
      <c r="C2013" s="26" t="s">
        <v>5592</v>
      </c>
      <c r="D2013" s="125">
        <v>0.3333333333333333</v>
      </c>
      <c r="E2013" s="125">
        <v>0.6666666666666666</v>
      </c>
    </row>
    <row r="2014">
      <c r="A2014" s="26" t="s">
        <v>261</v>
      </c>
      <c r="B2014" s="124">
        <v>45877.0</v>
      </c>
      <c r="C2014" s="26" t="s">
        <v>5592</v>
      </c>
      <c r="D2014" s="125">
        <v>0.4166666666666667</v>
      </c>
      <c r="E2014" s="125">
        <v>0.75</v>
      </c>
    </row>
    <row r="2015">
      <c r="A2015" s="26" t="s">
        <v>265</v>
      </c>
      <c r="B2015" s="124">
        <v>45877.0</v>
      </c>
      <c r="C2015" s="26" t="s">
        <v>5592</v>
      </c>
      <c r="D2015" s="125">
        <v>0.3333333333333333</v>
      </c>
      <c r="E2015" s="125">
        <v>0.6666666666666666</v>
      </c>
    </row>
    <row r="2016">
      <c r="A2016" s="26" t="s">
        <v>269</v>
      </c>
      <c r="B2016" s="124">
        <v>45877.0</v>
      </c>
      <c r="C2016" s="26" t="s">
        <v>5592</v>
      </c>
      <c r="D2016" s="125">
        <v>0.3333333333333333</v>
      </c>
      <c r="E2016" s="125">
        <v>0.6666666666666666</v>
      </c>
    </row>
    <row r="2017">
      <c r="A2017" s="26" t="s">
        <v>276</v>
      </c>
      <c r="B2017" s="124">
        <v>45877.0</v>
      </c>
      <c r="C2017" s="26" t="s">
        <v>5592</v>
      </c>
      <c r="D2017" s="125">
        <v>0.3333333333333333</v>
      </c>
      <c r="E2017" s="125">
        <v>0.6666666666666666</v>
      </c>
    </row>
    <row r="2018">
      <c r="A2018" s="26" t="s">
        <v>280</v>
      </c>
      <c r="B2018" s="124">
        <v>45877.0</v>
      </c>
      <c r="C2018" s="26" t="s">
        <v>5592</v>
      </c>
      <c r="D2018" s="125">
        <v>0.4166666666666667</v>
      </c>
      <c r="E2018" s="125">
        <v>0.75</v>
      </c>
    </row>
    <row r="2019">
      <c r="A2019" s="26" t="s">
        <v>243</v>
      </c>
      <c r="B2019" s="124">
        <v>45876.0</v>
      </c>
      <c r="C2019" s="26" t="s">
        <v>5592</v>
      </c>
      <c r="D2019" s="125">
        <v>0.3333333333333333</v>
      </c>
      <c r="E2019" s="125">
        <v>0.6666666666666666</v>
      </c>
    </row>
    <row r="2020">
      <c r="A2020" s="26" t="s">
        <v>248</v>
      </c>
      <c r="B2020" s="124">
        <v>45876.0</v>
      </c>
      <c r="C2020" s="26" t="s">
        <v>5592</v>
      </c>
      <c r="D2020" s="125">
        <v>0.3333333333333333</v>
      </c>
      <c r="E2020" s="125">
        <v>0.6666666666666666</v>
      </c>
    </row>
    <row r="2021">
      <c r="A2021" s="26" t="s">
        <v>253</v>
      </c>
      <c r="B2021" s="124">
        <v>45876.0</v>
      </c>
      <c r="C2021" s="26" t="s">
        <v>5592</v>
      </c>
      <c r="D2021" s="125">
        <v>0.4166666666666667</v>
      </c>
      <c r="E2021" s="125">
        <v>0.75</v>
      </c>
    </row>
    <row r="2022">
      <c r="A2022" s="26" t="s">
        <v>258</v>
      </c>
      <c r="B2022" s="124">
        <v>45876.0</v>
      </c>
      <c r="C2022" s="26" t="s">
        <v>5592</v>
      </c>
      <c r="D2022" s="125">
        <v>0.3333333333333333</v>
      </c>
      <c r="E2022" s="125">
        <v>0.6666666666666666</v>
      </c>
    </row>
    <row r="2023">
      <c r="A2023" s="26" t="s">
        <v>261</v>
      </c>
      <c r="B2023" s="124">
        <v>45876.0</v>
      </c>
      <c r="C2023" s="26" t="s">
        <v>5592</v>
      </c>
      <c r="D2023" s="125">
        <v>0.4166666666666667</v>
      </c>
      <c r="E2023" s="125">
        <v>0.75</v>
      </c>
    </row>
    <row r="2024">
      <c r="A2024" s="26" t="s">
        <v>265</v>
      </c>
      <c r="B2024" s="124">
        <v>45876.0</v>
      </c>
      <c r="C2024" s="26" t="s">
        <v>5592</v>
      </c>
      <c r="D2024" s="125">
        <v>0.3333333333333333</v>
      </c>
      <c r="E2024" s="125">
        <v>0.6666666666666666</v>
      </c>
    </row>
    <row r="2025">
      <c r="A2025" s="26" t="s">
        <v>269</v>
      </c>
      <c r="B2025" s="124">
        <v>45876.0</v>
      </c>
      <c r="C2025" s="26" t="s">
        <v>5592</v>
      </c>
      <c r="D2025" s="125">
        <v>0.3333333333333333</v>
      </c>
      <c r="E2025" s="125">
        <v>0.6666666666666666</v>
      </c>
    </row>
    <row r="2026">
      <c r="A2026" s="26" t="s">
        <v>276</v>
      </c>
      <c r="B2026" s="124">
        <v>45876.0</v>
      </c>
      <c r="C2026" s="26" t="s">
        <v>5592</v>
      </c>
      <c r="D2026" s="125">
        <v>0.3333333333333333</v>
      </c>
      <c r="E2026" s="125">
        <v>0.6666666666666666</v>
      </c>
    </row>
    <row r="2027">
      <c r="A2027" s="26" t="s">
        <v>280</v>
      </c>
      <c r="B2027" s="124">
        <v>45876.0</v>
      </c>
      <c r="C2027" s="26" t="s">
        <v>5592</v>
      </c>
      <c r="D2027" s="125">
        <v>0.4166666666666667</v>
      </c>
      <c r="E2027" s="125">
        <v>0.75</v>
      </c>
    </row>
    <row r="2028">
      <c r="A2028" s="26" t="s">
        <v>243</v>
      </c>
      <c r="B2028" s="124">
        <v>45875.0</v>
      </c>
      <c r="C2028" s="26" t="s">
        <v>5592</v>
      </c>
      <c r="D2028" s="125">
        <v>0.3333333333333333</v>
      </c>
      <c r="E2028" s="125">
        <v>0.6666666666666666</v>
      </c>
    </row>
    <row r="2029">
      <c r="A2029" s="26" t="s">
        <v>248</v>
      </c>
      <c r="B2029" s="124">
        <v>45875.0</v>
      </c>
      <c r="C2029" s="26" t="s">
        <v>5592</v>
      </c>
      <c r="D2029" s="125">
        <v>0.3333333333333333</v>
      </c>
      <c r="E2029" s="125">
        <v>0.6666666666666666</v>
      </c>
    </row>
    <row r="2030">
      <c r="A2030" s="26" t="s">
        <v>253</v>
      </c>
      <c r="B2030" s="124">
        <v>45875.0</v>
      </c>
      <c r="C2030" s="26" t="s">
        <v>5592</v>
      </c>
      <c r="D2030" s="125">
        <v>0.4166666666666667</v>
      </c>
      <c r="E2030" s="125">
        <v>0.75</v>
      </c>
    </row>
    <row r="2031">
      <c r="A2031" s="26" t="s">
        <v>258</v>
      </c>
      <c r="B2031" s="124">
        <v>45875.0</v>
      </c>
      <c r="C2031" s="26" t="s">
        <v>5592</v>
      </c>
      <c r="D2031" s="125">
        <v>0.3333333333333333</v>
      </c>
      <c r="E2031" s="125">
        <v>0.6666666666666666</v>
      </c>
    </row>
    <row r="2032">
      <c r="A2032" s="26" t="s">
        <v>261</v>
      </c>
      <c r="B2032" s="124">
        <v>45875.0</v>
      </c>
      <c r="C2032" s="26" t="s">
        <v>5592</v>
      </c>
      <c r="D2032" s="125">
        <v>0.4166666666666667</v>
      </c>
      <c r="E2032" s="125">
        <v>0.75</v>
      </c>
    </row>
    <row r="2033">
      <c r="A2033" s="26" t="s">
        <v>265</v>
      </c>
      <c r="B2033" s="124">
        <v>45875.0</v>
      </c>
      <c r="C2033" s="26" t="s">
        <v>5592</v>
      </c>
      <c r="D2033" s="125">
        <v>0.3333333333333333</v>
      </c>
      <c r="E2033" s="125">
        <v>0.6666666666666666</v>
      </c>
    </row>
    <row r="2034">
      <c r="A2034" s="26" t="s">
        <v>269</v>
      </c>
      <c r="B2034" s="124">
        <v>45875.0</v>
      </c>
      <c r="C2034" s="26" t="s">
        <v>5592</v>
      </c>
      <c r="D2034" s="125">
        <v>0.3333333333333333</v>
      </c>
      <c r="E2034" s="125">
        <v>0.6666666666666666</v>
      </c>
    </row>
    <row r="2035">
      <c r="A2035" s="26" t="s">
        <v>276</v>
      </c>
      <c r="B2035" s="124">
        <v>45875.0</v>
      </c>
      <c r="C2035" s="26" t="s">
        <v>5592</v>
      </c>
      <c r="D2035" s="125">
        <v>0.3333333333333333</v>
      </c>
      <c r="E2035" s="125">
        <v>0.6666666666666666</v>
      </c>
    </row>
    <row r="2036">
      <c r="A2036" s="26" t="s">
        <v>280</v>
      </c>
      <c r="B2036" s="124">
        <v>45875.0</v>
      </c>
      <c r="C2036" s="26" t="s">
        <v>5592</v>
      </c>
      <c r="D2036" s="125">
        <v>0.4166666666666667</v>
      </c>
      <c r="E2036" s="125">
        <v>0.75</v>
      </c>
    </row>
    <row r="2037">
      <c r="A2037" s="26" t="s">
        <v>243</v>
      </c>
      <c r="B2037" s="124">
        <v>45874.0</v>
      </c>
      <c r="C2037" s="26" t="s">
        <v>5592</v>
      </c>
      <c r="D2037" s="125">
        <v>0.3333333333333333</v>
      </c>
      <c r="E2037" s="125">
        <v>0.6666666666666666</v>
      </c>
    </row>
    <row r="2038">
      <c r="A2038" s="26" t="s">
        <v>248</v>
      </c>
      <c r="B2038" s="124">
        <v>45874.0</v>
      </c>
      <c r="C2038" s="26" t="s">
        <v>5592</v>
      </c>
      <c r="D2038" s="125">
        <v>0.3333333333333333</v>
      </c>
      <c r="E2038" s="125">
        <v>0.6666666666666666</v>
      </c>
    </row>
    <row r="2039">
      <c r="A2039" s="26" t="s">
        <v>253</v>
      </c>
      <c r="B2039" s="124">
        <v>45874.0</v>
      </c>
      <c r="C2039" s="26" t="s">
        <v>5592</v>
      </c>
      <c r="D2039" s="125">
        <v>0.4166666666666667</v>
      </c>
      <c r="E2039" s="125">
        <v>0.75</v>
      </c>
    </row>
    <row r="2040">
      <c r="A2040" s="26" t="s">
        <v>258</v>
      </c>
      <c r="B2040" s="124">
        <v>45874.0</v>
      </c>
      <c r="C2040" s="26" t="s">
        <v>5592</v>
      </c>
      <c r="D2040" s="125">
        <v>0.3333333333333333</v>
      </c>
      <c r="E2040" s="125">
        <v>0.6666666666666666</v>
      </c>
    </row>
    <row r="2041">
      <c r="A2041" s="26" t="s">
        <v>261</v>
      </c>
      <c r="B2041" s="124">
        <v>45874.0</v>
      </c>
      <c r="C2041" s="26" t="s">
        <v>5592</v>
      </c>
      <c r="D2041" s="125">
        <v>0.4166666666666667</v>
      </c>
      <c r="E2041" s="125">
        <v>0.75</v>
      </c>
    </row>
    <row r="2042">
      <c r="A2042" s="26" t="s">
        <v>265</v>
      </c>
      <c r="B2042" s="124">
        <v>45874.0</v>
      </c>
      <c r="C2042" s="26" t="s">
        <v>5592</v>
      </c>
      <c r="D2042" s="125">
        <v>0.3333333333333333</v>
      </c>
      <c r="E2042" s="125">
        <v>0.6666666666666666</v>
      </c>
    </row>
    <row r="2043">
      <c r="A2043" s="26" t="s">
        <v>269</v>
      </c>
      <c r="B2043" s="124">
        <v>45874.0</v>
      </c>
      <c r="C2043" s="26" t="s">
        <v>5592</v>
      </c>
      <c r="D2043" s="125">
        <v>0.3333333333333333</v>
      </c>
      <c r="E2043" s="125">
        <v>0.6666666666666666</v>
      </c>
    </row>
    <row r="2044">
      <c r="A2044" s="26" t="s">
        <v>276</v>
      </c>
      <c r="B2044" s="124">
        <v>45874.0</v>
      </c>
      <c r="C2044" s="26" t="s">
        <v>5592</v>
      </c>
      <c r="D2044" s="125">
        <v>0.3333333333333333</v>
      </c>
      <c r="E2044" s="125">
        <v>0.6666666666666666</v>
      </c>
    </row>
    <row r="2045">
      <c r="A2045" s="26" t="s">
        <v>280</v>
      </c>
      <c r="B2045" s="124">
        <v>45874.0</v>
      </c>
      <c r="C2045" s="26" t="s">
        <v>5592</v>
      </c>
      <c r="D2045" s="125">
        <v>0.4166666666666667</v>
      </c>
      <c r="E2045" s="125">
        <v>0.75</v>
      </c>
    </row>
    <row r="2046">
      <c r="A2046" s="26" t="s">
        <v>243</v>
      </c>
      <c r="B2046" s="124">
        <v>45873.0</v>
      </c>
      <c r="C2046" s="26" t="s">
        <v>5592</v>
      </c>
      <c r="D2046" s="125">
        <v>0.3333333333333333</v>
      </c>
      <c r="E2046" s="125">
        <v>0.6666666666666666</v>
      </c>
    </row>
    <row r="2047">
      <c r="A2047" s="26" t="s">
        <v>248</v>
      </c>
      <c r="B2047" s="124">
        <v>45873.0</v>
      </c>
      <c r="C2047" s="26" t="s">
        <v>5592</v>
      </c>
      <c r="D2047" s="125">
        <v>0.3333333333333333</v>
      </c>
      <c r="E2047" s="125">
        <v>0.6666666666666666</v>
      </c>
    </row>
    <row r="2048">
      <c r="A2048" s="26" t="s">
        <v>253</v>
      </c>
      <c r="B2048" s="124">
        <v>45873.0</v>
      </c>
      <c r="C2048" s="26" t="s">
        <v>5592</v>
      </c>
      <c r="D2048" s="125">
        <v>0.4166666666666667</v>
      </c>
      <c r="E2048" s="125">
        <v>0.75</v>
      </c>
    </row>
    <row r="2049">
      <c r="A2049" s="26" t="s">
        <v>258</v>
      </c>
      <c r="B2049" s="124">
        <v>45873.0</v>
      </c>
      <c r="C2049" s="26" t="s">
        <v>5592</v>
      </c>
      <c r="D2049" s="125">
        <v>0.3333333333333333</v>
      </c>
      <c r="E2049" s="125">
        <v>0.6666666666666666</v>
      </c>
    </row>
    <row r="2050">
      <c r="A2050" s="26" t="s">
        <v>261</v>
      </c>
      <c r="B2050" s="124">
        <v>45873.0</v>
      </c>
      <c r="C2050" s="26" t="s">
        <v>5592</v>
      </c>
      <c r="D2050" s="125">
        <v>0.4166666666666667</v>
      </c>
      <c r="E2050" s="125">
        <v>0.75</v>
      </c>
    </row>
    <row r="2051">
      <c r="A2051" s="26" t="s">
        <v>265</v>
      </c>
      <c r="B2051" s="124">
        <v>45873.0</v>
      </c>
      <c r="C2051" s="26" t="s">
        <v>5592</v>
      </c>
      <c r="D2051" s="125">
        <v>0.3333333333333333</v>
      </c>
      <c r="E2051" s="125">
        <v>0.6666666666666666</v>
      </c>
    </row>
    <row r="2052">
      <c r="A2052" s="26" t="s">
        <v>269</v>
      </c>
      <c r="B2052" s="124">
        <v>45873.0</v>
      </c>
      <c r="C2052" s="26" t="s">
        <v>5592</v>
      </c>
      <c r="D2052" s="125">
        <v>0.3333333333333333</v>
      </c>
      <c r="E2052" s="125">
        <v>0.6666666666666666</v>
      </c>
    </row>
    <row r="2053">
      <c r="A2053" s="26" t="s">
        <v>276</v>
      </c>
      <c r="B2053" s="124">
        <v>45873.0</v>
      </c>
      <c r="C2053" s="26" t="s">
        <v>5592</v>
      </c>
      <c r="D2053" s="125">
        <v>0.3333333333333333</v>
      </c>
      <c r="E2053" s="125">
        <v>0.6666666666666666</v>
      </c>
    </row>
    <row r="2054">
      <c r="A2054" s="26" t="s">
        <v>280</v>
      </c>
      <c r="B2054" s="124">
        <v>45873.0</v>
      </c>
      <c r="C2054" s="26" t="s">
        <v>5592</v>
      </c>
      <c r="D2054" s="125">
        <v>0.4166666666666667</v>
      </c>
      <c r="E2054" s="125">
        <v>0.75</v>
      </c>
    </row>
    <row r="2055">
      <c r="A2055" s="26" t="s">
        <v>243</v>
      </c>
      <c r="B2055" s="124">
        <v>45871.0</v>
      </c>
      <c r="C2055" s="26" t="s">
        <v>5592</v>
      </c>
      <c r="D2055" s="125">
        <v>0.3333333333333333</v>
      </c>
      <c r="E2055" s="125">
        <v>0.6666666666666666</v>
      </c>
    </row>
    <row r="2056">
      <c r="A2056" s="26" t="s">
        <v>248</v>
      </c>
      <c r="B2056" s="124">
        <v>45871.0</v>
      </c>
      <c r="C2056" s="26" t="s">
        <v>5592</v>
      </c>
      <c r="D2056" s="125">
        <v>0.3333333333333333</v>
      </c>
      <c r="E2056" s="125">
        <v>0.6666666666666666</v>
      </c>
    </row>
    <row r="2057">
      <c r="A2057" s="26" t="s">
        <v>253</v>
      </c>
      <c r="B2057" s="124">
        <v>45871.0</v>
      </c>
      <c r="C2057" s="26" t="s">
        <v>5592</v>
      </c>
      <c r="D2057" s="125">
        <v>0.4166666666666667</v>
      </c>
      <c r="E2057" s="125">
        <v>0.75</v>
      </c>
    </row>
    <row r="2058">
      <c r="A2058" s="26" t="s">
        <v>258</v>
      </c>
      <c r="B2058" s="124">
        <v>45871.0</v>
      </c>
      <c r="C2058" s="26" t="s">
        <v>5592</v>
      </c>
      <c r="D2058" s="125">
        <v>0.3333333333333333</v>
      </c>
      <c r="E2058" s="125">
        <v>0.6666666666666666</v>
      </c>
    </row>
    <row r="2059">
      <c r="A2059" s="26" t="s">
        <v>261</v>
      </c>
      <c r="B2059" s="124">
        <v>45871.0</v>
      </c>
      <c r="C2059" s="26" t="s">
        <v>5592</v>
      </c>
      <c r="D2059" s="125">
        <v>0.4166666666666667</v>
      </c>
      <c r="E2059" s="125">
        <v>0.75</v>
      </c>
    </row>
    <row r="2060">
      <c r="A2060" s="26" t="s">
        <v>265</v>
      </c>
      <c r="B2060" s="124">
        <v>45871.0</v>
      </c>
      <c r="C2060" s="26" t="s">
        <v>5592</v>
      </c>
      <c r="D2060" s="125">
        <v>0.3333333333333333</v>
      </c>
      <c r="E2060" s="125">
        <v>0.6666666666666666</v>
      </c>
    </row>
    <row r="2061">
      <c r="A2061" s="26" t="s">
        <v>269</v>
      </c>
      <c r="B2061" s="124">
        <v>45871.0</v>
      </c>
      <c r="C2061" s="26" t="s">
        <v>5592</v>
      </c>
      <c r="D2061" s="125">
        <v>0.3333333333333333</v>
      </c>
      <c r="E2061" s="125">
        <v>0.6666666666666666</v>
      </c>
    </row>
    <row r="2062">
      <c r="A2062" s="26" t="s">
        <v>276</v>
      </c>
      <c r="B2062" s="124">
        <v>45871.0</v>
      </c>
      <c r="C2062" s="26" t="s">
        <v>5592</v>
      </c>
      <c r="D2062" s="125">
        <v>0.3333333333333333</v>
      </c>
      <c r="E2062" s="125">
        <v>0.6666666666666666</v>
      </c>
    </row>
    <row r="2063">
      <c r="A2063" s="26" t="s">
        <v>280</v>
      </c>
      <c r="B2063" s="124">
        <v>45871.0</v>
      </c>
      <c r="C2063" s="26" t="s">
        <v>5592</v>
      </c>
      <c r="D2063" s="125">
        <v>0.4166666666666667</v>
      </c>
      <c r="E2063" s="125">
        <v>0.75</v>
      </c>
    </row>
    <row r="2064">
      <c r="A2064" s="26" t="s">
        <v>243</v>
      </c>
      <c r="B2064" s="124">
        <v>45870.0</v>
      </c>
      <c r="C2064" s="26" t="s">
        <v>5592</v>
      </c>
      <c r="D2064" s="125">
        <v>0.3333333333333333</v>
      </c>
      <c r="E2064" s="125">
        <v>0.6666666666666666</v>
      </c>
    </row>
    <row r="2065">
      <c r="A2065" s="26" t="s">
        <v>248</v>
      </c>
      <c r="B2065" s="124">
        <v>45870.0</v>
      </c>
      <c r="C2065" s="26" t="s">
        <v>5592</v>
      </c>
      <c r="D2065" s="125">
        <v>0.3333333333333333</v>
      </c>
      <c r="E2065" s="125">
        <v>0.6666666666666666</v>
      </c>
    </row>
    <row r="2066">
      <c r="A2066" s="26" t="s">
        <v>253</v>
      </c>
      <c r="B2066" s="124">
        <v>45870.0</v>
      </c>
      <c r="C2066" s="26" t="s">
        <v>5592</v>
      </c>
      <c r="D2066" s="125">
        <v>0.4166666666666667</v>
      </c>
      <c r="E2066" s="125">
        <v>0.75</v>
      </c>
    </row>
    <row r="2067">
      <c r="A2067" s="26" t="s">
        <v>258</v>
      </c>
      <c r="B2067" s="124">
        <v>45870.0</v>
      </c>
      <c r="C2067" s="26" t="s">
        <v>5592</v>
      </c>
      <c r="D2067" s="125">
        <v>0.3333333333333333</v>
      </c>
      <c r="E2067" s="125">
        <v>0.6666666666666666</v>
      </c>
    </row>
    <row r="2068">
      <c r="A2068" s="26" t="s">
        <v>261</v>
      </c>
      <c r="B2068" s="124">
        <v>45870.0</v>
      </c>
      <c r="C2068" s="26" t="s">
        <v>5592</v>
      </c>
      <c r="D2068" s="125">
        <v>0.4166666666666667</v>
      </c>
      <c r="E2068" s="125">
        <v>0.75</v>
      </c>
    </row>
    <row r="2069">
      <c r="A2069" s="26" t="s">
        <v>265</v>
      </c>
      <c r="B2069" s="124">
        <v>45870.0</v>
      </c>
      <c r="C2069" s="26" t="s">
        <v>5592</v>
      </c>
      <c r="D2069" s="125">
        <v>0.3333333333333333</v>
      </c>
      <c r="E2069" s="125">
        <v>0.6666666666666666</v>
      </c>
    </row>
    <row r="2070">
      <c r="A2070" s="26" t="s">
        <v>269</v>
      </c>
      <c r="B2070" s="124">
        <v>45870.0</v>
      </c>
      <c r="C2070" s="26" t="s">
        <v>5592</v>
      </c>
      <c r="D2070" s="125">
        <v>0.3333333333333333</v>
      </c>
      <c r="E2070" s="125">
        <v>0.6666666666666666</v>
      </c>
    </row>
    <row r="2071">
      <c r="A2071" s="26" t="s">
        <v>276</v>
      </c>
      <c r="B2071" s="124">
        <v>45870.0</v>
      </c>
      <c r="C2071" s="26" t="s">
        <v>5592</v>
      </c>
      <c r="D2071" s="125">
        <v>0.3333333333333333</v>
      </c>
      <c r="E2071" s="125">
        <v>0.6666666666666666</v>
      </c>
    </row>
    <row r="2072">
      <c r="A2072" s="26" t="s">
        <v>280</v>
      </c>
      <c r="B2072" s="124">
        <v>45870.0</v>
      </c>
      <c r="C2072" s="26" t="s">
        <v>5592</v>
      </c>
      <c r="D2072" s="125">
        <v>0.4166666666666667</v>
      </c>
      <c r="E2072" s="125">
        <v>0.75</v>
      </c>
    </row>
    <row r="2073">
      <c r="A2073" s="26" t="s">
        <v>243</v>
      </c>
      <c r="B2073" s="124">
        <v>45869.0</v>
      </c>
      <c r="C2073" s="26" t="s">
        <v>5592</v>
      </c>
      <c r="D2073" s="125">
        <v>0.3333333333333333</v>
      </c>
      <c r="E2073" s="125">
        <v>0.6666666666666666</v>
      </c>
    </row>
    <row r="2074">
      <c r="A2074" s="26" t="s">
        <v>248</v>
      </c>
      <c r="B2074" s="124">
        <v>45869.0</v>
      </c>
      <c r="C2074" s="26" t="s">
        <v>5592</v>
      </c>
      <c r="D2074" s="125">
        <v>0.3333333333333333</v>
      </c>
      <c r="E2074" s="125">
        <v>0.6666666666666666</v>
      </c>
    </row>
    <row r="2075">
      <c r="A2075" s="26" t="s">
        <v>253</v>
      </c>
      <c r="B2075" s="124">
        <v>45869.0</v>
      </c>
      <c r="C2075" s="26" t="s">
        <v>5592</v>
      </c>
      <c r="D2075" s="125">
        <v>0.4166666666666667</v>
      </c>
      <c r="E2075" s="125">
        <v>0.75</v>
      </c>
    </row>
    <row r="2076">
      <c r="A2076" s="26" t="s">
        <v>258</v>
      </c>
      <c r="B2076" s="124">
        <v>45869.0</v>
      </c>
      <c r="C2076" s="26" t="s">
        <v>5592</v>
      </c>
      <c r="D2076" s="125">
        <v>0.3333333333333333</v>
      </c>
      <c r="E2076" s="125">
        <v>0.6666666666666666</v>
      </c>
    </row>
    <row r="2077">
      <c r="A2077" s="26" t="s">
        <v>261</v>
      </c>
      <c r="B2077" s="124">
        <v>45869.0</v>
      </c>
      <c r="C2077" s="26" t="s">
        <v>5592</v>
      </c>
      <c r="D2077" s="125">
        <v>0.4166666666666667</v>
      </c>
      <c r="E2077" s="125">
        <v>0.75</v>
      </c>
    </row>
    <row r="2078">
      <c r="A2078" s="26" t="s">
        <v>265</v>
      </c>
      <c r="B2078" s="124">
        <v>45869.0</v>
      </c>
      <c r="C2078" s="26" t="s">
        <v>5592</v>
      </c>
      <c r="D2078" s="125">
        <v>0.3333333333333333</v>
      </c>
      <c r="E2078" s="125">
        <v>0.6666666666666666</v>
      </c>
    </row>
    <row r="2079">
      <c r="A2079" s="26" t="s">
        <v>269</v>
      </c>
      <c r="B2079" s="124">
        <v>45869.0</v>
      </c>
      <c r="C2079" s="26" t="s">
        <v>5592</v>
      </c>
      <c r="D2079" s="125">
        <v>0.3333333333333333</v>
      </c>
      <c r="E2079" s="125">
        <v>0.6666666666666666</v>
      </c>
    </row>
    <row r="2080">
      <c r="A2080" s="26" t="s">
        <v>276</v>
      </c>
      <c r="B2080" s="124">
        <v>45869.0</v>
      </c>
      <c r="C2080" s="26" t="s">
        <v>5592</v>
      </c>
      <c r="D2080" s="125">
        <v>0.3333333333333333</v>
      </c>
      <c r="E2080" s="125">
        <v>0.6666666666666666</v>
      </c>
    </row>
    <row r="2081">
      <c r="A2081" s="26" t="s">
        <v>280</v>
      </c>
      <c r="B2081" s="124">
        <v>45869.0</v>
      </c>
      <c r="C2081" s="26" t="s">
        <v>5592</v>
      </c>
      <c r="D2081" s="125">
        <v>0.4166666666666667</v>
      </c>
      <c r="E2081" s="125">
        <v>0.75</v>
      </c>
    </row>
    <row r="2082">
      <c r="A2082" s="26" t="s">
        <v>243</v>
      </c>
      <c r="B2082" s="124">
        <v>45868.0</v>
      </c>
      <c r="C2082" s="26" t="s">
        <v>5592</v>
      </c>
      <c r="D2082" s="125">
        <v>0.3333333333333333</v>
      </c>
      <c r="E2082" s="125">
        <v>0.6666666666666666</v>
      </c>
    </row>
    <row r="2083">
      <c r="A2083" s="26" t="s">
        <v>248</v>
      </c>
      <c r="B2083" s="124">
        <v>45868.0</v>
      </c>
      <c r="C2083" s="26" t="s">
        <v>5592</v>
      </c>
      <c r="D2083" s="125">
        <v>0.3333333333333333</v>
      </c>
      <c r="E2083" s="125">
        <v>0.6666666666666666</v>
      </c>
    </row>
    <row r="2084">
      <c r="A2084" s="26" t="s">
        <v>253</v>
      </c>
      <c r="B2084" s="124">
        <v>45868.0</v>
      </c>
      <c r="C2084" s="26" t="s">
        <v>5592</v>
      </c>
      <c r="D2084" s="125">
        <v>0.4166666666666667</v>
      </c>
      <c r="E2084" s="125">
        <v>0.75</v>
      </c>
    </row>
    <row r="2085">
      <c r="A2085" s="26" t="s">
        <v>258</v>
      </c>
      <c r="B2085" s="124">
        <v>45868.0</v>
      </c>
      <c r="C2085" s="26" t="s">
        <v>5592</v>
      </c>
      <c r="D2085" s="125">
        <v>0.3333333333333333</v>
      </c>
      <c r="E2085" s="125">
        <v>0.6666666666666666</v>
      </c>
    </row>
    <row r="2086">
      <c r="A2086" s="26" t="s">
        <v>261</v>
      </c>
      <c r="B2086" s="124">
        <v>45868.0</v>
      </c>
      <c r="C2086" s="26" t="s">
        <v>5592</v>
      </c>
      <c r="D2086" s="125">
        <v>0.4166666666666667</v>
      </c>
      <c r="E2086" s="125">
        <v>0.75</v>
      </c>
    </row>
    <row r="2087">
      <c r="A2087" s="26" t="s">
        <v>265</v>
      </c>
      <c r="B2087" s="124">
        <v>45868.0</v>
      </c>
      <c r="C2087" s="26" t="s">
        <v>5592</v>
      </c>
      <c r="D2087" s="125">
        <v>0.3333333333333333</v>
      </c>
      <c r="E2087" s="125">
        <v>0.6666666666666666</v>
      </c>
    </row>
    <row r="2088">
      <c r="A2088" s="26" t="s">
        <v>269</v>
      </c>
      <c r="B2088" s="124">
        <v>45868.0</v>
      </c>
      <c r="C2088" s="26" t="s">
        <v>5592</v>
      </c>
      <c r="D2088" s="125">
        <v>0.3333333333333333</v>
      </c>
      <c r="E2088" s="125">
        <v>0.6666666666666666</v>
      </c>
    </row>
    <row r="2089">
      <c r="A2089" s="26" t="s">
        <v>276</v>
      </c>
      <c r="B2089" s="124">
        <v>45868.0</v>
      </c>
      <c r="C2089" s="26" t="s">
        <v>5592</v>
      </c>
      <c r="D2089" s="125">
        <v>0.3333333333333333</v>
      </c>
      <c r="E2089" s="125">
        <v>0.6666666666666666</v>
      </c>
    </row>
    <row r="2090">
      <c r="A2090" s="26" t="s">
        <v>280</v>
      </c>
      <c r="B2090" s="124">
        <v>45868.0</v>
      </c>
      <c r="C2090" s="26" t="s">
        <v>5592</v>
      </c>
      <c r="D2090" s="125">
        <v>0.4166666666666667</v>
      </c>
      <c r="E2090" s="125">
        <v>0.75</v>
      </c>
    </row>
    <row r="2091">
      <c r="A2091" s="26" t="s">
        <v>243</v>
      </c>
      <c r="B2091" s="124">
        <v>45867.0</v>
      </c>
      <c r="C2091" s="26" t="s">
        <v>5592</v>
      </c>
      <c r="D2091" s="125">
        <v>0.3333333333333333</v>
      </c>
      <c r="E2091" s="125">
        <v>0.6666666666666666</v>
      </c>
    </row>
    <row r="2092">
      <c r="A2092" s="26" t="s">
        <v>248</v>
      </c>
      <c r="B2092" s="124">
        <v>45867.0</v>
      </c>
      <c r="C2092" s="26" t="s">
        <v>5592</v>
      </c>
      <c r="D2092" s="125">
        <v>0.3333333333333333</v>
      </c>
      <c r="E2092" s="125">
        <v>0.6666666666666666</v>
      </c>
    </row>
    <row r="2093">
      <c r="A2093" s="26" t="s">
        <v>253</v>
      </c>
      <c r="B2093" s="124">
        <v>45867.0</v>
      </c>
      <c r="C2093" s="26" t="s">
        <v>5592</v>
      </c>
      <c r="D2093" s="125">
        <v>0.4166666666666667</v>
      </c>
      <c r="E2093" s="125">
        <v>0.75</v>
      </c>
    </row>
    <row r="2094">
      <c r="A2094" s="26" t="s">
        <v>258</v>
      </c>
      <c r="B2094" s="124">
        <v>45867.0</v>
      </c>
      <c r="C2094" s="26" t="s">
        <v>5592</v>
      </c>
      <c r="D2094" s="125">
        <v>0.3333333333333333</v>
      </c>
      <c r="E2094" s="125">
        <v>0.6666666666666666</v>
      </c>
    </row>
    <row r="2095">
      <c r="A2095" s="26" t="s">
        <v>261</v>
      </c>
      <c r="B2095" s="124">
        <v>45867.0</v>
      </c>
      <c r="C2095" s="26" t="s">
        <v>5592</v>
      </c>
      <c r="D2095" s="125">
        <v>0.4166666666666667</v>
      </c>
      <c r="E2095" s="125">
        <v>0.75</v>
      </c>
    </row>
    <row r="2096">
      <c r="A2096" s="26" t="s">
        <v>265</v>
      </c>
      <c r="B2096" s="124">
        <v>45867.0</v>
      </c>
      <c r="C2096" s="26" t="s">
        <v>5592</v>
      </c>
      <c r="D2096" s="125">
        <v>0.3333333333333333</v>
      </c>
      <c r="E2096" s="125">
        <v>0.6666666666666666</v>
      </c>
    </row>
    <row r="2097">
      <c r="A2097" s="26" t="s">
        <v>269</v>
      </c>
      <c r="B2097" s="124">
        <v>45867.0</v>
      </c>
      <c r="C2097" s="26" t="s">
        <v>5592</v>
      </c>
      <c r="D2097" s="125">
        <v>0.3333333333333333</v>
      </c>
      <c r="E2097" s="125">
        <v>0.6666666666666666</v>
      </c>
    </row>
    <row r="2098">
      <c r="A2098" s="26" t="s">
        <v>276</v>
      </c>
      <c r="B2098" s="124">
        <v>45867.0</v>
      </c>
      <c r="C2098" s="26" t="s">
        <v>5592</v>
      </c>
      <c r="D2098" s="125">
        <v>0.3333333333333333</v>
      </c>
      <c r="E2098" s="125">
        <v>0.6666666666666666</v>
      </c>
    </row>
    <row r="2099">
      <c r="A2099" s="26" t="s">
        <v>280</v>
      </c>
      <c r="B2099" s="124">
        <v>45867.0</v>
      </c>
      <c r="C2099" s="26" t="s">
        <v>5592</v>
      </c>
      <c r="D2099" s="125">
        <v>0.4166666666666667</v>
      </c>
      <c r="E2099" s="125">
        <v>0.75</v>
      </c>
    </row>
    <row r="2100">
      <c r="A2100" s="26" t="s">
        <v>243</v>
      </c>
      <c r="B2100" s="124">
        <v>45866.0</v>
      </c>
      <c r="C2100" s="26" t="s">
        <v>5592</v>
      </c>
      <c r="D2100" s="125">
        <v>0.3333333333333333</v>
      </c>
      <c r="E2100" s="125">
        <v>0.6666666666666666</v>
      </c>
    </row>
    <row r="2101">
      <c r="A2101" s="26" t="s">
        <v>248</v>
      </c>
      <c r="B2101" s="124">
        <v>45866.0</v>
      </c>
      <c r="C2101" s="26" t="s">
        <v>5592</v>
      </c>
      <c r="D2101" s="125">
        <v>0.3333333333333333</v>
      </c>
      <c r="E2101" s="125">
        <v>0.6666666666666666</v>
      </c>
    </row>
    <row r="2102">
      <c r="A2102" s="26" t="s">
        <v>253</v>
      </c>
      <c r="B2102" s="124">
        <v>45866.0</v>
      </c>
      <c r="C2102" s="26" t="s">
        <v>5592</v>
      </c>
      <c r="D2102" s="125">
        <v>0.4166666666666667</v>
      </c>
      <c r="E2102" s="125">
        <v>0.75</v>
      </c>
    </row>
    <row r="2103">
      <c r="A2103" s="26" t="s">
        <v>258</v>
      </c>
      <c r="B2103" s="124">
        <v>45866.0</v>
      </c>
      <c r="C2103" s="26" t="s">
        <v>5592</v>
      </c>
      <c r="D2103" s="125">
        <v>0.3333333333333333</v>
      </c>
      <c r="E2103" s="125">
        <v>0.6666666666666666</v>
      </c>
    </row>
    <row r="2104">
      <c r="A2104" s="26" t="s">
        <v>261</v>
      </c>
      <c r="B2104" s="124">
        <v>45866.0</v>
      </c>
      <c r="C2104" s="26" t="s">
        <v>5592</v>
      </c>
      <c r="D2104" s="125">
        <v>0.4166666666666667</v>
      </c>
      <c r="E2104" s="125">
        <v>0.75</v>
      </c>
    </row>
    <row r="2105">
      <c r="A2105" s="26" t="s">
        <v>265</v>
      </c>
      <c r="B2105" s="124">
        <v>45866.0</v>
      </c>
      <c r="C2105" s="26" t="s">
        <v>5592</v>
      </c>
      <c r="D2105" s="125">
        <v>0.3333333333333333</v>
      </c>
      <c r="E2105" s="125">
        <v>0.6666666666666666</v>
      </c>
    </row>
    <row r="2106">
      <c r="A2106" s="26" t="s">
        <v>269</v>
      </c>
      <c r="B2106" s="124">
        <v>45866.0</v>
      </c>
      <c r="C2106" s="26" t="s">
        <v>5592</v>
      </c>
      <c r="D2106" s="125">
        <v>0.3333333333333333</v>
      </c>
      <c r="E2106" s="125">
        <v>0.6666666666666666</v>
      </c>
    </row>
    <row r="2107">
      <c r="A2107" s="26" t="s">
        <v>276</v>
      </c>
      <c r="B2107" s="124">
        <v>45866.0</v>
      </c>
      <c r="C2107" s="26" t="s">
        <v>5592</v>
      </c>
      <c r="D2107" s="125">
        <v>0.3333333333333333</v>
      </c>
      <c r="E2107" s="125">
        <v>0.6666666666666666</v>
      </c>
    </row>
    <row r="2108">
      <c r="A2108" s="26" t="s">
        <v>280</v>
      </c>
      <c r="B2108" s="124">
        <v>45866.0</v>
      </c>
      <c r="C2108" s="26" t="s">
        <v>5592</v>
      </c>
      <c r="D2108" s="125">
        <v>0.4166666666666667</v>
      </c>
      <c r="E2108" s="125">
        <v>0.75</v>
      </c>
    </row>
    <row r="2109">
      <c r="A2109" s="26" t="s">
        <v>243</v>
      </c>
      <c r="B2109" s="124">
        <v>45863.0</v>
      </c>
      <c r="C2109" s="26" t="s">
        <v>5592</v>
      </c>
      <c r="D2109" s="125">
        <v>0.3333333333333333</v>
      </c>
      <c r="E2109" s="125">
        <v>0.6666666666666666</v>
      </c>
    </row>
    <row r="2110">
      <c r="A2110" s="26" t="s">
        <v>248</v>
      </c>
      <c r="B2110" s="124">
        <v>45863.0</v>
      </c>
      <c r="C2110" s="26" t="s">
        <v>5592</v>
      </c>
      <c r="D2110" s="125">
        <v>0.3333333333333333</v>
      </c>
      <c r="E2110" s="125">
        <v>0.6666666666666666</v>
      </c>
    </row>
    <row r="2111">
      <c r="A2111" s="26" t="s">
        <v>253</v>
      </c>
      <c r="B2111" s="124">
        <v>45863.0</v>
      </c>
      <c r="C2111" s="26" t="s">
        <v>5592</v>
      </c>
      <c r="D2111" s="125">
        <v>0.4166666666666667</v>
      </c>
      <c r="E2111" s="125">
        <v>0.75</v>
      </c>
    </row>
    <row r="2112">
      <c r="A2112" s="26" t="s">
        <v>258</v>
      </c>
      <c r="B2112" s="124">
        <v>45863.0</v>
      </c>
      <c r="C2112" s="26" t="s">
        <v>5592</v>
      </c>
      <c r="D2112" s="125">
        <v>0.3333333333333333</v>
      </c>
      <c r="E2112" s="125">
        <v>0.6666666666666666</v>
      </c>
    </row>
    <row r="2113">
      <c r="A2113" s="26" t="s">
        <v>261</v>
      </c>
      <c r="B2113" s="124">
        <v>45863.0</v>
      </c>
      <c r="C2113" s="26" t="s">
        <v>5592</v>
      </c>
      <c r="D2113" s="125">
        <v>0.4166666666666667</v>
      </c>
      <c r="E2113" s="125">
        <v>0.75</v>
      </c>
    </row>
    <row r="2114">
      <c r="A2114" s="26" t="s">
        <v>265</v>
      </c>
      <c r="B2114" s="124">
        <v>45863.0</v>
      </c>
      <c r="C2114" s="26" t="s">
        <v>5592</v>
      </c>
      <c r="D2114" s="125">
        <v>0.3333333333333333</v>
      </c>
      <c r="E2114" s="125">
        <v>0.6666666666666666</v>
      </c>
    </row>
    <row r="2115">
      <c r="A2115" s="26" t="s">
        <v>269</v>
      </c>
      <c r="B2115" s="124">
        <v>45863.0</v>
      </c>
      <c r="C2115" s="26" t="s">
        <v>5592</v>
      </c>
      <c r="D2115" s="125">
        <v>0.3333333333333333</v>
      </c>
      <c r="E2115" s="125">
        <v>0.6666666666666666</v>
      </c>
    </row>
    <row r="2116">
      <c r="A2116" s="26" t="s">
        <v>276</v>
      </c>
      <c r="B2116" s="124">
        <v>45863.0</v>
      </c>
      <c r="C2116" s="26" t="s">
        <v>5592</v>
      </c>
      <c r="D2116" s="125">
        <v>0.3333333333333333</v>
      </c>
      <c r="E2116" s="125">
        <v>0.6666666666666666</v>
      </c>
    </row>
    <row r="2117">
      <c r="A2117" s="26" t="s">
        <v>280</v>
      </c>
      <c r="B2117" s="124">
        <v>45863.0</v>
      </c>
      <c r="C2117" s="26" t="s">
        <v>5592</v>
      </c>
      <c r="D2117" s="125">
        <v>0.4166666666666667</v>
      </c>
      <c r="E2117" s="125">
        <v>0.75</v>
      </c>
    </row>
    <row r="2118">
      <c r="A2118" s="26" t="s">
        <v>243</v>
      </c>
      <c r="B2118" s="124">
        <v>45862.0</v>
      </c>
      <c r="C2118" s="26" t="s">
        <v>5592</v>
      </c>
      <c r="D2118" s="125">
        <v>0.3333333333333333</v>
      </c>
      <c r="E2118" s="125">
        <v>0.6666666666666666</v>
      </c>
    </row>
    <row r="2119">
      <c r="A2119" s="26" t="s">
        <v>248</v>
      </c>
      <c r="B2119" s="124">
        <v>45862.0</v>
      </c>
      <c r="C2119" s="26" t="s">
        <v>5592</v>
      </c>
      <c r="D2119" s="125">
        <v>0.3333333333333333</v>
      </c>
      <c r="E2119" s="125">
        <v>0.6666666666666666</v>
      </c>
    </row>
    <row r="2120">
      <c r="A2120" s="26" t="s">
        <v>253</v>
      </c>
      <c r="B2120" s="124">
        <v>45862.0</v>
      </c>
      <c r="C2120" s="26" t="s">
        <v>5592</v>
      </c>
      <c r="D2120" s="125">
        <v>0.4166666666666667</v>
      </c>
      <c r="E2120" s="125">
        <v>0.75</v>
      </c>
    </row>
    <row r="2121">
      <c r="A2121" s="26" t="s">
        <v>258</v>
      </c>
      <c r="B2121" s="124">
        <v>45862.0</v>
      </c>
      <c r="C2121" s="26" t="s">
        <v>5592</v>
      </c>
      <c r="D2121" s="125">
        <v>0.3333333333333333</v>
      </c>
      <c r="E2121" s="125">
        <v>0.6666666666666666</v>
      </c>
    </row>
    <row r="2122">
      <c r="A2122" s="26" t="s">
        <v>261</v>
      </c>
      <c r="B2122" s="124">
        <v>45862.0</v>
      </c>
      <c r="C2122" s="26" t="s">
        <v>5592</v>
      </c>
      <c r="D2122" s="125">
        <v>0.4166666666666667</v>
      </c>
      <c r="E2122" s="125">
        <v>0.75</v>
      </c>
    </row>
    <row r="2123">
      <c r="A2123" s="26" t="s">
        <v>265</v>
      </c>
      <c r="B2123" s="124">
        <v>45862.0</v>
      </c>
      <c r="C2123" s="26" t="s">
        <v>5592</v>
      </c>
      <c r="D2123" s="125">
        <v>0.3333333333333333</v>
      </c>
      <c r="E2123" s="125">
        <v>0.6666666666666666</v>
      </c>
    </row>
    <row r="2124">
      <c r="A2124" s="26" t="s">
        <v>269</v>
      </c>
      <c r="B2124" s="124">
        <v>45862.0</v>
      </c>
      <c r="C2124" s="26" t="s">
        <v>5592</v>
      </c>
      <c r="D2124" s="125">
        <v>0.3333333333333333</v>
      </c>
      <c r="E2124" s="125">
        <v>0.6666666666666666</v>
      </c>
    </row>
    <row r="2125">
      <c r="A2125" s="26" t="s">
        <v>276</v>
      </c>
      <c r="B2125" s="124">
        <v>45862.0</v>
      </c>
      <c r="C2125" s="26" t="s">
        <v>5592</v>
      </c>
      <c r="D2125" s="125">
        <v>0.3333333333333333</v>
      </c>
      <c r="E2125" s="125">
        <v>0.6666666666666666</v>
      </c>
    </row>
    <row r="2126">
      <c r="A2126" s="26" t="s">
        <v>280</v>
      </c>
      <c r="B2126" s="124">
        <v>45862.0</v>
      </c>
      <c r="C2126" s="26" t="s">
        <v>5592</v>
      </c>
      <c r="D2126" s="125">
        <v>0.4166666666666667</v>
      </c>
      <c r="E2126" s="125">
        <v>0.75</v>
      </c>
    </row>
    <row r="2127">
      <c r="A2127" s="26" t="s">
        <v>243</v>
      </c>
      <c r="B2127" s="124">
        <v>45861.0</v>
      </c>
      <c r="C2127" s="26" t="s">
        <v>5592</v>
      </c>
      <c r="D2127" s="125">
        <v>0.3333333333333333</v>
      </c>
      <c r="E2127" s="125">
        <v>0.6666666666666666</v>
      </c>
    </row>
    <row r="2128">
      <c r="A2128" s="26" t="s">
        <v>248</v>
      </c>
      <c r="B2128" s="124">
        <v>45861.0</v>
      </c>
      <c r="C2128" s="26" t="s">
        <v>5592</v>
      </c>
      <c r="D2128" s="125">
        <v>0.3333333333333333</v>
      </c>
      <c r="E2128" s="125">
        <v>0.6666666666666666</v>
      </c>
    </row>
    <row r="2129">
      <c r="A2129" s="26" t="s">
        <v>253</v>
      </c>
      <c r="B2129" s="124">
        <v>45861.0</v>
      </c>
      <c r="C2129" s="26" t="s">
        <v>5592</v>
      </c>
      <c r="D2129" s="125">
        <v>0.4166666666666667</v>
      </c>
      <c r="E2129" s="125">
        <v>0.75</v>
      </c>
    </row>
    <row r="2130">
      <c r="A2130" s="26" t="s">
        <v>258</v>
      </c>
      <c r="B2130" s="124">
        <v>45861.0</v>
      </c>
      <c r="C2130" s="26" t="s">
        <v>5592</v>
      </c>
      <c r="D2130" s="125">
        <v>0.3333333333333333</v>
      </c>
      <c r="E2130" s="125">
        <v>0.6666666666666666</v>
      </c>
    </row>
    <row r="2131">
      <c r="A2131" s="26" t="s">
        <v>261</v>
      </c>
      <c r="B2131" s="124">
        <v>45861.0</v>
      </c>
      <c r="C2131" s="26" t="s">
        <v>5592</v>
      </c>
      <c r="D2131" s="125">
        <v>0.4166666666666667</v>
      </c>
      <c r="E2131" s="125">
        <v>0.75</v>
      </c>
    </row>
    <row r="2132">
      <c r="A2132" s="26" t="s">
        <v>265</v>
      </c>
      <c r="B2132" s="124">
        <v>45861.0</v>
      </c>
      <c r="C2132" s="26" t="s">
        <v>5592</v>
      </c>
      <c r="D2132" s="125">
        <v>0.3333333333333333</v>
      </c>
      <c r="E2132" s="125">
        <v>0.6666666666666666</v>
      </c>
    </row>
    <row r="2133">
      <c r="A2133" s="26" t="s">
        <v>269</v>
      </c>
      <c r="B2133" s="124">
        <v>45861.0</v>
      </c>
      <c r="C2133" s="26" t="s">
        <v>5592</v>
      </c>
      <c r="D2133" s="125">
        <v>0.3333333333333333</v>
      </c>
      <c r="E2133" s="125">
        <v>0.6666666666666666</v>
      </c>
    </row>
    <row r="2134">
      <c r="A2134" s="26" t="s">
        <v>276</v>
      </c>
      <c r="B2134" s="124">
        <v>45861.0</v>
      </c>
      <c r="C2134" s="26" t="s">
        <v>5592</v>
      </c>
      <c r="D2134" s="125">
        <v>0.3333333333333333</v>
      </c>
      <c r="E2134" s="125">
        <v>0.6666666666666666</v>
      </c>
    </row>
    <row r="2135">
      <c r="A2135" s="26" t="s">
        <v>280</v>
      </c>
      <c r="B2135" s="124">
        <v>45861.0</v>
      </c>
      <c r="C2135" s="26" t="s">
        <v>5592</v>
      </c>
      <c r="D2135" s="125">
        <v>0.4166666666666667</v>
      </c>
      <c r="E2135" s="125">
        <v>0.75</v>
      </c>
    </row>
    <row r="2136">
      <c r="A2136" s="26" t="s">
        <v>243</v>
      </c>
      <c r="B2136" s="124">
        <v>45860.0</v>
      </c>
      <c r="C2136" s="26" t="s">
        <v>5592</v>
      </c>
      <c r="D2136" s="125">
        <v>0.3333333333333333</v>
      </c>
      <c r="E2136" s="125">
        <v>0.6666666666666666</v>
      </c>
    </row>
    <row r="2137">
      <c r="A2137" s="26" t="s">
        <v>248</v>
      </c>
      <c r="B2137" s="124">
        <v>45860.0</v>
      </c>
      <c r="C2137" s="26" t="s">
        <v>5592</v>
      </c>
      <c r="D2137" s="125">
        <v>0.3333333333333333</v>
      </c>
      <c r="E2137" s="125">
        <v>0.6666666666666666</v>
      </c>
    </row>
    <row r="2138">
      <c r="A2138" s="26" t="s">
        <v>253</v>
      </c>
      <c r="B2138" s="124">
        <v>45860.0</v>
      </c>
      <c r="C2138" s="26" t="s">
        <v>5592</v>
      </c>
      <c r="D2138" s="125">
        <v>0.4166666666666667</v>
      </c>
      <c r="E2138" s="125">
        <v>0.75</v>
      </c>
    </row>
    <row r="2139">
      <c r="A2139" s="26" t="s">
        <v>258</v>
      </c>
      <c r="B2139" s="124">
        <v>45860.0</v>
      </c>
      <c r="C2139" s="26" t="s">
        <v>5592</v>
      </c>
      <c r="D2139" s="125">
        <v>0.3333333333333333</v>
      </c>
      <c r="E2139" s="125">
        <v>0.6666666666666666</v>
      </c>
    </row>
    <row r="2140">
      <c r="A2140" s="26" t="s">
        <v>261</v>
      </c>
      <c r="B2140" s="124">
        <v>45860.0</v>
      </c>
      <c r="C2140" s="26" t="s">
        <v>5592</v>
      </c>
      <c r="D2140" s="125">
        <v>0.4166666666666667</v>
      </c>
      <c r="E2140" s="125">
        <v>0.75</v>
      </c>
    </row>
    <row r="2141">
      <c r="A2141" s="26" t="s">
        <v>265</v>
      </c>
      <c r="B2141" s="124">
        <v>45860.0</v>
      </c>
      <c r="C2141" s="26" t="s">
        <v>5592</v>
      </c>
      <c r="D2141" s="125">
        <v>0.3333333333333333</v>
      </c>
      <c r="E2141" s="125">
        <v>0.6666666666666666</v>
      </c>
    </row>
    <row r="2142">
      <c r="A2142" s="26" t="s">
        <v>269</v>
      </c>
      <c r="B2142" s="124">
        <v>45860.0</v>
      </c>
      <c r="C2142" s="26" t="s">
        <v>5592</v>
      </c>
      <c r="D2142" s="125">
        <v>0.3333333333333333</v>
      </c>
      <c r="E2142" s="125">
        <v>0.6666666666666666</v>
      </c>
    </row>
    <row r="2143">
      <c r="A2143" s="26" t="s">
        <v>276</v>
      </c>
      <c r="B2143" s="124">
        <v>45860.0</v>
      </c>
      <c r="C2143" s="26" t="s">
        <v>5592</v>
      </c>
      <c r="D2143" s="125">
        <v>0.3333333333333333</v>
      </c>
      <c r="E2143" s="125">
        <v>0.6666666666666666</v>
      </c>
    </row>
    <row r="2144">
      <c r="A2144" s="26" t="s">
        <v>280</v>
      </c>
      <c r="B2144" s="124">
        <v>45860.0</v>
      </c>
      <c r="C2144" s="26" t="s">
        <v>5592</v>
      </c>
      <c r="D2144" s="125">
        <v>0.4166666666666667</v>
      </c>
      <c r="E2144" s="125">
        <v>0.75</v>
      </c>
    </row>
    <row r="2145">
      <c r="A2145" s="26" t="s">
        <v>243</v>
      </c>
      <c r="B2145" s="124">
        <v>45859.0</v>
      </c>
      <c r="C2145" s="26" t="s">
        <v>5592</v>
      </c>
      <c r="D2145" s="125">
        <v>0.3333333333333333</v>
      </c>
      <c r="E2145" s="125">
        <v>0.6666666666666666</v>
      </c>
    </row>
    <row r="2146">
      <c r="A2146" s="26" t="s">
        <v>248</v>
      </c>
      <c r="B2146" s="124">
        <v>45859.0</v>
      </c>
      <c r="C2146" s="26" t="s">
        <v>5592</v>
      </c>
      <c r="D2146" s="125">
        <v>0.3333333333333333</v>
      </c>
      <c r="E2146" s="125">
        <v>0.6666666666666666</v>
      </c>
    </row>
    <row r="2147">
      <c r="A2147" s="26" t="s">
        <v>253</v>
      </c>
      <c r="B2147" s="124">
        <v>45859.0</v>
      </c>
      <c r="C2147" s="26" t="s">
        <v>5592</v>
      </c>
      <c r="D2147" s="125">
        <v>0.4166666666666667</v>
      </c>
      <c r="E2147" s="125">
        <v>0.75</v>
      </c>
    </row>
    <row r="2148">
      <c r="A2148" s="26" t="s">
        <v>258</v>
      </c>
      <c r="B2148" s="124">
        <v>45859.0</v>
      </c>
      <c r="C2148" s="26" t="s">
        <v>5592</v>
      </c>
      <c r="D2148" s="125">
        <v>0.3333333333333333</v>
      </c>
      <c r="E2148" s="125">
        <v>0.6666666666666666</v>
      </c>
    </row>
    <row r="2149">
      <c r="A2149" s="26" t="s">
        <v>261</v>
      </c>
      <c r="B2149" s="124">
        <v>45859.0</v>
      </c>
      <c r="C2149" s="26" t="s">
        <v>5592</v>
      </c>
      <c r="D2149" s="125">
        <v>0.4166666666666667</v>
      </c>
      <c r="E2149" s="125">
        <v>0.75</v>
      </c>
    </row>
    <row r="2150">
      <c r="A2150" s="26" t="s">
        <v>265</v>
      </c>
      <c r="B2150" s="124">
        <v>45859.0</v>
      </c>
      <c r="C2150" s="26" t="s">
        <v>5592</v>
      </c>
      <c r="D2150" s="125">
        <v>0.3333333333333333</v>
      </c>
      <c r="E2150" s="125">
        <v>0.6666666666666666</v>
      </c>
    </row>
    <row r="2151">
      <c r="A2151" s="26" t="s">
        <v>269</v>
      </c>
      <c r="B2151" s="124">
        <v>45859.0</v>
      </c>
      <c r="C2151" s="26" t="s">
        <v>5592</v>
      </c>
      <c r="D2151" s="125">
        <v>0.3333333333333333</v>
      </c>
      <c r="E2151" s="125">
        <v>0.6666666666666666</v>
      </c>
    </row>
    <row r="2152">
      <c r="A2152" s="26" t="s">
        <v>276</v>
      </c>
      <c r="B2152" s="124">
        <v>45859.0</v>
      </c>
      <c r="C2152" s="26" t="s">
        <v>5592</v>
      </c>
      <c r="D2152" s="125">
        <v>0.3333333333333333</v>
      </c>
      <c r="E2152" s="125">
        <v>0.6666666666666666</v>
      </c>
    </row>
    <row r="2153">
      <c r="A2153" s="26" t="s">
        <v>280</v>
      </c>
      <c r="B2153" s="124">
        <v>45859.0</v>
      </c>
      <c r="C2153" s="26" t="s">
        <v>5592</v>
      </c>
      <c r="D2153" s="125">
        <v>0.4166666666666667</v>
      </c>
      <c r="E2153" s="125">
        <v>0.75</v>
      </c>
    </row>
    <row r="2154">
      <c r="A2154" s="26" t="s">
        <v>243</v>
      </c>
      <c r="B2154" s="124">
        <v>45857.0</v>
      </c>
      <c r="C2154" s="26" t="s">
        <v>5592</v>
      </c>
      <c r="D2154" s="125">
        <v>0.3333333333333333</v>
      </c>
      <c r="E2154" s="125">
        <v>0.6666666666666666</v>
      </c>
    </row>
    <row r="2155">
      <c r="A2155" s="26" t="s">
        <v>248</v>
      </c>
      <c r="B2155" s="124">
        <v>45857.0</v>
      </c>
      <c r="C2155" s="26" t="s">
        <v>5592</v>
      </c>
      <c r="D2155" s="125">
        <v>0.3333333333333333</v>
      </c>
      <c r="E2155" s="125">
        <v>0.6666666666666666</v>
      </c>
    </row>
    <row r="2156">
      <c r="A2156" s="26" t="s">
        <v>253</v>
      </c>
      <c r="B2156" s="124">
        <v>45857.0</v>
      </c>
      <c r="C2156" s="26" t="s">
        <v>5592</v>
      </c>
      <c r="D2156" s="125">
        <v>0.4166666666666667</v>
      </c>
      <c r="E2156" s="125">
        <v>0.75</v>
      </c>
    </row>
    <row r="2157">
      <c r="A2157" s="26" t="s">
        <v>258</v>
      </c>
      <c r="B2157" s="124">
        <v>45857.0</v>
      </c>
      <c r="C2157" s="26" t="s">
        <v>5592</v>
      </c>
      <c r="D2157" s="125">
        <v>0.3333333333333333</v>
      </c>
      <c r="E2157" s="125">
        <v>0.6666666666666666</v>
      </c>
    </row>
    <row r="2158">
      <c r="A2158" s="26" t="s">
        <v>261</v>
      </c>
      <c r="B2158" s="124">
        <v>45857.0</v>
      </c>
      <c r="C2158" s="26" t="s">
        <v>5592</v>
      </c>
      <c r="D2158" s="125">
        <v>0.4166666666666667</v>
      </c>
      <c r="E2158" s="125">
        <v>0.75</v>
      </c>
    </row>
    <row r="2159">
      <c r="A2159" s="26" t="s">
        <v>265</v>
      </c>
      <c r="B2159" s="124">
        <v>45857.0</v>
      </c>
      <c r="C2159" s="26" t="s">
        <v>5592</v>
      </c>
      <c r="D2159" s="125">
        <v>0.3333333333333333</v>
      </c>
      <c r="E2159" s="125">
        <v>0.6666666666666666</v>
      </c>
    </row>
    <row r="2160">
      <c r="A2160" s="26" t="s">
        <v>269</v>
      </c>
      <c r="B2160" s="124">
        <v>45857.0</v>
      </c>
      <c r="C2160" s="26" t="s">
        <v>5592</v>
      </c>
      <c r="D2160" s="125">
        <v>0.3333333333333333</v>
      </c>
      <c r="E2160" s="125">
        <v>0.6666666666666666</v>
      </c>
    </row>
    <row r="2161">
      <c r="A2161" s="26" t="s">
        <v>276</v>
      </c>
      <c r="B2161" s="124">
        <v>45857.0</v>
      </c>
      <c r="C2161" s="26" t="s">
        <v>5592</v>
      </c>
      <c r="D2161" s="125">
        <v>0.3333333333333333</v>
      </c>
      <c r="E2161" s="125">
        <v>0.6666666666666666</v>
      </c>
    </row>
    <row r="2162">
      <c r="A2162" s="26" t="s">
        <v>280</v>
      </c>
      <c r="B2162" s="124">
        <v>45857.0</v>
      </c>
      <c r="C2162" s="26" t="s">
        <v>5592</v>
      </c>
      <c r="D2162" s="125">
        <v>0.4166666666666667</v>
      </c>
      <c r="E2162" s="125">
        <v>0.75</v>
      </c>
    </row>
    <row r="2163">
      <c r="A2163" s="26" t="s">
        <v>243</v>
      </c>
      <c r="B2163" s="124">
        <v>45856.0</v>
      </c>
      <c r="C2163" s="26" t="s">
        <v>5592</v>
      </c>
      <c r="D2163" s="125">
        <v>0.3333333333333333</v>
      </c>
      <c r="E2163" s="125">
        <v>0.6666666666666666</v>
      </c>
    </row>
    <row r="2164">
      <c r="A2164" s="26" t="s">
        <v>248</v>
      </c>
      <c r="B2164" s="124">
        <v>45856.0</v>
      </c>
      <c r="C2164" s="26" t="s">
        <v>5592</v>
      </c>
      <c r="D2164" s="125">
        <v>0.3333333333333333</v>
      </c>
      <c r="E2164" s="125">
        <v>0.6666666666666666</v>
      </c>
    </row>
    <row r="2165">
      <c r="A2165" s="26" t="s">
        <v>253</v>
      </c>
      <c r="B2165" s="124">
        <v>45856.0</v>
      </c>
      <c r="C2165" s="26" t="s">
        <v>5592</v>
      </c>
      <c r="D2165" s="125">
        <v>0.4166666666666667</v>
      </c>
      <c r="E2165" s="125">
        <v>0.75</v>
      </c>
    </row>
    <row r="2166">
      <c r="A2166" s="26" t="s">
        <v>258</v>
      </c>
      <c r="B2166" s="124">
        <v>45856.0</v>
      </c>
      <c r="C2166" s="26" t="s">
        <v>5592</v>
      </c>
      <c r="D2166" s="125">
        <v>0.3333333333333333</v>
      </c>
      <c r="E2166" s="125">
        <v>0.6666666666666666</v>
      </c>
    </row>
    <row r="2167">
      <c r="A2167" s="26" t="s">
        <v>261</v>
      </c>
      <c r="B2167" s="124">
        <v>45856.0</v>
      </c>
      <c r="C2167" s="26" t="s">
        <v>5592</v>
      </c>
      <c r="D2167" s="125">
        <v>0.4166666666666667</v>
      </c>
      <c r="E2167" s="125">
        <v>0.75</v>
      </c>
    </row>
    <row r="2168">
      <c r="A2168" s="26" t="s">
        <v>265</v>
      </c>
      <c r="B2168" s="124">
        <v>45856.0</v>
      </c>
      <c r="C2168" s="26" t="s">
        <v>5592</v>
      </c>
      <c r="D2168" s="125">
        <v>0.3333333333333333</v>
      </c>
      <c r="E2168" s="125">
        <v>0.6666666666666666</v>
      </c>
    </row>
    <row r="2169">
      <c r="A2169" s="26" t="s">
        <v>269</v>
      </c>
      <c r="B2169" s="124">
        <v>45856.0</v>
      </c>
      <c r="C2169" s="26" t="s">
        <v>5592</v>
      </c>
      <c r="D2169" s="125">
        <v>0.3333333333333333</v>
      </c>
      <c r="E2169" s="125">
        <v>0.6666666666666666</v>
      </c>
    </row>
    <row r="2170">
      <c r="A2170" s="26" t="s">
        <v>276</v>
      </c>
      <c r="B2170" s="124">
        <v>45856.0</v>
      </c>
      <c r="C2170" s="26" t="s">
        <v>5592</v>
      </c>
      <c r="D2170" s="125">
        <v>0.3333333333333333</v>
      </c>
      <c r="E2170" s="125">
        <v>0.6666666666666666</v>
      </c>
    </row>
    <row r="2171">
      <c r="A2171" s="26" t="s">
        <v>280</v>
      </c>
      <c r="B2171" s="124">
        <v>45856.0</v>
      </c>
      <c r="C2171" s="26" t="s">
        <v>5592</v>
      </c>
      <c r="D2171" s="125">
        <v>0.4166666666666667</v>
      </c>
      <c r="E2171" s="125">
        <v>0.75</v>
      </c>
    </row>
    <row r="2172">
      <c r="A2172" s="26" t="s">
        <v>243</v>
      </c>
      <c r="B2172" s="124">
        <v>45855.0</v>
      </c>
      <c r="C2172" s="26" t="s">
        <v>5592</v>
      </c>
      <c r="D2172" s="125">
        <v>0.3333333333333333</v>
      </c>
      <c r="E2172" s="125">
        <v>0.6666666666666666</v>
      </c>
    </row>
    <row r="2173">
      <c r="A2173" s="26" t="s">
        <v>248</v>
      </c>
      <c r="B2173" s="124">
        <v>45855.0</v>
      </c>
      <c r="C2173" s="26" t="s">
        <v>5592</v>
      </c>
      <c r="D2173" s="125">
        <v>0.3333333333333333</v>
      </c>
      <c r="E2173" s="125">
        <v>0.6666666666666666</v>
      </c>
    </row>
    <row r="2174">
      <c r="A2174" s="26" t="s">
        <v>253</v>
      </c>
      <c r="B2174" s="124">
        <v>45855.0</v>
      </c>
      <c r="C2174" s="26" t="s">
        <v>5592</v>
      </c>
      <c r="D2174" s="125">
        <v>0.4166666666666667</v>
      </c>
      <c r="E2174" s="125">
        <v>0.75</v>
      </c>
    </row>
    <row r="2175">
      <c r="A2175" s="26" t="s">
        <v>258</v>
      </c>
      <c r="B2175" s="124">
        <v>45855.0</v>
      </c>
      <c r="C2175" s="26" t="s">
        <v>5592</v>
      </c>
      <c r="D2175" s="125">
        <v>0.3333333333333333</v>
      </c>
      <c r="E2175" s="125">
        <v>0.6666666666666666</v>
      </c>
    </row>
    <row r="2176">
      <c r="A2176" s="26" t="s">
        <v>261</v>
      </c>
      <c r="B2176" s="124">
        <v>45855.0</v>
      </c>
      <c r="C2176" s="26" t="s">
        <v>5592</v>
      </c>
      <c r="D2176" s="125">
        <v>0.4166666666666667</v>
      </c>
      <c r="E2176" s="125">
        <v>0.75</v>
      </c>
    </row>
    <row r="2177">
      <c r="A2177" s="26" t="s">
        <v>265</v>
      </c>
      <c r="B2177" s="124">
        <v>45855.0</v>
      </c>
      <c r="C2177" s="26" t="s">
        <v>5592</v>
      </c>
      <c r="D2177" s="125">
        <v>0.3333333333333333</v>
      </c>
      <c r="E2177" s="125">
        <v>0.6666666666666666</v>
      </c>
    </row>
    <row r="2178">
      <c r="A2178" s="26" t="s">
        <v>269</v>
      </c>
      <c r="B2178" s="124">
        <v>45855.0</v>
      </c>
      <c r="C2178" s="26" t="s">
        <v>5592</v>
      </c>
      <c r="D2178" s="125">
        <v>0.3333333333333333</v>
      </c>
      <c r="E2178" s="125">
        <v>0.6666666666666666</v>
      </c>
    </row>
    <row r="2179">
      <c r="A2179" s="26" t="s">
        <v>276</v>
      </c>
      <c r="B2179" s="124">
        <v>45855.0</v>
      </c>
      <c r="C2179" s="26" t="s">
        <v>5592</v>
      </c>
      <c r="D2179" s="125">
        <v>0.3333333333333333</v>
      </c>
      <c r="E2179" s="125">
        <v>0.6666666666666666</v>
      </c>
    </row>
    <row r="2180">
      <c r="A2180" s="26" t="s">
        <v>280</v>
      </c>
      <c r="B2180" s="124">
        <v>45855.0</v>
      </c>
      <c r="C2180" s="26" t="s">
        <v>5592</v>
      </c>
      <c r="D2180" s="125">
        <v>0.4166666666666667</v>
      </c>
      <c r="E2180" s="125">
        <v>0.75</v>
      </c>
    </row>
    <row r="2181">
      <c r="A2181" s="26" t="s">
        <v>243</v>
      </c>
      <c r="B2181" s="124">
        <v>45854.0</v>
      </c>
      <c r="C2181" s="26" t="s">
        <v>5592</v>
      </c>
      <c r="D2181" s="125">
        <v>0.3333333333333333</v>
      </c>
      <c r="E2181" s="125">
        <v>0.6666666666666666</v>
      </c>
    </row>
    <row r="2182">
      <c r="A2182" s="26" t="s">
        <v>248</v>
      </c>
      <c r="B2182" s="124">
        <v>45854.0</v>
      </c>
      <c r="C2182" s="26" t="s">
        <v>5592</v>
      </c>
      <c r="D2182" s="125">
        <v>0.3333333333333333</v>
      </c>
      <c r="E2182" s="125">
        <v>0.6666666666666666</v>
      </c>
    </row>
    <row r="2183">
      <c r="A2183" s="26" t="s">
        <v>253</v>
      </c>
      <c r="B2183" s="124">
        <v>45854.0</v>
      </c>
      <c r="C2183" s="26" t="s">
        <v>5592</v>
      </c>
      <c r="D2183" s="125">
        <v>0.4166666666666667</v>
      </c>
      <c r="E2183" s="125">
        <v>0.75</v>
      </c>
    </row>
    <row r="2184">
      <c r="A2184" s="26" t="s">
        <v>258</v>
      </c>
      <c r="B2184" s="124">
        <v>45854.0</v>
      </c>
      <c r="C2184" s="26" t="s">
        <v>5592</v>
      </c>
      <c r="D2184" s="125">
        <v>0.3333333333333333</v>
      </c>
      <c r="E2184" s="125">
        <v>0.6666666666666666</v>
      </c>
    </row>
    <row r="2185">
      <c r="A2185" s="26" t="s">
        <v>261</v>
      </c>
      <c r="B2185" s="124">
        <v>45854.0</v>
      </c>
      <c r="C2185" s="26" t="s">
        <v>5592</v>
      </c>
      <c r="D2185" s="125">
        <v>0.4166666666666667</v>
      </c>
      <c r="E2185" s="125">
        <v>0.75</v>
      </c>
    </row>
    <row r="2186">
      <c r="A2186" s="26" t="s">
        <v>265</v>
      </c>
      <c r="B2186" s="124">
        <v>45854.0</v>
      </c>
      <c r="C2186" s="26" t="s">
        <v>5592</v>
      </c>
      <c r="D2186" s="125">
        <v>0.3333333333333333</v>
      </c>
      <c r="E2186" s="125">
        <v>0.6666666666666666</v>
      </c>
    </row>
    <row r="2187">
      <c r="A2187" s="26" t="s">
        <v>269</v>
      </c>
      <c r="B2187" s="124">
        <v>45854.0</v>
      </c>
      <c r="C2187" s="26" t="s">
        <v>5592</v>
      </c>
      <c r="D2187" s="125">
        <v>0.3333333333333333</v>
      </c>
      <c r="E2187" s="125">
        <v>0.6666666666666666</v>
      </c>
    </row>
    <row r="2188">
      <c r="A2188" s="26" t="s">
        <v>276</v>
      </c>
      <c r="B2188" s="124">
        <v>45854.0</v>
      </c>
      <c r="C2188" s="26" t="s">
        <v>5592</v>
      </c>
      <c r="D2188" s="125">
        <v>0.3333333333333333</v>
      </c>
      <c r="E2188" s="125">
        <v>0.6666666666666666</v>
      </c>
    </row>
    <row r="2189">
      <c r="A2189" s="26" t="s">
        <v>280</v>
      </c>
      <c r="B2189" s="124">
        <v>45854.0</v>
      </c>
      <c r="C2189" s="26" t="s">
        <v>5592</v>
      </c>
      <c r="D2189" s="125">
        <v>0.4166666666666667</v>
      </c>
      <c r="E2189" s="125">
        <v>0.75</v>
      </c>
    </row>
    <row r="2190">
      <c r="A2190" s="26" t="s">
        <v>243</v>
      </c>
      <c r="B2190" s="124">
        <v>45853.0</v>
      </c>
      <c r="C2190" s="26" t="s">
        <v>5592</v>
      </c>
      <c r="D2190" s="125">
        <v>0.3333333333333333</v>
      </c>
      <c r="E2190" s="125">
        <v>0.6666666666666666</v>
      </c>
    </row>
    <row r="2191">
      <c r="A2191" s="26" t="s">
        <v>248</v>
      </c>
      <c r="B2191" s="124">
        <v>45853.0</v>
      </c>
      <c r="C2191" s="26" t="s">
        <v>5592</v>
      </c>
      <c r="D2191" s="125">
        <v>0.3333333333333333</v>
      </c>
      <c r="E2191" s="125">
        <v>0.6666666666666666</v>
      </c>
    </row>
    <row r="2192">
      <c r="A2192" s="26" t="s">
        <v>253</v>
      </c>
      <c r="B2192" s="124">
        <v>45853.0</v>
      </c>
      <c r="C2192" s="26" t="s">
        <v>5592</v>
      </c>
      <c r="D2192" s="125">
        <v>0.4166666666666667</v>
      </c>
      <c r="E2192" s="125">
        <v>0.75</v>
      </c>
    </row>
    <row r="2193">
      <c r="A2193" s="26" t="s">
        <v>258</v>
      </c>
      <c r="B2193" s="124">
        <v>45853.0</v>
      </c>
      <c r="C2193" s="26" t="s">
        <v>5592</v>
      </c>
      <c r="D2193" s="125">
        <v>0.3333333333333333</v>
      </c>
      <c r="E2193" s="125">
        <v>0.6666666666666666</v>
      </c>
    </row>
    <row r="2194">
      <c r="A2194" s="26" t="s">
        <v>261</v>
      </c>
      <c r="B2194" s="124">
        <v>45853.0</v>
      </c>
      <c r="C2194" s="26" t="s">
        <v>5592</v>
      </c>
      <c r="D2194" s="125">
        <v>0.4166666666666667</v>
      </c>
      <c r="E2194" s="125">
        <v>0.75</v>
      </c>
    </row>
    <row r="2195">
      <c r="A2195" s="26" t="s">
        <v>265</v>
      </c>
      <c r="B2195" s="124">
        <v>45853.0</v>
      </c>
      <c r="C2195" s="26" t="s">
        <v>5592</v>
      </c>
      <c r="D2195" s="125">
        <v>0.3333333333333333</v>
      </c>
      <c r="E2195" s="125">
        <v>0.6666666666666666</v>
      </c>
    </row>
    <row r="2196">
      <c r="A2196" s="26" t="s">
        <v>269</v>
      </c>
      <c r="B2196" s="124">
        <v>45853.0</v>
      </c>
      <c r="C2196" s="26" t="s">
        <v>5592</v>
      </c>
      <c r="D2196" s="125">
        <v>0.3333333333333333</v>
      </c>
      <c r="E2196" s="125">
        <v>0.6666666666666666</v>
      </c>
    </row>
    <row r="2197">
      <c r="A2197" s="26" t="s">
        <v>276</v>
      </c>
      <c r="B2197" s="124">
        <v>45853.0</v>
      </c>
      <c r="C2197" s="26" t="s">
        <v>5592</v>
      </c>
      <c r="D2197" s="125">
        <v>0.3333333333333333</v>
      </c>
      <c r="E2197" s="125">
        <v>0.6666666666666666</v>
      </c>
    </row>
    <row r="2198">
      <c r="A2198" s="26" t="s">
        <v>280</v>
      </c>
      <c r="B2198" s="124">
        <v>45853.0</v>
      </c>
      <c r="C2198" s="26" t="s">
        <v>5592</v>
      </c>
      <c r="D2198" s="125">
        <v>0.4166666666666667</v>
      </c>
      <c r="E2198" s="125">
        <v>0.75</v>
      </c>
    </row>
    <row r="2199">
      <c r="A2199" s="26" t="s">
        <v>243</v>
      </c>
      <c r="B2199" s="124">
        <v>45852.0</v>
      </c>
      <c r="C2199" s="26" t="s">
        <v>5592</v>
      </c>
      <c r="D2199" s="125">
        <v>0.3333333333333333</v>
      </c>
      <c r="E2199" s="125">
        <v>0.6666666666666666</v>
      </c>
    </row>
    <row r="2200">
      <c r="A2200" s="26" t="s">
        <v>248</v>
      </c>
      <c r="B2200" s="124">
        <v>45852.0</v>
      </c>
      <c r="C2200" s="26" t="s">
        <v>5592</v>
      </c>
      <c r="D2200" s="125">
        <v>0.3333333333333333</v>
      </c>
      <c r="E2200" s="125">
        <v>0.6666666666666666</v>
      </c>
    </row>
    <row r="2201">
      <c r="A2201" s="26" t="s">
        <v>253</v>
      </c>
      <c r="B2201" s="124">
        <v>45852.0</v>
      </c>
      <c r="C2201" s="26" t="s">
        <v>5592</v>
      </c>
      <c r="D2201" s="125">
        <v>0.4166666666666667</v>
      </c>
      <c r="E2201" s="125">
        <v>0.75</v>
      </c>
    </row>
    <row r="2202">
      <c r="A2202" s="26" t="s">
        <v>258</v>
      </c>
      <c r="B2202" s="124">
        <v>45852.0</v>
      </c>
      <c r="C2202" s="26" t="s">
        <v>5592</v>
      </c>
      <c r="D2202" s="125">
        <v>0.3333333333333333</v>
      </c>
      <c r="E2202" s="125">
        <v>0.6666666666666666</v>
      </c>
    </row>
    <row r="2203">
      <c r="A2203" s="26" t="s">
        <v>261</v>
      </c>
      <c r="B2203" s="124">
        <v>45852.0</v>
      </c>
      <c r="C2203" s="26" t="s">
        <v>5592</v>
      </c>
      <c r="D2203" s="125">
        <v>0.4166666666666667</v>
      </c>
      <c r="E2203" s="125">
        <v>0.75</v>
      </c>
    </row>
    <row r="2204">
      <c r="A2204" s="26" t="s">
        <v>265</v>
      </c>
      <c r="B2204" s="124">
        <v>45852.0</v>
      </c>
      <c r="C2204" s="26" t="s">
        <v>5592</v>
      </c>
      <c r="D2204" s="125">
        <v>0.3333333333333333</v>
      </c>
      <c r="E2204" s="125">
        <v>0.6666666666666666</v>
      </c>
    </row>
    <row r="2205">
      <c r="A2205" s="26" t="s">
        <v>269</v>
      </c>
      <c r="B2205" s="124">
        <v>45852.0</v>
      </c>
      <c r="C2205" s="26" t="s">
        <v>5592</v>
      </c>
      <c r="D2205" s="125">
        <v>0.3333333333333333</v>
      </c>
      <c r="E2205" s="125">
        <v>0.6666666666666666</v>
      </c>
    </row>
    <row r="2206">
      <c r="A2206" s="26" t="s">
        <v>276</v>
      </c>
      <c r="B2206" s="124">
        <v>45852.0</v>
      </c>
      <c r="C2206" s="26" t="s">
        <v>5592</v>
      </c>
      <c r="D2206" s="125">
        <v>0.3333333333333333</v>
      </c>
      <c r="E2206" s="125">
        <v>0.6666666666666666</v>
      </c>
    </row>
    <row r="2207">
      <c r="A2207" s="26" t="s">
        <v>280</v>
      </c>
      <c r="B2207" s="124">
        <v>45852.0</v>
      </c>
      <c r="C2207" s="26" t="s">
        <v>5592</v>
      </c>
      <c r="D2207" s="125">
        <v>0.4166666666666667</v>
      </c>
      <c r="E2207" s="125">
        <v>0.75</v>
      </c>
    </row>
    <row r="2208">
      <c r="A2208" s="26" t="s">
        <v>243</v>
      </c>
      <c r="B2208" s="124">
        <v>45850.0</v>
      </c>
      <c r="C2208" s="26" t="s">
        <v>5592</v>
      </c>
      <c r="D2208" s="125">
        <v>0.3333333333333333</v>
      </c>
      <c r="E2208" s="125">
        <v>0.6666666666666666</v>
      </c>
    </row>
    <row r="2209">
      <c r="A2209" s="26" t="s">
        <v>248</v>
      </c>
      <c r="B2209" s="124">
        <v>45850.0</v>
      </c>
      <c r="C2209" s="26" t="s">
        <v>5592</v>
      </c>
      <c r="D2209" s="125">
        <v>0.3333333333333333</v>
      </c>
      <c r="E2209" s="125">
        <v>0.6666666666666666</v>
      </c>
    </row>
    <row r="2210">
      <c r="A2210" s="26" t="s">
        <v>253</v>
      </c>
      <c r="B2210" s="124">
        <v>45850.0</v>
      </c>
      <c r="C2210" s="26" t="s">
        <v>5592</v>
      </c>
      <c r="D2210" s="125">
        <v>0.4166666666666667</v>
      </c>
      <c r="E2210" s="125">
        <v>0.75</v>
      </c>
    </row>
    <row r="2211">
      <c r="A2211" s="26" t="s">
        <v>258</v>
      </c>
      <c r="B2211" s="124">
        <v>45850.0</v>
      </c>
      <c r="C2211" s="26" t="s">
        <v>5592</v>
      </c>
      <c r="D2211" s="125">
        <v>0.3333333333333333</v>
      </c>
      <c r="E2211" s="125">
        <v>0.6666666666666666</v>
      </c>
    </row>
    <row r="2212">
      <c r="A2212" s="26" t="s">
        <v>261</v>
      </c>
      <c r="B2212" s="124">
        <v>45850.0</v>
      </c>
      <c r="C2212" s="26" t="s">
        <v>5592</v>
      </c>
      <c r="D2212" s="125">
        <v>0.4166666666666667</v>
      </c>
      <c r="E2212" s="125">
        <v>0.75</v>
      </c>
    </row>
    <row r="2213">
      <c r="A2213" s="26" t="s">
        <v>265</v>
      </c>
      <c r="B2213" s="124">
        <v>45850.0</v>
      </c>
      <c r="C2213" s="26" t="s">
        <v>5592</v>
      </c>
      <c r="D2213" s="125">
        <v>0.3333333333333333</v>
      </c>
      <c r="E2213" s="125">
        <v>0.6666666666666666</v>
      </c>
    </row>
    <row r="2214">
      <c r="A2214" s="26" t="s">
        <v>269</v>
      </c>
      <c r="B2214" s="124">
        <v>45850.0</v>
      </c>
      <c r="C2214" s="26" t="s">
        <v>5592</v>
      </c>
      <c r="D2214" s="125">
        <v>0.3333333333333333</v>
      </c>
      <c r="E2214" s="125">
        <v>0.6666666666666666</v>
      </c>
    </row>
    <row r="2215">
      <c r="A2215" s="26" t="s">
        <v>276</v>
      </c>
      <c r="B2215" s="124">
        <v>45850.0</v>
      </c>
      <c r="C2215" s="26" t="s">
        <v>5592</v>
      </c>
      <c r="D2215" s="125">
        <v>0.3333333333333333</v>
      </c>
      <c r="E2215" s="125">
        <v>0.6666666666666666</v>
      </c>
    </row>
    <row r="2216">
      <c r="A2216" s="26" t="s">
        <v>280</v>
      </c>
      <c r="B2216" s="124">
        <v>45850.0</v>
      </c>
      <c r="C2216" s="26" t="s">
        <v>5592</v>
      </c>
      <c r="D2216" s="125">
        <v>0.4166666666666667</v>
      </c>
      <c r="E2216" s="125">
        <v>0.75</v>
      </c>
    </row>
    <row r="2217">
      <c r="A2217" s="26" t="s">
        <v>243</v>
      </c>
      <c r="B2217" s="124">
        <v>45849.0</v>
      </c>
      <c r="C2217" s="26" t="s">
        <v>5592</v>
      </c>
      <c r="D2217" s="125">
        <v>0.3333333333333333</v>
      </c>
      <c r="E2217" s="125">
        <v>0.6666666666666666</v>
      </c>
    </row>
    <row r="2218">
      <c r="A2218" s="26" t="s">
        <v>248</v>
      </c>
      <c r="B2218" s="124">
        <v>45849.0</v>
      </c>
      <c r="C2218" s="26" t="s">
        <v>5592</v>
      </c>
      <c r="D2218" s="125">
        <v>0.3333333333333333</v>
      </c>
      <c r="E2218" s="125">
        <v>0.6666666666666666</v>
      </c>
    </row>
    <row r="2219">
      <c r="A2219" s="26" t="s">
        <v>253</v>
      </c>
      <c r="B2219" s="124">
        <v>45849.0</v>
      </c>
      <c r="C2219" s="26" t="s">
        <v>5592</v>
      </c>
      <c r="D2219" s="125">
        <v>0.4166666666666667</v>
      </c>
      <c r="E2219" s="125">
        <v>0.75</v>
      </c>
    </row>
    <row r="2220">
      <c r="A2220" s="26" t="s">
        <v>258</v>
      </c>
      <c r="B2220" s="124">
        <v>45849.0</v>
      </c>
      <c r="C2220" s="26" t="s">
        <v>5592</v>
      </c>
      <c r="D2220" s="125">
        <v>0.3333333333333333</v>
      </c>
      <c r="E2220" s="125">
        <v>0.6666666666666666</v>
      </c>
    </row>
    <row r="2221">
      <c r="A2221" s="26" t="s">
        <v>261</v>
      </c>
      <c r="B2221" s="124">
        <v>45849.0</v>
      </c>
      <c r="C2221" s="26" t="s">
        <v>5592</v>
      </c>
      <c r="D2221" s="125">
        <v>0.4166666666666667</v>
      </c>
      <c r="E2221" s="125">
        <v>0.75</v>
      </c>
    </row>
    <row r="2222">
      <c r="A2222" s="26" t="s">
        <v>265</v>
      </c>
      <c r="B2222" s="124">
        <v>45849.0</v>
      </c>
      <c r="C2222" s="26" t="s">
        <v>5592</v>
      </c>
      <c r="D2222" s="125">
        <v>0.3333333333333333</v>
      </c>
      <c r="E2222" s="125">
        <v>0.6666666666666666</v>
      </c>
    </row>
    <row r="2223">
      <c r="A2223" s="26" t="s">
        <v>269</v>
      </c>
      <c r="B2223" s="124">
        <v>45849.0</v>
      </c>
      <c r="C2223" s="26" t="s">
        <v>5592</v>
      </c>
      <c r="D2223" s="125">
        <v>0.3333333333333333</v>
      </c>
      <c r="E2223" s="125">
        <v>0.6666666666666666</v>
      </c>
    </row>
    <row r="2224">
      <c r="A2224" s="26" t="s">
        <v>276</v>
      </c>
      <c r="B2224" s="124">
        <v>45849.0</v>
      </c>
      <c r="C2224" s="26" t="s">
        <v>5592</v>
      </c>
      <c r="D2224" s="125">
        <v>0.3333333333333333</v>
      </c>
      <c r="E2224" s="125">
        <v>0.6666666666666666</v>
      </c>
    </row>
    <row r="2225">
      <c r="A2225" s="26" t="s">
        <v>280</v>
      </c>
      <c r="B2225" s="124">
        <v>45849.0</v>
      </c>
      <c r="C2225" s="26" t="s">
        <v>5592</v>
      </c>
      <c r="D2225" s="125">
        <v>0.4166666666666667</v>
      </c>
      <c r="E2225" s="125">
        <v>0.75</v>
      </c>
    </row>
    <row r="2226">
      <c r="A2226" s="26" t="s">
        <v>243</v>
      </c>
      <c r="B2226" s="124">
        <v>45848.0</v>
      </c>
      <c r="C2226" s="26" t="s">
        <v>5592</v>
      </c>
      <c r="D2226" s="125">
        <v>0.3333333333333333</v>
      </c>
      <c r="E2226" s="125">
        <v>0.6666666666666666</v>
      </c>
    </row>
    <row r="2227">
      <c r="A2227" s="26" t="s">
        <v>248</v>
      </c>
      <c r="B2227" s="124">
        <v>45848.0</v>
      </c>
      <c r="C2227" s="26" t="s">
        <v>5592</v>
      </c>
      <c r="D2227" s="125">
        <v>0.3333333333333333</v>
      </c>
      <c r="E2227" s="125">
        <v>0.6666666666666666</v>
      </c>
    </row>
    <row r="2228">
      <c r="A2228" s="26" t="s">
        <v>253</v>
      </c>
      <c r="B2228" s="124">
        <v>45848.0</v>
      </c>
      <c r="C2228" s="26" t="s">
        <v>5592</v>
      </c>
      <c r="D2228" s="125">
        <v>0.4166666666666667</v>
      </c>
      <c r="E2228" s="125">
        <v>0.75</v>
      </c>
    </row>
    <row r="2229">
      <c r="A2229" s="26" t="s">
        <v>258</v>
      </c>
      <c r="B2229" s="124">
        <v>45848.0</v>
      </c>
      <c r="C2229" s="26" t="s">
        <v>5592</v>
      </c>
      <c r="D2229" s="125">
        <v>0.3333333333333333</v>
      </c>
      <c r="E2229" s="125">
        <v>0.6666666666666666</v>
      </c>
    </row>
    <row r="2230">
      <c r="A2230" s="26" t="s">
        <v>261</v>
      </c>
      <c r="B2230" s="124">
        <v>45848.0</v>
      </c>
      <c r="C2230" s="26" t="s">
        <v>5592</v>
      </c>
      <c r="D2230" s="125">
        <v>0.4166666666666667</v>
      </c>
      <c r="E2230" s="125">
        <v>0.75</v>
      </c>
    </row>
    <row r="2231">
      <c r="A2231" s="26" t="s">
        <v>265</v>
      </c>
      <c r="B2231" s="124">
        <v>45848.0</v>
      </c>
      <c r="C2231" s="26" t="s">
        <v>5592</v>
      </c>
      <c r="D2231" s="125">
        <v>0.3333333333333333</v>
      </c>
      <c r="E2231" s="125">
        <v>0.6666666666666666</v>
      </c>
    </row>
    <row r="2232">
      <c r="A2232" s="26" t="s">
        <v>269</v>
      </c>
      <c r="B2232" s="124">
        <v>45848.0</v>
      </c>
      <c r="C2232" s="26" t="s">
        <v>5592</v>
      </c>
      <c r="D2232" s="125">
        <v>0.3333333333333333</v>
      </c>
      <c r="E2232" s="125">
        <v>0.6666666666666666</v>
      </c>
    </row>
    <row r="2233">
      <c r="A2233" s="26" t="s">
        <v>276</v>
      </c>
      <c r="B2233" s="124">
        <v>45848.0</v>
      </c>
      <c r="C2233" s="26" t="s">
        <v>5592</v>
      </c>
      <c r="D2233" s="125">
        <v>0.3333333333333333</v>
      </c>
      <c r="E2233" s="125">
        <v>0.6666666666666666</v>
      </c>
    </row>
    <row r="2234">
      <c r="A2234" s="26" t="s">
        <v>280</v>
      </c>
      <c r="B2234" s="124">
        <v>45848.0</v>
      </c>
      <c r="C2234" s="26" t="s">
        <v>5592</v>
      </c>
      <c r="D2234" s="125">
        <v>0.4166666666666667</v>
      </c>
      <c r="E2234" s="125">
        <v>0.75</v>
      </c>
    </row>
    <row r="2235">
      <c r="A2235" s="26" t="s">
        <v>243</v>
      </c>
      <c r="B2235" s="124">
        <v>45847.0</v>
      </c>
      <c r="C2235" s="26" t="s">
        <v>5592</v>
      </c>
      <c r="D2235" s="125">
        <v>0.3333333333333333</v>
      </c>
      <c r="E2235" s="125">
        <v>0.6666666666666666</v>
      </c>
    </row>
    <row r="2236">
      <c r="A2236" s="26" t="s">
        <v>248</v>
      </c>
      <c r="B2236" s="124">
        <v>45847.0</v>
      </c>
      <c r="C2236" s="26" t="s">
        <v>5592</v>
      </c>
      <c r="D2236" s="125">
        <v>0.3333333333333333</v>
      </c>
      <c r="E2236" s="125">
        <v>0.6666666666666666</v>
      </c>
    </row>
    <row r="2237">
      <c r="A2237" s="26" t="s">
        <v>253</v>
      </c>
      <c r="B2237" s="124">
        <v>45847.0</v>
      </c>
      <c r="C2237" s="26" t="s">
        <v>5592</v>
      </c>
      <c r="D2237" s="125">
        <v>0.4166666666666667</v>
      </c>
      <c r="E2237" s="125">
        <v>0.75</v>
      </c>
    </row>
    <row r="2238">
      <c r="A2238" s="26" t="s">
        <v>258</v>
      </c>
      <c r="B2238" s="124">
        <v>45847.0</v>
      </c>
      <c r="C2238" s="26" t="s">
        <v>5592</v>
      </c>
      <c r="D2238" s="125">
        <v>0.3333333333333333</v>
      </c>
      <c r="E2238" s="125">
        <v>0.6666666666666666</v>
      </c>
    </row>
    <row r="2239">
      <c r="A2239" s="26" t="s">
        <v>261</v>
      </c>
      <c r="B2239" s="124">
        <v>45847.0</v>
      </c>
      <c r="C2239" s="26" t="s">
        <v>5592</v>
      </c>
      <c r="D2239" s="125">
        <v>0.4166666666666667</v>
      </c>
      <c r="E2239" s="125">
        <v>0.75</v>
      </c>
    </row>
    <row r="2240">
      <c r="A2240" s="26" t="s">
        <v>265</v>
      </c>
      <c r="B2240" s="124">
        <v>45847.0</v>
      </c>
      <c r="C2240" s="26" t="s">
        <v>5592</v>
      </c>
      <c r="D2240" s="125">
        <v>0.3333333333333333</v>
      </c>
      <c r="E2240" s="125">
        <v>0.6666666666666666</v>
      </c>
    </row>
    <row r="2241">
      <c r="A2241" s="26" t="s">
        <v>269</v>
      </c>
      <c r="B2241" s="124">
        <v>45847.0</v>
      </c>
      <c r="C2241" s="26" t="s">
        <v>5592</v>
      </c>
      <c r="D2241" s="125">
        <v>0.3333333333333333</v>
      </c>
      <c r="E2241" s="125">
        <v>0.6666666666666666</v>
      </c>
    </row>
    <row r="2242">
      <c r="A2242" s="26" t="s">
        <v>276</v>
      </c>
      <c r="B2242" s="124">
        <v>45847.0</v>
      </c>
      <c r="C2242" s="26" t="s">
        <v>5592</v>
      </c>
      <c r="D2242" s="125">
        <v>0.3333333333333333</v>
      </c>
      <c r="E2242" s="125">
        <v>0.6666666666666666</v>
      </c>
    </row>
    <row r="2243">
      <c r="A2243" s="26" t="s">
        <v>280</v>
      </c>
      <c r="B2243" s="124">
        <v>45847.0</v>
      </c>
      <c r="C2243" s="26" t="s">
        <v>5592</v>
      </c>
      <c r="D2243" s="125">
        <v>0.4166666666666667</v>
      </c>
      <c r="E2243" s="125">
        <v>0.75</v>
      </c>
    </row>
    <row r="2244">
      <c r="A2244" s="26" t="s">
        <v>243</v>
      </c>
      <c r="B2244" s="124">
        <v>45846.0</v>
      </c>
      <c r="C2244" s="26" t="s">
        <v>5592</v>
      </c>
      <c r="D2244" s="125">
        <v>0.3333333333333333</v>
      </c>
      <c r="E2244" s="125">
        <v>0.6666666666666666</v>
      </c>
    </row>
    <row r="2245">
      <c r="A2245" s="26" t="s">
        <v>248</v>
      </c>
      <c r="B2245" s="124">
        <v>45846.0</v>
      </c>
      <c r="C2245" s="26" t="s">
        <v>5592</v>
      </c>
      <c r="D2245" s="125">
        <v>0.3333333333333333</v>
      </c>
      <c r="E2245" s="125">
        <v>0.6666666666666666</v>
      </c>
    </row>
    <row r="2246">
      <c r="A2246" s="26" t="s">
        <v>253</v>
      </c>
      <c r="B2246" s="124">
        <v>45846.0</v>
      </c>
      <c r="C2246" s="26" t="s">
        <v>5592</v>
      </c>
      <c r="D2246" s="125">
        <v>0.4166666666666667</v>
      </c>
      <c r="E2246" s="125">
        <v>0.75</v>
      </c>
    </row>
    <row r="2247">
      <c r="A2247" s="26" t="s">
        <v>258</v>
      </c>
      <c r="B2247" s="124">
        <v>45846.0</v>
      </c>
      <c r="C2247" s="26" t="s">
        <v>5592</v>
      </c>
      <c r="D2247" s="125">
        <v>0.3333333333333333</v>
      </c>
      <c r="E2247" s="125">
        <v>0.6666666666666666</v>
      </c>
    </row>
    <row r="2248">
      <c r="A2248" s="26" t="s">
        <v>261</v>
      </c>
      <c r="B2248" s="124">
        <v>45846.0</v>
      </c>
      <c r="C2248" s="26" t="s">
        <v>5592</v>
      </c>
      <c r="D2248" s="125">
        <v>0.4166666666666667</v>
      </c>
      <c r="E2248" s="125">
        <v>0.75</v>
      </c>
    </row>
    <row r="2249">
      <c r="A2249" s="26" t="s">
        <v>265</v>
      </c>
      <c r="B2249" s="124">
        <v>45846.0</v>
      </c>
      <c r="C2249" s="26" t="s">
        <v>5592</v>
      </c>
      <c r="D2249" s="125">
        <v>0.3333333333333333</v>
      </c>
      <c r="E2249" s="125">
        <v>0.6666666666666666</v>
      </c>
    </row>
    <row r="2250">
      <c r="A2250" s="26" t="s">
        <v>269</v>
      </c>
      <c r="B2250" s="124">
        <v>45846.0</v>
      </c>
      <c r="C2250" s="26" t="s">
        <v>5592</v>
      </c>
      <c r="D2250" s="125">
        <v>0.3333333333333333</v>
      </c>
      <c r="E2250" s="125">
        <v>0.6666666666666666</v>
      </c>
    </row>
    <row r="2251">
      <c r="A2251" s="26" t="s">
        <v>276</v>
      </c>
      <c r="B2251" s="124">
        <v>45846.0</v>
      </c>
      <c r="C2251" s="26" t="s">
        <v>5592</v>
      </c>
      <c r="D2251" s="125">
        <v>0.3333333333333333</v>
      </c>
      <c r="E2251" s="125">
        <v>0.6666666666666666</v>
      </c>
    </row>
    <row r="2252">
      <c r="A2252" s="26" t="s">
        <v>280</v>
      </c>
      <c r="B2252" s="124">
        <v>45846.0</v>
      </c>
      <c r="C2252" s="26" t="s">
        <v>5592</v>
      </c>
      <c r="D2252" s="125">
        <v>0.4166666666666667</v>
      </c>
      <c r="E2252" s="125">
        <v>0.75</v>
      </c>
    </row>
    <row r="2253">
      <c r="A2253" s="26" t="s">
        <v>243</v>
      </c>
      <c r="B2253" s="124">
        <v>45845.0</v>
      </c>
      <c r="C2253" s="26" t="s">
        <v>5592</v>
      </c>
      <c r="D2253" s="125">
        <v>0.3333333333333333</v>
      </c>
      <c r="E2253" s="125">
        <v>0.6666666666666666</v>
      </c>
    </row>
    <row r="2254">
      <c r="A2254" s="26" t="s">
        <v>248</v>
      </c>
      <c r="B2254" s="124">
        <v>45845.0</v>
      </c>
      <c r="C2254" s="26" t="s">
        <v>5592</v>
      </c>
      <c r="D2254" s="125">
        <v>0.3333333333333333</v>
      </c>
      <c r="E2254" s="125">
        <v>0.6666666666666666</v>
      </c>
    </row>
    <row r="2255">
      <c r="A2255" s="26" t="s">
        <v>253</v>
      </c>
      <c r="B2255" s="124">
        <v>45845.0</v>
      </c>
      <c r="C2255" s="26" t="s">
        <v>5592</v>
      </c>
      <c r="D2255" s="125">
        <v>0.4166666666666667</v>
      </c>
      <c r="E2255" s="125">
        <v>0.75</v>
      </c>
    </row>
    <row r="2256">
      <c r="A2256" s="26" t="s">
        <v>258</v>
      </c>
      <c r="B2256" s="124">
        <v>45845.0</v>
      </c>
      <c r="C2256" s="26" t="s">
        <v>5592</v>
      </c>
      <c r="D2256" s="125">
        <v>0.3333333333333333</v>
      </c>
      <c r="E2256" s="125">
        <v>0.6666666666666666</v>
      </c>
    </row>
    <row r="2257">
      <c r="A2257" s="26" t="s">
        <v>261</v>
      </c>
      <c r="B2257" s="124">
        <v>45845.0</v>
      </c>
      <c r="C2257" s="26" t="s">
        <v>5592</v>
      </c>
      <c r="D2257" s="125">
        <v>0.4166666666666667</v>
      </c>
      <c r="E2257" s="125">
        <v>0.75</v>
      </c>
    </row>
    <row r="2258">
      <c r="A2258" s="26" t="s">
        <v>265</v>
      </c>
      <c r="B2258" s="124">
        <v>45845.0</v>
      </c>
      <c r="C2258" s="26" t="s">
        <v>5592</v>
      </c>
      <c r="D2258" s="125">
        <v>0.3333333333333333</v>
      </c>
      <c r="E2258" s="125">
        <v>0.6666666666666666</v>
      </c>
    </row>
    <row r="2259">
      <c r="A2259" s="26" t="s">
        <v>269</v>
      </c>
      <c r="B2259" s="124">
        <v>45845.0</v>
      </c>
      <c r="C2259" s="26" t="s">
        <v>5592</v>
      </c>
      <c r="D2259" s="125">
        <v>0.3333333333333333</v>
      </c>
      <c r="E2259" s="125">
        <v>0.6666666666666666</v>
      </c>
    </row>
    <row r="2260">
      <c r="A2260" s="26" t="s">
        <v>276</v>
      </c>
      <c r="B2260" s="124">
        <v>45845.0</v>
      </c>
      <c r="C2260" s="26" t="s">
        <v>5592</v>
      </c>
      <c r="D2260" s="125">
        <v>0.3333333333333333</v>
      </c>
      <c r="E2260" s="125">
        <v>0.6666666666666666</v>
      </c>
    </row>
    <row r="2261">
      <c r="A2261" s="26" t="s">
        <v>280</v>
      </c>
      <c r="B2261" s="124">
        <v>45845.0</v>
      </c>
      <c r="C2261" s="26" t="s">
        <v>5592</v>
      </c>
      <c r="D2261" s="125">
        <v>0.4166666666666667</v>
      </c>
      <c r="E2261" s="125">
        <v>0.75</v>
      </c>
    </row>
    <row r="2262">
      <c r="A2262" s="26" t="s">
        <v>243</v>
      </c>
      <c r="B2262" s="124">
        <v>45843.0</v>
      </c>
      <c r="C2262" s="26" t="s">
        <v>5592</v>
      </c>
      <c r="D2262" s="125">
        <v>0.3333333333333333</v>
      </c>
      <c r="E2262" s="125">
        <v>0.6666666666666666</v>
      </c>
    </row>
    <row r="2263">
      <c r="A2263" s="26" t="s">
        <v>248</v>
      </c>
      <c r="B2263" s="124">
        <v>45843.0</v>
      </c>
      <c r="C2263" s="26" t="s">
        <v>5592</v>
      </c>
      <c r="D2263" s="125">
        <v>0.3333333333333333</v>
      </c>
      <c r="E2263" s="125">
        <v>0.6666666666666666</v>
      </c>
    </row>
    <row r="2264">
      <c r="A2264" s="26" t="s">
        <v>253</v>
      </c>
      <c r="B2264" s="124">
        <v>45843.0</v>
      </c>
      <c r="C2264" s="26" t="s">
        <v>5592</v>
      </c>
      <c r="D2264" s="125">
        <v>0.4166666666666667</v>
      </c>
      <c r="E2264" s="125">
        <v>0.75</v>
      </c>
    </row>
    <row r="2265">
      <c r="A2265" s="26" t="s">
        <v>258</v>
      </c>
      <c r="B2265" s="124">
        <v>45843.0</v>
      </c>
      <c r="C2265" s="26" t="s">
        <v>5592</v>
      </c>
      <c r="D2265" s="125">
        <v>0.3333333333333333</v>
      </c>
      <c r="E2265" s="125">
        <v>0.6666666666666666</v>
      </c>
    </row>
    <row r="2266">
      <c r="A2266" s="26" t="s">
        <v>261</v>
      </c>
      <c r="B2266" s="124">
        <v>45843.0</v>
      </c>
      <c r="C2266" s="26" t="s">
        <v>5592</v>
      </c>
      <c r="D2266" s="125">
        <v>0.4166666666666667</v>
      </c>
      <c r="E2266" s="125">
        <v>0.75</v>
      </c>
    </row>
    <row r="2267">
      <c r="A2267" s="26" t="s">
        <v>265</v>
      </c>
      <c r="B2267" s="124">
        <v>45843.0</v>
      </c>
      <c r="C2267" s="26" t="s">
        <v>5592</v>
      </c>
      <c r="D2267" s="125">
        <v>0.3333333333333333</v>
      </c>
      <c r="E2267" s="125">
        <v>0.6666666666666666</v>
      </c>
    </row>
    <row r="2268">
      <c r="A2268" s="26" t="s">
        <v>269</v>
      </c>
      <c r="B2268" s="124">
        <v>45843.0</v>
      </c>
      <c r="C2268" s="26" t="s">
        <v>5592</v>
      </c>
      <c r="D2268" s="125">
        <v>0.3333333333333333</v>
      </c>
      <c r="E2268" s="125">
        <v>0.6666666666666666</v>
      </c>
    </row>
    <row r="2269">
      <c r="A2269" s="26" t="s">
        <v>276</v>
      </c>
      <c r="B2269" s="124">
        <v>45843.0</v>
      </c>
      <c r="C2269" s="26" t="s">
        <v>5592</v>
      </c>
      <c r="D2269" s="125">
        <v>0.3333333333333333</v>
      </c>
      <c r="E2269" s="125">
        <v>0.6666666666666666</v>
      </c>
    </row>
    <row r="2270">
      <c r="A2270" s="26" t="s">
        <v>280</v>
      </c>
      <c r="B2270" s="124">
        <v>45843.0</v>
      </c>
      <c r="C2270" s="26" t="s">
        <v>5592</v>
      </c>
      <c r="D2270" s="125">
        <v>0.4166666666666667</v>
      </c>
      <c r="E2270" s="125">
        <v>0.75</v>
      </c>
    </row>
    <row r="2271">
      <c r="A2271" s="26" t="s">
        <v>243</v>
      </c>
      <c r="B2271" s="124">
        <v>45842.0</v>
      </c>
      <c r="C2271" s="26" t="s">
        <v>5592</v>
      </c>
      <c r="D2271" s="125">
        <v>0.3333333333333333</v>
      </c>
      <c r="E2271" s="125">
        <v>0.6666666666666666</v>
      </c>
    </row>
    <row r="2272">
      <c r="A2272" s="26" t="s">
        <v>248</v>
      </c>
      <c r="B2272" s="124">
        <v>45842.0</v>
      </c>
      <c r="C2272" s="26" t="s">
        <v>5592</v>
      </c>
      <c r="D2272" s="125">
        <v>0.3333333333333333</v>
      </c>
      <c r="E2272" s="125">
        <v>0.6666666666666666</v>
      </c>
    </row>
    <row r="2273">
      <c r="A2273" s="26" t="s">
        <v>253</v>
      </c>
      <c r="B2273" s="124">
        <v>45842.0</v>
      </c>
      <c r="C2273" s="26" t="s">
        <v>5592</v>
      </c>
      <c r="D2273" s="125">
        <v>0.4166666666666667</v>
      </c>
      <c r="E2273" s="125">
        <v>0.75</v>
      </c>
    </row>
    <row r="2274">
      <c r="A2274" s="26" t="s">
        <v>258</v>
      </c>
      <c r="B2274" s="124">
        <v>45842.0</v>
      </c>
      <c r="C2274" s="26" t="s">
        <v>5592</v>
      </c>
      <c r="D2274" s="125">
        <v>0.3333333333333333</v>
      </c>
      <c r="E2274" s="125">
        <v>0.6666666666666666</v>
      </c>
    </row>
    <row r="2275">
      <c r="A2275" s="26" t="s">
        <v>261</v>
      </c>
      <c r="B2275" s="124">
        <v>45842.0</v>
      </c>
      <c r="C2275" s="26" t="s">
        <v>5592</v>
      </c>
      <c r="D2275" s="125">
        <v>0.4166666666666667</v>
      </c>
      <c r="E2275" s="125">
        <v>0.75</v>
      </c>
    </row>
    <row r="2276">
      <c r="A2276" s="26" t="s">
        <v>265</v>
      </c>
      <c r="B2276" s="124">
        <v>45842.0</v>
      </c>
      <c r="C2276" s="26" t="s">
        <v>5592</v>
      </c>
      <c r="D2276" s="125">
        <v>0.3333333333333333</v>
      </c>
      <c r="E2276" s="125">
        <v>0.6666666666666666</v>
      </c>
    </row>
    <row r="2277">
      <c r="A2277" s="26" t="s">
        <v>269</v>
      </c>
      <c r="B2277" s="124">
        <v>45842.0</v>
      </c>
      <c r="C2277" s="26" t="s">
        <v>5592</v>
      </c>
      <c r="D2277" s="125">
        <v>0.3333333333333333</v>
      </c>
      <c r="E2277" s="125">
        <v>0.6666666666666666</v>
      </c>
    </row>
    <row r="2278">
      <c r="A2278" s="26" t="s">
        <v>276</v>
      </c>
      <c r="B2278" s="124">
        <v>45842.0</v>
      </c>
      <c r="C2278" s="26" t="s">
        <v>5592</v>
      </c>
      <c r="D2278" s="125">
        <v>0.3333333333333333</v>
      </c>
      <c r="E2278" s="125">
        <v>0.6666666666666666</v>
      </c>
    </row>
    <row r="2279">
      <c r="A2279" s="26" t="s">
        <v>280</v>
      </c>
      <c r="B2279" s="124">
        <v>45842.0</v>
      </c>
      <c r="C2279" s="26" t="s">
        <v>5592</v>
      </c>
      <c r="D2279" s="125">
        <v>0.4166666666666667</v>
      </c>
      <c r="E2279" s="125">
        <v>0.75</v>
      </c>
    </row>
    <row r="2280">
      <c r="A2280" s="26" t="s">
        <v>243</v>
      </c>
      <c r="B2280" s="124">
        <v>45841.0</v>
      </c>
      <c r="C2280" s="26" t="s">
        <v>5592</v>
      </c>
      <c r="D2280" s="125">
        <v>0.3333333333333333</v>
      </c>
      <c r="E2280" s="125">
        <v>0.6666666666666666</v>
      </c>
    </row>
    <row r="2281">
      <c r="A2281" s="26" t="s">
        <v>248</v>
      </c>
      <c r="B2281" s="124">
        <v>45841.0</v>
      </c>
      <c r="C2281" s="26" t="s">
        <v>5592</v>
      </c>
      <c r="D2281" s="125">
        <v>0.3333333333333333</v>
      </c>
      <c r="E2281" s="125">
        <v>0.6666666666666666</v>
      </c>
    </row>
    <row r="2282">
      <c r="A2282" s="26" t="s">
        <v>253</v>
      </c>
      <c r="B2282" s="124">
        <v>45841.0</v>
      </c>
      <c r="C2282" s="26" t="s">
        <v>5592</v>
      </c>
      <c r="D2282" s="125">
        <v>0.4166666666666667</v>
      </c>
      <c r="E2282" s="125">
        <v>0.75</v>
      </c>
    </row>
    <row r="2283">
      <c r="A2283" s="26" t="s">
        <v>258</v>
      </c>
      <c r="B2283" s="124">
        <v>45841.0</v>
      </c>
      <c r="C2283" s="26" t="s">
        <v>5592</v>
      </c>
      <c r="D2283" s="125">
        <v>0.3333333333333333</v>
      </c>
      <c r="E2283" s="125">
        <v>0.6666666666666666</v>
      </c>
    </row>
    <row r="2284">
      <c r="A2284" s="26" t="s">
        <v>261</v>
      </c>
      <c r="B2284" s="124">
        <v>45841.0</v>
      </c>
      <c r="C2284" s="26" t="s">
        <v>5592</v>
      </c>
      <c r="D2284" s="125">
        <v>0.4166666666666667</v>
      </c>
      <c r="E2284" s="125">
        <v>0.75</v>
      </c>
    </row>
    <row r="2285">
      <c r="A2285" s="26" t="s">
        <v>265</v>
      </c>
      <c r="B2285" s="124">
        <v>45841.0</v>
      </c>
      <c r="C2285" s="26" t="s">
        <v>5592</v>
      </c>
      <c r="D2285" s="125">
        <v>0.3333333333333333</v>
      </c>
      <c r="E2285" s="125">
        <v>0.6666666666666666</v>
      </c>
    </row>
    <row r="2286">
      <c r="A2286" s="26" t="s">
        <v>269</v>
      </c>
      <c r="B2286" s="124">
        <v>45841.0</v>
      </c>
      <c r="C2286" s="26" t="s">
        <v>5592</v>
      </c>
      <c r="D2286" s="125">
        <v>0.3333333333333333</v>
      </c>
      <c r="E2286" s="125">
        <v>0.6666666666666666</v>
      </c>
    </row>
    <row r="2287">
      <c r="A2287" s="26" t="s">
        <v>276</v>
      </c>
      <c r="B2287" s="124">
        <v>45841.0</v>
      </c>
      <c r="C2287" s="26" t="s">
        <v>5592</v>
      </c>
      <c r="D2287" s="125">
        <v>0.3333333333333333</v>
      </c>
      <c r="E2287" s="125">
        <v>0.6666666666666666</v>
      </c>
    </row>
    <row r="2288">
      <c r="A2288" s="26" t="s">
        <v>280</v>
      </c>
      <c r="B2288" s="124">
        <v>45841.0</v>
      </c>
      <c r="C2288" s="26" t="s">
        <v>5592</v>
      </c>
      <c r="D2288" s="125">
        <v>0.4166666666666667</v>
      </c>
      <c r="E2288" s="125">
        <v>0.75</v>
      </c>
    </row>
    <row r="2289">
      <c r="A2289" s="26" t="s">
        <v>243</v>
      </c>
      <c r="B2289" s="124">
        <v>45840.0</v>
      </c>
      <c r="C2289" s="26" t="s">
        <v>5592</v>
      </c>
      <c r="D2289" s="125">
        <v>0.3333333333333333</v>
      </c>
      <c r="E2289" s="125">
        <v>0.6666666666666666</v>
      </c>
    </row>
    <row r="2290">
      <c r="A2290" s="26" t="s">
        <v>248</v>
      </c>
      <c r="B2290" s="124">
        <v>45840.0</v>
      </c>
      <c r="C2290" s="26" t="s">
        <v>5592</v>
      </c>
      <c r="D2290" s="125">
        <v>0.3333333333333333</v>
      </c>
      <c r="E2290" s="125">
        <v>0.6666666666666666</v>
      </c>
    </row>
    <row r="2291">
      <c r="A2291" s="26" t="s">
        <v>253</v>
      </c>
      <c r="B2291" s="124">
        <v>45840.0</v>
      </c>
      <c r="C2291" s="26" t="s">
        <v>5592</v>
      </c>
      <c r="D2291" s="125">
        <v>0.4166666666666667</v>
      </c>
      <c r="E2291" s="125">
        <v>0.75</v>
      </c>
    </row>
    <row r="2292">
      <c r="A2292" s="26" t="s">
        <v>258</v>
      </c>
      <c r="B2292" s="124">
        <v>45840.0</v>
      </c>
      <c r="C2292" s="26" t="s">
        <v>5592</v>
      </c>
      <c r="D2292" s="125">
        <v>0.3333333333333333</v>
      </c>
      <c r="E2292" s="125">
        <v>0.6666666666666666</v>
      </c>
    </row>
    <row r="2293">
      <c r="A2293" s="26" t="s">
        <v>261</v>
      </c>
      <c r="B2293" s="124">
        <v>45840.0</v>
      </c>
      <c r="C2293" s="26" t="s">
        <v>5592</v>
      </c>
      <c r="D2293" s="125">
        <v>0.4166666666666667</v>
      </c>
      <c r="E2293" s="125">
        <v>0.75</v>
      </c>
    </row>
    <row r="2294">
      <c r="A2294" s="26" t="s">
        <v>265</v>
      </c>
      <c r="B2294" s="124">
        <v>45840.0</v>
      </c>
      <c r="C2294" s="26" t="s">
        <v>5592</v>
      </c>
      <c r="D2294" s="125">
        <v>0.3333333333333333</v>
      </c>
      <c r="E2294" s="125">
        <v>0.6666666666666666</v>
      </c>
    </row>
    <row r="2295">
      <c r="A2295" s="26" t="s">
        <v>269</v>
      </c>
      <c r="B2295" s="124">
        <v>45840.0</v>
      </c>
      <c r="C2295" s="26" t="s">
        <v>5592</v>
      </c>
      <c r="D2295" s="125">
        <v>0.3333333333333333</v>
      </c>
      <c r="E2295" s="125">
        <v>0.6666666666666666</v>
      </c>
    </row>
    <row r="2296">
      <c r="A2296" s="26" t="s">
        <v>276</v>
      </c>
      <c r="B2296" s="124">
        <v>45840.0</v>
      </c>
      <c r="C2296" s="26" t="s">
        <v>5592</v>
      </c>
      <c r="D2296" s="125">
        <v>0.3333333333333333</v>
      </c>
      <c r="E2296" s="125">
        <v>0.6666666666666666</v>
      </c>
    </row>
    <row r="2297">
      <c r="A2297" s="26" t="s">
        <v>280</v>
      </c>
      <c r="B2297" s="124">
        <v>45840.0</v>
      </c>
      <c r="C2297" s="26" t="s">
        <v>5592</v>
      </c>
      <c r="D2297" s="125">
        <v>0.4166666666666667</v>
      </c>
      <c r="E2297" s="125">
        <v>0.75</v>
      </c>
    </row>
    <row r="2298">
      <c r="A2298" s="26" t="s">
        <v>243</v>
      </c>
      <c r="B2298" s="124">
        <v>45839.0</v>
      </c>
      <c r="C2298" s="26" t="s">
        <v>5592</v>
      </c>
      <c r="D2298" s="125">
        <v>0.3333333333333333</v>
      </c>
      <c r="E2298" s="125">
        <v>0.6666666666666666</v>
      </c>
    </row>
    <row r="2299">
      <c r="A2299" s="26" t="s">
        <v>248</v>
      </c>
      <c r="B2299" s="124">
        <v>45839.0</v>
      </c>
      <c r="C2299" s="26" t="s">
        <v>5592</v>
      </c>
      <c r="D2299" s="125">
        <v>0.3333333333333333</v>
      </c>
      <c r="E2299" s="125">
        <v>0.6666666666666666</v>
      </c>
    </row>
    <row r="2300">
      <c r="A2300" s="26" t="s">
        <v>253</v>
      </c>
      <c r="B2300" s="124">
        <v>45839.0</v>
      </c>
      <c r="C2300" s="26" t="s">
        <v>5592</v>
      </c>
      <c r="D2300" s="125">
        <v>0.4166666666666667</v>
      </c>
      <c r="E2300" s="125">
        <v>0.75</v>
      </c>
    </row>
    <row r="2301">
      <c r="A2301" s="26" t="s">
        <v>258</v>
      </c>
      <c r="B2301" s="124">
        <v>45839.0</v>
      </c>
      <c r="C2301" s="26" t="s">
        <v>5592</v>
      </c>
      <c r="D2301" s="125">
        <v>0.3333333333333333</v>
      </c>
      <c r="E2301" s="125">
        <v>0.6666666666666666</v>
      </c>
    </row>
    <row r="2302">
      <c r="A2302" s="26" t="s">
        <v>261</v>
      </c>
      <c r="B2302" s="124">
        <v>45839.0</v>
      </c>
      <c r="C2302" s="26" t="s">
        <v>5592</v>
      </c>
      <c r="D2302" s="125">
        <v>0.4166666666666667</v>
      </c>
      <c r="E2302" s="125">
        <v>0.75</v>
      </c>
    </row>
    <row r="2303">
      <c r="A2303" s="26" t="s">
        <v>265</v>
      </c>
      <c r="B2303" s="124">
        <v>45839.0</v>
      </c>
      <c r="C2303" s="26" t="s">
        <v>5592</v>
      </c>
      <c r="D2303" s="125">
        <v>0.3333333333333333</v>
      </c>
      <c r="E2303" s="125">
        <v>0.6666666666666666</v>
      </c>
    </row>
    <row r="2304">
      <c r="A2304" s="26" t="s">
        <v>269</v>
      </c>
      <c r="B2304" s="124">
        <v>45839.0</v>
      </c>
      <c r="C2304" s="26" t="s">
        <v>5592</v>
      </c>
      <c r="D2304" s="125">
        <v>0.3333333333333333</v>
      </c>
      <c r="E2304" s="125">
        <v>0.6666666666666666</v>
      </c>
    </row>
    <row r="2305">
      <c r="A2305" s="26" t="s">
        <v>276</v>
      </c>
      <c r="B2305" s="124">
        <v>45839.0</v>
      </c>
      <c r="C2305" s="26" t="s">
        <v>5592</v>
      </c>
      <c r="D2305" s="125">
        <v>0.3333333333333333</v>
      </c>
      <c r="E2305" s="125">
        <v>0.6666666666666666</v>
      </c>
    </row>
    <row r="2306">
      <c r="A2306" s="26" t="s">
        <v>280</v>
      </c>
      <c r="B2306" s="124">
        <v>45839.0</v>
      </c>
      <c r="C2306" s="26" t="s">
        <v>5592</v>
      </c>
      <c r="D2306" s="125">
        <v>0.4166666666666667</v>
      </c>
      <c r="E2306" s="125">
        <v>0.75</v>
      </c>
    </row>
    <row r="2307">
      <c r="A2307" s="26" t="s">
        <v>243</v>
      </c>
      <c r="B2307" s="124">
        <v>45838.0</v>
      </c>
      <c r="C2307" s="26" t="s">
        <v>5592</v>
      </c>
      <c r="D2307" s="125">
        <v>0.3333333333333333</v>
      </c>
      <c r="E2307" s="125">
        <v>0.6666666666666666</v>
      </c>
    </row>
    <row r="2308">
      <c r="A2308" s="26" t="s">
        <v>248</v>
      </c>
      <c r="B2308" s="124">
        <v>45838.0</v>
      </c>
      <c r="C2308" s="26" t="s">
        <v>5592</v>
      </c>
      <c r="D2308" s="125">
        <v>0.3333333333333333</v>
      </c>
      <c r="E2308" s="125">
        <v>0.6666666666666666</v>
      </c>
    </row>
    <row r="2309">
      <c r="A2309" s="26" t="s">
        <v>253</v>
      </c>
      <c r="B2309" s="124">
        <v>45838.0</v>
      </c>
      <c r="C2309" s="26" t="s">
        <v>5592</v>
      </c>
      <c r="D2309" s="125">
        <v>0.4166666666666667</v>
      </c>
      <c r="E2309" s="125">
        <v>0.75</v>
      </c>
    </row>
    <row r="2310">
      <c r="A2310" s="26" t="s">
        <v>258</v>
      </c>
      <c r="B2310" s="124">
        <v>45838.0</v>
      </c>
      <c r="C2310" s="26" t="s">
        <v>5592</v>
      </c>
      <c r="D2310" s="125">
        <v>0.3333333333333333</v>
      </c>
      <c r="E2310" s="125">
        <v>0.6666666666666666</v>
      </c>
    </row>
    <row r="2311">
      <c r="A2311" s="26" t="s">
        <v>261</v>
      </c>
      <c r="B2311" s="124">
        <v>45838.0</v>
      </c>
      <c r="C2311" s="26" t="s">
        <v>5592</v>
      </c>
      <c r="D2311" s="125">
        <v>0.4166666666666667</v>
      </c>
      <c r="E2311" s="125">
        <v>0.75</v>
      </c>
    </row>
    <row r="2312">
      <c r="A2312" s="26" t="s">
        <v>265</v>
      </c>
      <c r="B2312" s="124">
        <v>45838.0</v>
      </c>
      <c r="C2312" s="26" t="s">
        <v>5592</v>
      </c>
      <c r="D2312" s="125">
        <v>0.3333333333333333</v>
      </c>
      <c r="E2312" s="125">
        <v>0.6666666666666666</v>
      </c>
    </row>
    <row r="2313">
      <c r="A2313" s="26" t="s">
        <v>269</v>
      </c>
      <c r="B2313" s="124">
        <v>45838.0</v>
      </c>
      <c r="C2313" s="26" t="s">
        <v>5592</v>
      </c>
      <c r="D2313" s="125">
        <v>0.3333333333333333</v>
      </c>
      <c r="E2313" s="125">
        <v>0.6666666666666666</v>
      </c>
    </row>
    <row r="2314">
      <c r="A2314" s="26" t="s">
        <v>276</v>
      </c>
      <c r="B2314" s="124">
        <v>45838.0</v>
      </c>
      <c r="C2314" s="26" t="s">
        <v>5592</v>
      </c>
      <c r="D2314" s="125">
        <v>0.3333333333333333</v>
      </c>
      <c r="E2314" s="125">
        <v>0.6666666666666666</v>
      </c>
    </row>
    <row r="2315">
      <c r="A2315" s="26" t="s">
        <v>280</v>
      </c>
      <c r="B2315" s="124">
        <v>45838.0</v>
      </c>
      <c r="C2315" s="26" t="s">
        <v>5592</v>
      </c>
      <c r="D2315" s="125">
        <v>0.4166666666666667</v>
      </c>
      <c r="E2315" s="125">
        <v>0.75</v>
      </c>
    </row>
    <row r="2316">
      <c r="A2316" s="26" t="s">
        <v>248</v>
      </c>
      <c r="B2316" s="124">
        <v>45836.0</v>
      </c>
      <c r="C2316" s="26" t="s">
        <v>5592</v>
      </c>
      <c r="D2316" s="125">
        <v>0.3333333333333333</v>
      </c>
      <c r="E2316" s="125">
        <v>0.6666666666666666</v>
      </c>
    </row>
    <row r="2317">
      <c r="A2317" s="26" t="s">
        <v>253</v>
      </c>
      <c r="B2317" s="124">
        <v>45836.0</v>
      </c>
      <c r="C2317" s="26" t="s">
        <v>5592</v>
      </c>
      <c r="D2317" s="125">
        <v>0.4166666666666667</v>
      </c>
      <c r="E2317" s="125">
        <v>0.75</v>
      </c>
    </row>
    <row r="2318">
      <c r="A2318" s="26" t="s">
        <v>258</v>
      </c>
      <c r="B2318" s="124">
        <v>45836.0</v>
      </c>
      <c r="C2318" s="26" t="s">
        <v>5592</v>
      </c>
      <c r="D2318" s="125">
        <v>0.3333333333333333</v>
      </c>
      <c r="E2318" s="125">
        <v>0.6666666666666666</v>
      </c>
    </row>
    <row r="2319">
      <c r="A2319" s="26" t="s">
        <v>261</v>
      </c>
      <c r="B2319" s="124">
        <v>45836.0</v>
      </c>
      <c r="C2319" s="26" t="s">
        <v>5592</v>
      </c>
      <c r="D2319" s="125">
        <v>0.4166666666666667</v>
      </c>
      <c r="E2319" s="125">
        <v>0.75</v>
      </c>
    </row>
    <row r="2320">
      <c r="A2320" s="26" t="s">
        <v>265</v>
      </c>
      <c r="B2320" s="124">
        <v>45836.0</v>
      </c>
      <c r="C2320" s="26" t="s">
        <v>5592</v>
      </c>
      <c r="D2320" s="125">
        <v>0.3333333333333333</v>
      </c>
      <c r="E2320" s="125">
        <v>0.6666666666666666</v>
      </c>
    </row>
    <row r="2321">
      <c r="A2321" s="26" t="s">
        <v>269</v>
      </c>
      <c r="B2321" s="124">
        <v>45836.0</v>
      </c>
      <c r="C2321" s="26" t="s">
        <v>5592</v>
      </c>
      <c r="D2321" s="125">
        <v>0.3333333333333333</v>
      </c>
      <c r="E2321" s="125">
        <v>0.6666666666666666</v>
      </c>
    </row>
    <row r="2322">
      <c r="A2322" s="26" t="s">
        <v>276</v>
      </c>
      <c r="B2322" s="124">
        <v>45836.0</v>
      </c>
      <c r="C2322" s="26" t="s">
        <v>5592</v>
      </c>
      <c r="D2322" s="125">
        <v>0.3333333333333333</v>
      </c>
      <c r="E2322" s="125">
        <v>0.6666666666666666</v>
      </c>
    </row>
    <row r="2323">
      <c r="A2323" s="26" t="s">
        <v>280</v>
      </c>
      <c r="B2323" s="124">
        <v>45836.0</v>
      </c>
      <c r="C2323" s="26" t="s">
        <v>5592</v>
      </c>
      <c r="D2323" s="125">
        <v>0.4166666666666667</v>
      </c>
      <c r="E2323" s="125">
        <v>0.75</v>
      </c>
    </row>
    <row r="2324">
      <c r="A2324" s="26" t="s">
        <v>248</v>
      </c>
      <c r="B2324" s="124">
        <v>45835.0</v>
      </c>
      <c r="C2324" s="26" t="s">
        <v>5592</v>
      </c>
      <c r="D2324" s="125">
        <v>0.3333333333333333</v>
      </c>
      <c r="E2324" s="125">
        <v>0.6666666666666666</v>
      </c>
    </row>
    <row r="2325">
      <c r="A2325" s="26" t="s">
        <v>253</v>
      </c>
      <c r="B2325" s="124">
        <v>45835.0</v>
      </c>
      <c r="C2325" s="26" t="s">
        <v>5592</v>
      </c>
      <c r="D2325" s="125">
        <v>0.4166666666666667</v>
      </c>
      <c r="E2325" s="125">
        <v>0.75</v>
      </c>
    </row>
    <row r="2326">
      <c r="A2326" s="26" t="s">
        <v>258</v>
      </c>
      <c r="B2326" s="124">
        <v>45835.0</v>
      </c>
      <c r="C2326" s="26" t="s">
        <v>5592</v>
      </c>
      <c r="D2326" s="125">
        <v>0.3333333333333333</v>
      </c>
      <c r="E2326" s="125">
        <v>0.6666666666666666</v>
      </c>
    </row>
    <row r="2327">
      <c r="A2327" s="26" t="s">
        <v>261</v>
      </c>
      <c r="B2327" s="124">
        <v>45835.0</v>
      </c>
      <c r="C2327" s="26" t="s">
        <v>5592</v>
      </c>
      <c r="D2327" s="125">
        <v>0.4166666666666667</v>
      </c>
      <c r="E2327" s="125">
        <v>0.75</v>
      </c>
    </row>
    <row r="2328">
      <c r="A2328" s="26" t="s">
        <v>265</v>
      </c>
      <c r="B2328" s="124">
        <v>45835.0</v>
      </c>
      <c r="C2328" s="26" t="s">
        <v>5592</v>
      </c>
      <c r="D2328" s="125">
        <v>0.3333333333333333</v>
      </c>
      <c r="E2328" s="125">
        <v>0.6666666666666666</v>
      </c>
    </row>
    <row r="2329">
      <c r="A2329" s="26" t="s">
        <v>269</v>
      </c>
      <c r="B2329" s="124">
        <v>45835.0</v>
      </c>
      <c r="C2329" s="26" t="s">
        <v>5592</v>
      </c>
      <c r="D2329" s="125">
        <v>0.3333333333333333</v>
      </c>
      <c r="E2329" s="125">
        <v>0.6666666666666666</v>
      </c>
    </row>
    <row r="2330">
      <c r="A2330" s="26" t="s">
        <v>276</v>
      </c>
      <c r="B2330" s="124">
        <v>45835.0</v>
      </c>
      <c r="C2330" s="26" t="s">
        <v>5592</v>
      </c>
      <c r="D2330" s="125">
        <v>0.3333333333333333</v>
      </c>
      <c r="E2330" s="125">
        <v>0.6666666666666666</v>
      </c>
    </row>
    <row r="2331">
      <c r="A2331" s="26" t="s">
        <v>280</v>
      </c>
      <c r="B2331" s="124">
        <v>45835.0</v>
      </c>
      <c r="C2331" s="26" t="s">
        <v>5592</v>
      </c>
      <c r="D2331" s="125">
        <v>0.4166666666666667</v>
      </c>
      <c r="E2331" s="125">
        <v>0.75</v>
      </c>
    </row>
    <row r="2332">
      <c r="A2332" s="26" t="s">
        <v>243</v>
      </c>
      <c r="B2332" s="124">
        <v>45835.0</v>
      </c>
      <c r="C2332" s="26" t="s">
        <v>5592</v>
      </c>
      <c r="D2332" s="125">
        <v>0.3333333333333333</v>
      </c>
      <c r="E2332" s="125">
        <v>0.6666666666666666</v>
      </c>
    </row>
    <row r="2333">
      <c r="A2333" s="26" t="s">
        <v>248</v>
      </c>
      <c r="B2333" s="124">
        <v>45834.0</v>
      </c>
      <c r="C2333" s="26" t="s">
        <v>5592</v>
      </c>
      <c r="D2333" s="125">
        <v>0.3333333333333333</v>
      </c>
      <c r="E2333" s="125">
        <v>0.6666666666666666</v>
      </c>
    </row>
    <row r="2334">
      <c r="A2334" s="26" t="s">
        <v>253</v>
      </c>
      <c r="B2334" s="124">
        <v>45834.0</v>
      </c>
      <c r="C2334" s="26" t="s">
        <v>5592</v>
      </c>
      <c r="D2334" s="125">
        <v>0.4166666666666667</v>
      </c>
      <c r="E2334" s="125">
        <v>0.75</v>
      </c>
    </row>
    <row r="2335">
      <c r="A2335" s="26" t="s">
        <v>258</v>
      </c>
      <c r="B2335" s="124">
        <v>45834.0</v>
      </c>
      <c r="C2335" s="26" t="s">
        <v>5592</v>
      </c>
      <c r="D2335" s="125">
        <v>0.3333333333333333</v>
      </c>
      <c r="E2335" s="125">
        <v>0.6666666666666666</v>
      </c>
    </row>
    <row r="2336">
      <c r="A2336" s="26" t="s">
        <v>261</v>
      </c>
      <c r="B2336" s="124">
        <v>45834.0</v>
      </c>
      <c r="C2336" s="26" t="s">
        <v>5592</v>
      </c>
      <c r="D2336" s="125">
        <v>0.4166666666666667</v>
      </c>
      <c r="E2336" s="125">
        <v>0.75</v>
      </c>
    </row>
    <row r="2337">
      <c r="A2337" s="26" t="s">
        <v>265</v>
      </c>
      <c r="B2337" s="124">
        <v>45834.0</v>
      </c>
      <c r="C2337" s="26" t="s">
        <v>5592</v>
      </c>
      <c r="D2337" s="125">
        <v>0.3333333333333333</v>
      </c>
      <c r="E2337" s="125">
        <v>0.6666666666666666</v>
      </c>
    </row>
    <row r="2338">
      <c r="A2338" s="26" t="s">
        <v>269</v>
      </c>
      <c r="B2338" s="124">
        <v>45834.0</v>
      </c>
      <c r="C2338" s="26" t="s">
        <v>5592</v>
      </c>
      <c r="D2338" s="125">
        <v>0.3333333333333333</v>
      </c>
      <c r="E2338" s="125">
        <v>0.6666666666666666</v>
      </c>
    </row>
    <row r="2339">
      <c r="A2339" s="26" t="s">
        <v>276</v>
      </c>
      <c r="B2339" s="124">
        <v>45834.0</v>
      </c>
      <c r="C2339" s="26" t="s">
        <v>5592</v>
      </c>
      <c r="D2339" s="125">
        <v>0.3333333333333333</v>
      </c>
      <c r="E2339" s="125">
        <v>0.6666666666666666</v>
      </c>
    </row>
    <row r="2340">
      <c r="A2340" s="26" t="s">
        <v>280</v>
      </c>
      <c r="B2340" s="124">
        <v>45834.0</v>
      </c>
      <c r="C2340" s="26" t="s">
        <v>5592</v>
      </c>
      <c r="D2340" s="125">
        <v>0.4166666666666667</v>
      </c>
      <c r="E2340" s="125">
        <v>0.75</v>
      </c>
    </row>
    <row r="2341">
      <c r="A2341" s="26" t="s">
        <v>243</v>
      </c>
      <c r="B2341" s="124">
        <v>45834.0</v>
      </c>
      <c r="C2341" s="26" t="s">
        <v>5592</v>
      </c>
      <c r="D2341" s="125">
        <v>0.3333333333333333</v>
      </c>
      <c r="E2341" s="125">
        <v>0.6666666666666666</v>
      </c>
    </row>
    <row r="2342">
      <c r="A2342" s="26" t="s">
        <v>248</v>
      </c>
      <c r="B2342" s="124">
        <v>45833.0</v>
      </c>
      <c r="C2342" s="26" t="s">
        <v>5592</v>
      </c>
      <c r="D2342" s="125">
        <v>0.3333333333333333</v>
      </c>
      <c r="E2342" s="125">
        <v>0.6666666666666666</v>
      </c>
    </row>
    <row r="2343">
      <c r="A2343" s="26" t="s">
        <v>253</v>
      </c>
      <c r="B2343" s="124">
        <v>45833.0</v>
      </c>
      <c r="C2343" s="26" t="s">
        <v>5592</v>
      </c>
      <c r="D2343" s="125">
        <v>0.4166666666666667</v>
      </c>
      <c r="E2343" s="125">
        <v>0.75</v>
      </c>
    </row>
    <row r="2344">
      <c r="A2344" s="26" t="s">
        <v>258</v>
      </c>
      <c r="B2344" s="124">
        <v>45833.0</v>
      </c>
      <c r="C2344" s="26" t="s">
        <v>5592</v>
      </c>
      <c r="D2344" s="125">
        <v>0.3333333333333333</v>
      </c>
      <c r="E2344" s="125">
        <v>0.6666666666666666</v>
      </c>
    </row>
    <row r="2345">
      <c r="A2345" s="26" t="s">
        <v>261</v>
      </c>
      <c r="B2345" s="124">
        <v>45833.0</v>
      </c>
      <c r="C2345" s="26" t="s">
        <v>5592</v>
      </c>
      <c r="D2345" s="125">
        <v>0.4166666666666667</v>
      </c>
      <c r="E2345" s="125">
        <v>0.75</v>
      </c>
    </row>
    <row r="2346">
      <c r="A2346" s="26" t="s">
        <v>265</v>
      </c>
      <c r="B2346" s="124">
        <v>45833.0</v>
      </c>
      <c r="C2346" s="26" t="s">
        <v>5592</v>
      </c>
      <c r="D2346" s="125">
        <v>0.3333333333333333</v>
      </c>
      <c r="E2346" s="125">
        <v>0.6666666666666666</v>
      </c>
    </row>
    <row r="2347">
      <c r="A2347" s="26" t="s">
        <v>269</v>
      </c>
      <c r="B2347" s="124">
        <v>45833.0</v>
      </c>
      <c r="C2347" s="26" t="s">
        <v>5592</v>
      </c>
      <c r="D2347" s="125">
        <v>0.3333333333333333</v>
      </c>
      <c r="E2347" s="125">
        <v>0.6666666666666666</v>
      </c>
    </row>
    <row r="2348">
      <c r="A2348" s="26" t="s">
        <v>276</v>
      </c>
      <c r="B2348" s="124">
        <v>45833.0</v>
      </c>
      <c r="C2348" s="26" t="s">
        <v>5592</v>
      </c>
      <c r="D2348" s="125">
        <v>0.3333333333333333</v>
      </c>
      <c r="E2348" s="125">
        <v>0.6666666666666666</v>
      </c>
    </row>
    <row r="2349">
      <c r="A2349" s="26" t="s">
        <v>280</v>
      </c>
      <c r="B2349" s="124">
        <v>45833.0</v>
      </c>
      <c r="C2349" s="26" t="s">
        <v>5592</v>
      </c>
      <c r="D2349" s="125">
        <v>0.4166666666666667</v>
      </c>
      <c r="E2349" s="125">
        <v>0.75</v>
      </c>
    </row>
    <row r="2350">
      <c r="A2350" s="26" t="s">
        <v>243</v>
      </c>
      <c r="B2350" s="124">
        <v>45833.0</v>
      </c>
      <c r="C2350" s="26" t="s">
        <v>5592</v>
      </c>
      <c r="D2350" s="125">
        <v>0.3333333333333333</v>
      </c>
      <c r="E2350" s="125">
        <v>0.6666666666666666</v>
      </c>
    </row>
    <row r="2351">
      <c r="A2351" s="26" t="s">
        <v>243</v>
      </c>
      <c r="B2351" s="124">
        <v>45832.0</v>
      </c>
      <c r="C2351" s="26" t="s">
        <v>5592</v>
      </c>
      <c r="D2351" s="125">
        <v>0.3333333333333333</v>
      </c>
      <c r="E2351" s="125">
        <v>0.6666666666666666</v>
      </c>
    </row>
    <row r="2352">
      <c r="A2352" s="26" t="s">
        <v>248</v>
      </c>
      <c r="B2352" s="124">
        <v>45832.0</v>
      </c>
      <c r="C2352" s="26" t="s">
        <v>5592</v>
      </c>
      <c r="D2352" s="125">
        <v>0.3333333333333333</v>
      </c>
      <c r="E2352" s="125">
        <v>0.6666666666666666</v>
      </c>
    </row>
    <row r="2353">
      <c r="A2353" s="26" t="s">
        <v>253</v>
      </c>
      <c r="B2353" s="124">
        <v>45832.0</v>
      </c>
      <c r="C2353" s="26" t="s">
        <v>5592</v>
      </c>
      <c r="D2353" s="125">
        <v>0.4166666666666667</v>
      </c>
      <c r="E2353" s="125">
        <v>0.75</v>
      </c>
    </row>
    <row r="2354">
      <c r="A2354" s="26" t="s">
        <v>258</v>
      </c>
      <c r="B2354" s="124">
        <v>45832.0</v>
      </c>
      <c r="C2354" s="26" t="s">
        <v>5592</v>
      </c>
      <c r="D2354" s="125">
        <v>0.3333333333333333</v>
      </c>
      <c r="E2354" s="125">
        <v>0.6666666666666666</v>
      </c>
    </row>
    <row r="2355">
      <c r="A2355" s="26" t="s">
        <v>261</v>
      </c>
      <c r="B2355" s="124">
        <v>45832.0</v>
      </c>
      <c r="C2355" s="26" t="s">
        <v>5592</v>
      </c>
      <c r="D2355" s="125">
        <v>0.4166666666666667</v>
      </c>
      <c r="E2355" s="125">
        <v>0.75</v>
      </c>
    </row>
    <row r="2356">
      <c r="A2356" s="26" t="s">
        <v>265</v>
      </c>
      <c r="B2356" s="124">
        <v>45832.0</v>
      </c>
      <c r="C2356" s="26" t="s">
        <v>5592</v>
      </c>
      <c r="D2356" s="125">
        <v>0.3333333333333333</v>
      </c>
      <c r="E2356" s="125">
        <v>0.6666666666666666</v>
      </c>
    </row>
    <row r="2357">
      <c r="A2357" s="26" t="s">
        <v>269</v>
      </c>
      <c r="B2357" s="124">
        <v>45832.0</v>
      </c>
      <c r="C2357" s="26" t="s">
        <v>5592</v>
      </c>
      <c r="D2357" s="125">
        <v>0.3333333333333333</v>
      </c>
      <c r="E2357" s="125">
        <v>0.6666666666666666</v>
      </c>
    </row>
    <row r="2358">
      <c r="A2358" s="26" t="s">
        <v>276</v>
      </c>
      <c r="B2358" s="124">
        <v>45832.0</v>
      </c>
      <c r="C2358" s="26" t="s">
        <v>5592</v>
      </c>
      <c r="D2358" s="125">
        <v>0.3333333333333333</v>
      </c>
      <c r="E2358" s="125">
        <v>0.6666666666666666</v>
      </c>
    </row>
    <row r="2359">
      <c r="A2359" s="26" t="s">
        <v>280</v>
      </c>
      <c r="B2359" s="124">
        <v>45832.0</v>
      </c>
      <c r="C2359" s="26" t="s">
        <v>5592</v>
      </c>
      <c r="D2359" s="125">
        <v>0.4166666666666667</v>
      </c>
      <c r="E2359" s="125">
        <v>0.75</v>
      </c>
    </row>
    <row r="2360">
      <c r="A2360" s="26" t="s">
        <v>243</v>
      </c>
      <c r="B2360" s="124">
        <v>45832.0</v>
      </c>
      <c r="C2360" s="26" t="s">
        <v>5592</v>
      </c>
      <c r="D2360" s="125">
        <v>0.3333333333333333</v>
      </c>
      <c r="E2360" s="125">
        <v>0.6666666666666666</v>
      </c>
    </row>
    <row r="2361">
      <c r="A2361" s="26" t="s">
        <v>243</v>
      </c>
      <c r="B2361" s="124">
        <v>45831.0</v>
      </c>
      <c r="C2361" s="26" t="s">
        <v>5592</v>
      </c>
      <c r="D2361" s="125">
        <v>0.3333333333333333</v>
      </c>
      <c r="E2361" s="125">
        <v>0.6666666666666666</v>
      </c>
    </row>
    <row r="2362">
      <c r="A2362" s="26" t="s">
        <v>248</v>
      </c>
      <c r="B2362" s="124">
        <v>45831.0</v>
      </c>
      <c r="C2362" s="26" t="s">
        <v>5592</v>
      </c>
      <c r="D2362" s="125">
        <v>0.3333333333333333</v>
      </c>
      <c r="E2362" s="125">
        <v>0.6666666666666666</v>
      </c>
    </row>
    <row r="2363">
      <c r="A2363" s="26" t="s">
        <v>253</v>
      </c>
      <c r="B2363" s="124">
        <v>45831.0</v>
      </c>
      <c r="C2363" s="26" t="s">
        <v>5592</v>
      </c>
      <c r="D2363" s="125">
        <v>0.4166666666666667</v>
      </c>
      <c r="E2363" s="125">
        <v>0.75</v>
      </c>
    </row>
    <row r="2364">
      <c r="A2364" s="26" t="s">
        <v>258</v>
      </c>
      <c r="B2364" s="124">
        <v>45831.0</v>
      </c>
      <c r="C2364" s="26" t="s">
        <v>5592</v>
      </c>
      <c r="D2364" s="125">
        <v>0.3333333333333333</v>
      </c>
      <c r="E2364" s="125">
        <v>0.6666666666666666</v>
      </c>
    </row>
    <row r="2365">
      <c r="A2365" s="26" t="s">
        <v>261</v>
      </c>
      <c r="B2365" s="124">
        <v>45831.0</v>
      </c>
      <c r="C2365" s="26" t="s">
        <v>5592</v>
      </c>
      <c r="D2365" s="125">
        <v>0.4166666666666667</v>
      </c>
      <c r="E2365" s="125">
        <v>0.75</v>
      </c>
    </row>
    <row r="2366">
      <c r="A2366" s="26" t="s">
        <v>265</v>
      </c>
      <c r="B2366" s="124">
        <v>45831.0</v>
      </c>
      <c r="C2366" s="26" t="s">
        <v>5592</v>
      </c>
      <c r="D2366" s="125">
        <v>0.3333333333333333</v>
      </c>
      <c r="E2366" s="125">
        <v>0.6666666666666666</v>
      </c>
    </row>
    <row r="2367">
      <c r="A2367" s="26" t="s">
        <v>269</v>
      </c>
      <c r="B2367" s="124">
        <v>45831.0</v>
      </c>
      <c r="C2367" s="26" t="s">
        <v>5592</v>
      </c>
      <c r="D2367" s="125">
        <v>0.3333333333333333</v>
      </c>
      <c r="E2367" s="125">
        <v>0.6666666666666666</v>
      </c>
    </row>
    <row r="2368">
      <c r="A2368" s="26" t="s">
        <v>276</v>
      </c>
      <c r="B2368" s="124">
        <v>45831.0</v>
      </c>
      <c r="C2368" s="26" t="s">
        <v>5592</v>
      </c>
      <c r="D2368" s="125">
        <v>0.3333333333333333</v>
      </c>
      <c r="E2368" s="125">
        <v>0.6666666666666666</v>
      </c>
    </row>
    <row r="2369">
      <c r="A2369" s="26" t="s">
        <v>280</v>
      </c>
      <c r="B2369" s="124">
        <v>45831.0</v>
      </c>
      <c r="C2369" s="26" t="s">
        <v>5592</v>
      </c>
      <c r="D2369" s="125">
        <v>0.4166666666666667</v>
      </c>
      <c r="E2369" s="125">
        <v>0.75</v>
      </c>
    </row>
    <row r="2370">
      <c r="A2370" s="26" t="s">
        <v>243</v>
      </c>
      <c r="B2370" s="124">
        <v>45829.0</v>
      </c>
      <c r="C2370" s="26" t="s">
        <v>5592</v>
      </c>
      <c r="D2370" s="125">
        <v>0.3333333333333333</v>
      </c>
      <c r="E2370" s="125">
        <v>0.6666666666666666</v>
      </c>
    </row>
    <row r="2371">
      <c r="A2371" s="26" t="s">
        <v>248</v>
      </c>
      <c r="B2371" s="124">
        <v>45829.0</v>
      </c>
      <c r="C2371" s="26" t="s">
        <v>5592</v>
      </c>
      <c r="D2371" s="125">
        <v>0.3333333333333333</v>
      </c>
      <c r="E2371" s="125">
        <v>0.6666666666666666</v>
      </c>
    </row>
    <row r="2372">
      <c r="A2372" s="26" t="s">
        <v>253</v>
      </c>
      <c r="B2372" s="124">
        <v>45829.0</v>
      </c>
      <c r="C2372" s="26" t="s">
        <v>5592</v>
      </c>
      <c r="D2372" s="125">
        <v>0.4166666666666667</v>
      </c>
      <c r="E2372" s="125">
        <v>0.75</v>
      </c>
    </row>
    <row r="2373">
      <c r="A2373" s="26" t="s">
        <v>258</v>
      </c>
      <c r="B2373" s="124">
        <v>45829.0</v>
      </c>
      <c r="C2373" s="26" t="s">
        <v>5592</v>
      </c>
      <c r="D2373" s="125">
        <v>0.3333333333333333</v>
      </c>
      <c r="E2373" s="125">
        <v>0.6666666666666666</v>
      </c>
    </row>
    <row r="2374">
      <c r="A2374" s="26" t="s">
        <v>261</v>
      </c>
      <c r="B2374" s="124">
        <v>45829.0</v>
      </c>
      <c r="C2374" s="26" t="s">
        <v>5592</v>
      </c>
      <c r="D2374" s="125">
        <v>0.4166666666666667</v>
      </c>
      <c r="E2374" s="125">
        <v>0.75</v>
      </c>
    </row>
    <row r="2375">
      <c r="A2375" s="26" t="s">
        <v>265</v>
      </c>
      <c r="B2375" s="124">
        <v>45829.0</v>
      </c>
      <c r="C2375" s="26" t="s">
        <v>5592</v>
      </c>
      <c r="D2375" s="125">
        <v>0.3333333333333333</v>
      </c>
      <c r="E2375" s="125">
        <v>0.6666666666666666</v>
      </c>
    </row>
    <row r="2376">
      <c r="A2376" s="26" t="s">
        <v>269</v>
      </c>
      <c r="B2376" s="124">
        <v>45829.0</v>
      </c>
      <c r="C2376" s="26" t="s">
        <v>5592</v>
      </c>
      <c r="D2376" s="125">
        <v>0.3333333333333333</v>
      </c>
      <c r="E2376" s="125">
        <v>0.6666666666666666</v>
      </c>
    </row>
    <row r="2377">
      <c r="A2377" s="26" t="s">
        <v>276</v>
      </c>
      <c r="B2377" s="124">
        <v>45829.0</v>
      </c>
      <c r="C2377" s="26" t="s">
        <v>5592</v>
      </c>
      <c r="D2377" s="125">
        <v>0.3333333333333333</v>
      </c>
      <c r="E2377" s="125">
        <v>0.6666666666666666</v>
      </c>
    </row>
    <row r="2378">
      <c r="A2378" s="26" t="s">
        <v>280</v>
      </c>
      <c r="B2378" s="124">
        <v>45829.0</v>
      </c>
      <c r="C2378" s="26" t="s">
        <v>5592</v>
      </c>
      <c r="D2378" s="125">
        <v>0.4166666666666667</v>
      </c>
      <c r="E2378" s="125">
        <v>0.75</v>
      </c>
    </row>
    <row r="2379">
      <c r="A2379" s="26" t="s">
        <v>243</v>
      </c>
      <c r="B2379" s="124">
        <v>45828.0</v>
      </c>
      <c r="C2379" s="26" t="s">
        <v>5592</v>
      </c>
      <c r="D2379" s="125">
        <v>0.3333333333333333</v>
      </c>
      <c r="E2379" s="125">
        <v>0.6666666666666666</v>
      </c>
    </row>
    <row r="2380">
      <c r="A2380" s="26" t="s">
        <v>248</v>
      </c>
      <c r="B2380" s="124">
        <v>45828.0</v>
      </c>
      <c r="C2380" s="26" t="s">
        <v>5592</v>
      </c>
      <c r="D2380" s="125">
        <v>0.3333333333333333</v>
      </c>
      <c r="E2380" s="125">
        <v>0.6666666666666666</v>
      </c>
    </row>
    <row r="2381">
      <c r="A2381" s="26" t="s">
        <v>253</v>
      </c>
      <c r="B2381" s="124">
        <v>45828.0</v>
      </c>
      <c r="C2381" s="26" t="s">
        <v>5592</v>
      </c>
      <c r="D2381" s="125">
        <v>0.4166666666666667</v>
      </c>
      <c r="E2381" s="125">
        <v>0.75</v>
      </c>
    </row>
    <row r="2382">
      <c r="A2382" s="26" t="s">
        <v>258</v>
      </c>
      <c r="B2382" s="124">
        <v>45828.0</v>
      </c>
      <c r="C2382" s="26" t="s">
        <v>5592</v>
      </c>
      <c r="D2382" s="125">
        <v>0.3333333333333333</v>
      </c>
      <c r="E2382" s="125">
        <v>0.6666666666666666</v>
      </c>
    </row>
    <row r="2383">
      <c r="A2383" s="26" t="s">
        <v>261</v>
      </c>
      <c r="B2383" s="124">
        <v>45828.0</v>
      </c>
      <c r="C2383" s="26" t="s">
        <v>5592</v>
      </c>
      <c r="D2383" s="125">
        <v>0.4166666666666667</v>
      </c>
      <c r="E2383" s="125">
        <v>0.75</v>
      </c>
    </row>
    <row r="2384">
      <c r="A2384" s="26" t="s">
        <v>265</v>
      </c>
      <c r="B2384" s="124">
        <v>45828.0</v>
      </c>
      <c r="C2384" s="26" t="s">
        <v>5592</v>
      </c>
      <c r="D2384" s="125">
        <v>0.3333333333333333</v>
      </c>
      <c r="E2384" s="125">
        <v>0.6666666666666666</v>
      </c>
    </row>
    <row r="2385">
      <c r="A2385" s="26" t="s">
        <v>269</v>
      </c>
      <c r="B2385" s="124">
        <v>45828.0</v>
      </c>
      <c r="C2385" s="26" t="s">
        <v>5592</v>
      </c>
      <c r="D2385" s="125">
        <v>0.3333333333333333</v>
      </c>
      <c r="E2385" s="125">
        <v>0.6666666666666666</v>
      </c>
    </row>
    <row r="2386">
      <c r="A2386" s="26" t="s">
        <v>276</v>
      </c>
      <c r="B2386" s="124">
        <v>45828.0</v>
      </c>
      <c r="C2386" s="26" t="s">
        <v>5592</v>
      </c>
      <c r="D2386" s="125">
        <v>0.3333333333333333</v>
      </c>
      <c r="E2386" s="125">
        <v>0.6666666666666666</v>
      </c>
    </row>
    <row r="2387">
      <c r="A2387" s="26" t="s">
        <v>280</v>
      </c>
      <c r="B2387" s="124">
        <v>45828.0</v>
      </c>
      <c r="C2387" s="26" t="s">
        <v>5592</v>
      </c>
      <c r="D2387" s="125">
        <v>0.4166666666666667</v>
      </c>
      <c r="E2387" s="125">
        <v>0.75</v>
      </c>
    </row>
    <row r="2388">
      <c r="A2388" s="26" t="s">
        <v>243</v>
      </c>
      <c r="B2388" s="124">
        <v>45827.0</v>
      </c>
      <c r="C2388" s="26" t="s">
        <v>5592</v>
      </c>
      <c r="D2388" s="125">
        <v>0.3333333333333333</v>
      </c>
      <c r="E2388" s="125">
        <v>0.6666666666666666</v>
      </c>
    </row>
    <row r="2389">
      <c r="A2389" s="26" t="s">
        <v>248</v>
      </c>
      <c r="B2389" s="124">
        <v>45827.0</v>
      </c>
      <c r="C2389" s="26" t="s">
        <v>5592</v>
      </c>
      <c r="D2389" s="125">
        <v>0.3333333333333333</v>
      </c>
      <c r="E2389" s="125">
        <v>0.6666666666666666</v>
      </c>
    </row>
    <row r="2390">
      <c r="A2390" s="26" t="s">
        <v>253</v>
      </c>
      <c r="B2390" s="124">
        <v>45827.0</v>
      </c>
      <c r="C2390" s="26" t="s">
        <v>5592</v>
      </c>
      <c r="D2390" s="125">
        <v>0.4166666666666667</v>
      </c>
      <c r="E2390" s="125">
        <v>0.75</v>
      </c>
    </row>
    <row r="2391">
      <c r="A2391" s="26" t="s">
        <v>258</v>
      </c>
      <c r="B2391" s="124">
        <v>45827.0</v>
      </c>
      <c r="C2391" s="26" t="s">
        <v>5592</v>
      </c>
      <c r="D2391" s="125">
        <v>0.3333333333333333</v>
      </c>
      <c r="E2391" s="125">
        <v>0.6666666666666666</v>
      </c>
    </row>
    <row r="2392">
      <c r="A2392" s="26" t="s">
        <v>261</v>
      </c>
      <c r="B2392" s="124">
        <v>45827.0</v>
      </c>
      <c r="C2392" s="26" t="s">
        <v>5592</v>
      </c>
      <c r="D2392" s="125">
        <v>0.4166666666666667</v>
      </c>
      <c r="E2392" s="125">
        <v>0.75</v>
      </c>
    </row>
    <row r="2393">
      <c r="A2393" s="26" t="s">
        <v>265</v>
      </c>
      <c r="B2393" s="124">
        <v>45827.0</v>
      </c>
      <c r="C2393" s="26" t="s">
        <v>5592</v>
      </c>
      <c r="D2393" s="125">
        <v>0.3333333333333333</v>
      </c>
      <c r="E2393" s="125">
        <v>0.6666666666666666</v>
      </c>
    </row>
    <row r="2394">
      <c r="A2394" s="26" t="s">
        <v>269</v>
      </c>
      <c r="B2394" s="124">
        <v>45827.0</v>
      </c>
      <c r="C2394" s="26" t="s">
        <v>5592</v>
      </c>
      <c r="D2394" s="125">
        <v>0.3333333333333333</v>
      </c>
      <c r="E2394" s="125">
        <v>0.6666666666666666</v>
      </c>
    </row>
    <row r="2395">
      <c r="A2395" s="26" t="s">
        <v>276</v>
      </c>
      <c r="B2395" s="124">
        <v>45827.0</v>
      </c>
      <c r="C2395" s="26" t="s">
        <v>5592</v>
      </c>
      <c r="D2395" s="125">
        <v>0.3333333333333333</v>
      </c>
      <c r="E2395" s="125">
        <v>0.6666666666666666</v>
      </c>
    </row>
    <row r="2396">
      <c r="A2396" s="26" t="s">
        <v>280</v>
      </c>
      <c r="B2396" s="124">
        <v>45827.0</v>
      </c>
      <c r="C2396" s="26" t="s">
        <v>5592</v>
      </c>
      <c r="D2396" s="125">
        <v>0.4166666666666667</v>
      </c>
      <c r="E2396" s="125">
        <v>0.75</v>
      </c>
    </row>
    <row r="2397">
      <c r="A2397" s="26" t="s">
        <v>243</v>
      </c>
      <c r="B2397" s="124">
        <v>45826.0</v>
      </c>
      <c r="C2397" s="26" t="s">
        <v>5592</v>
      </c>
      <c r="D2397" s="125">
        <v>0.3333333333333333</v>
      </c>
      <c r="E2397" s="125">
        <v>0.6666666666666666</v>
      </c>
    </row>
    <row r="2398">
      <c r="A2398" s="26" t="s">
        <v>248</v>
      </c>
      <c r="B2398" s="124">
        <v>45826.0</v>
      </c>
      <c r="C2398" s="26" t="s">
        <v>5592</v>
      </c>
      <c r="D2398" s="125">
        <v>0.3333333333333333</v>
      </c>
      <c r="E2398" s="125">
        <v>0.6666666666666666</v>
      </c>
    </row>
    <row r="2399">
      <c r="A2399" s="26" t="s">
        <v>253</v>
      </c>
      <c r="B2399" s="124">
        <v>45826.0</v>
      </c>
      <c r="C2399" s="26" t="s">
        <v>5592</v>
      </c>
      <c r="D2399" s="125">
        <v>0.4166666666666667</v>
      </c>
      <c r="E2399" s="125">
        <v>0.75</v>
      </c>
    </row>
    <row r="2400">
      <c r="A2400" s="26" t="s">
        <v>258</v>
      </c>
      <c r="B2400" s="124">
        <v>45826.0</v>
      </c>
      <c r="C2400" s="26" t="s">
        <v>5592</v>
      </c>
      <c r="D2400" s="125">
        <v>0.3333333333333333</v>
      </c>
      <c r="E2400" s="125">
        <v>0.6666666666666666</v>
      </c>
    </row>
    <row r="2401">
      <c r="A2401" s="26" t="s">
        <v>261</v>
      </c>
      <c r="B2401" s="124">
        <v>45826.0</v>
      </c>
      <c r="C2401" s="26" t="s">
        <v>5592</v>
      </c>
      <c r="D2401" s="125">
        <v>0.4166666666666667</v>
      </c>
      <c r="E2401" s="125">
        <v>0.75</v>
      </c>
    </row>
    <row r="2402">
      <c r="A2402" s="26" t="s">
        <v>265</v>
      </c>
      <c r="B2402" s="124">
        <v>45826.0</v>
      </c>
      <c r="C2402" s="26" t="s">
        <v>5592</v>
      </c>
      <c r="D2402" s="125">
        <v>0.3333333333333333</v>
      </c>
      <c r="E2402" s="125">
        <v>0.6666666666666666</v>
      </c>
    </row>
    <row r="2403">
      <c r="A2403" s="26" t="s">
        <v>269</v>
      </c>
      <c r="B2403" s="124">
        <v>45826.0</v>
      </c>
      <c r="C2403" s="26" t="s">
        <v>5592</v>
      </c>
      <c r="D2403" s="125">
        <v>0.3333333333333333</v>
      </c>
      <c r="E2403" s="125">
        <v>0.6666666666666666</v>
      </c>
    </row>
    <row r="2404">
      <c r="A2404" s="26" t="s">
        <v>276</v>
      </c>
      <c r="B2404" s="124">
        <v>45826.0</v>
      </c>
      <c r="C2404" s="26" t="s">
        <v>5592</v>
      </c>
      <c r="D2404" s="125">
        <v>0.3333333333333333</v>
      </c>
      <c r="E2404" s="125">
        <v>0.6666666666666666</v>
      </c>
    </row>
    <row r="2405">
      <c r="A2405" s="26" t="s">
        <v>280</v>
      </c>
      <c r="B2405" s="124">
        <v>45826.0</v>
      </c>
      <c r="C2405" s="26" t="s">
        <v>5592</v>
      </c>
      <c r="D2405" s="125">
        <v>0.4166666666666667</v>
      </c>
      <c r="E2405" s="125">
        <v>0.75</v>
      </c>
    </row>
    <row r="2406">
      <c r="A2406" s="26" t="s">
        <v>243</v>
      </c>
      <c r="B2406" s="124">
        <v>45825.0</v>
      </c>
      <c r="C2406" s="26" t="s">
        <v>5592</v>
      </c>
      <c r="D2406" s="125">
        <v>0.3333333333333333</v>
      </c>
      <c r="E2406" s="125">
        <v>0.6666666666666666</v>
      </c>
    </row>
    <row r="2407">
      <c r="A2407" s="26" t="s">
        <v>248</v>
      </c>
      <c r="B2407" s="124">
        <v>45825.0</v>
      </c>
      <c r="C2407" s="26" t="s">
        <v>5592</v>
      </c>
      <c r="D2407" s="125">
        <v>0.3333333333333333</v>
      </c>
      <c r="E2407" s="125">
        <v>0.6666666666666666</v>
      </c>
    </row>
    <row r="2408">
      <c r="A2408" s="26" t="s">
        <v>253</v>
      </c>
      <c r="B2408" s="124">
        <v>45825.0</v>
      </c>
      <c r="C2408" s="26" t="s">
        <v>5592</v>
      </c>
      <c r="D2408" s="125">
        <v>0.4166666666666667</v>
      </c>
      <c r="E2408" s="125">
        <v>0.75</v>
      </c>
    </row>
    <row r="2409">
      <c r="A2409" s="26" t="s">
        <v>258</v>
      </c>
      <c r="B2409" s="124">
        <v>45825.0</v>
      </c>
      <c r="C2409" s="26" t="s">
        <v>5592</v>
      </c>
      <c r="D2409" s="125">
        <v>0.3333333333333333</v>
      </c>
      <c r="E2409" s="125">
        <v>0.6666666666666666</v>
      </c>
    </row>
    <row r="2410">
      <c r="A2410" s="26" t="s">
        <v>261</v>
      </c>
      <c r="B2410" s="124">
        <v>45825.0</v>
      </c>
      <c r="C2410" s="26" t="s">
        <v>5592</v>
      </c>
      <c r="D2410" s="125">
        <v>0.4166666666666667</v>
      </c>
      <c r="E2410" s="125">
        <v>0.75</v>
      </c>
    </row>
    <row r="2411">
      <c r="A2411" s="26" t="s">
        <v>265</v>
      </c>
      <c r="B2411" s="124">
        <v>45825.0</v>
      </c>
      <c r="C2411" s="26" t="s">
        <v>5592</v>
      </c>
      <c r="D2411" s="125">
        <v>0.3333333333333333</v>
      </c>
      <c r="E2411" s="125">
        <v>0.6666666666666666</v>
      </c>
    </row>
    <row r="2412">
      <c r="A2412" s="26" t="s">
        <v>269</v>
      </c>
      <c r="B2412" s="124">
        <v>45825.0</v>
      </c>
      <c r="C2412" s="26" t="s">
        <v>5592</v>
      </c>
      <c r="D2412" s="125">
        <v>0.3333333333333333</v>
      </c>
      <c r="E2412" s="125">
        <v>0.6666666666666666</v>
      </c>
    </row>
    <row r="2413">
      <c r="A2413" s="26" t="s">
        <v>276</v>
      </c>
      <c r="B2413" s="124">
        <v>45825.0</v>
      </c>
      <c r="C2413" s="26" t="s">
        <v>5592</v>
      </c>
      <c r="D2413" s="125">
        <v>0.3333333333333333</v>
      </c>
      <c r="E2413" s="125">
        <v>0.6666666666666666</v>
      </c>
    </row>
    <row r="2414">
      <c r="A2414" s="26" t="s">
        <v>280</v>
      </c>
      <c r="B2414" s="124">
        <v>45825.0</v>
      </c>
      <c r="C2414" s="26" t="s">
        <v>5592</v>
      </c>
      <c r="D2414" s="125">
        <v>0.4166666666666667</v>
      </c>
      <c r="E2414" s="125">
        <v>0.75</v>
      </c>
    </row>
    <row r="2415">
      <c r="A2415" s="26" t="s">
        <v>243</v>
      </c>
      <c r="B2415" s="124">
        <v>45824.0</v>
      </c>
      <c r="C2415" s="26" t="s">
        <v>5592</v>
      </c>
      <c r="D2415" s="125">
        <v>0.3333333333333333</v>
      </c>
      <c r="E2415" s="125">
        <v>0.6666666666666666</v>
      </c>
    </row>
    <row r="2416">
      <c r="A2416" s="26" t="s">
        <v>248</v>
      </c>
      <c r="B2416" s="124">
        <v>45824.0</v>
      </c>
      <c r="C2416" s="26" t="s">
        <v>5592</v>
      </c>
      <c r="D2416" s="125">
        <v>0.3333333333333333</v>
      </c>
      <c r="E2416" s="125">
        <v>0.6666666666666666</v>
      </c>
    </row>
    <row r="2417">
      <c r="A2417" s="26" t="s">
        <v>253</v>
      </c>
      <c r="B2417" s="124">
        <v>45824.0</v>
      </c>
      <c r="C2417" s="26" t="s">
        <v>5592</v>
      </c>
      <c r="D2417" s="125">
        <v>0.4166666666666667</v>
      </c>
      <c r="E2417" s="125">
        <v>0.75</v>
      </c>
    </row>
    <row r="2418">
      <c r="A2418" s="26" t="s">
        <v>258</v>
      </c>
      <c r="B2418" s="124">
        <v>45824.0</v>
      </c>
      <c r="C2418" s="26" t="s">
        <v>5592</v>
      </c>
      <c r="D2418" s="125">
        <v>0.3333333333333333</v>
      </c>
      <c r="E2418" s="125">
        <v>0.6666666666666666</v>
      </c>
    </row>
    <row r="2419">
      <c r="A2419" s="26" t="s">
        <v>261</v>
      </c>
      <c r="B2419" s="124">
        <v>45824.0</v>
      </c>
      <c r="C2419" s="26" t="s">
        <v>5592</v>
      </c>
      <c r="D2419" s="125">
        <v>0.4166666666666667</v>
      </c>
      <c r="E2419" s="125">
        <v>0.75</v>
      </c>
    </row>
    <row r="2420">
      <c r="A2420" s="26" t="s">
        <v>265</v>
      </c>
      <c r="B2420" s="124">
        <v>45824.0</v>
      </c>
      <c r="C2420" s="26" t="s">
        <v>5592</v>
      </c>
      <c r="D2420" s="125">
        <v>0.3333333333333333</v>
      </c>
      <c r="E2420" s="125">
        <v>0.6666666666666666</v>
      </c>
    </row>
    <row r="2421">
      <c r="A2421" s="26" t="s">
        <v>269</v>
      </c>
      <c r="B2421" s="124">
        <v>45824.0</v>
      </c>
      <c r="C2421" s="26" t="s">
        <v>5592</v>
      </c>
      <c r="D2421" s="125">
        <v>0.3333333333333333</v>
      </c>
      <c r="E2421" s="125">
        <v>0.6666666666666666</v>
      </c>
    </row>
    <row r="2422">
      <c r="A2422" s="26" t="s">
        <v>276</v>
      </c>
      <c r="B2422" s="124">
        <v>45824.0</v>
      </c>
      <c r="C2422" s="26" t="s">
        <v>5592</v>
      </c>
      <c r="D2422" s="125">
        <v>0.3333333333333333</v>
      </c>
      <c r="E2422" s="125">
        <v>0.6666666666666666</v>
      </c>
    </row>
    <row r="2423">
      <c r="A2423" s="26" t="s">
        <v>280</v>
      </c>
      <c r="B2423" s="124">
        <v>45824.0</v>
      </c>
      <c r="C2423" s="26" t="s">
        <v>5592</v>
      </c>
      <c r="D2423" s="125">
        <v>0.4166666666666667</v>
      </c>
      <c r="E2423" s="125">
        <v>0.75</v>
      </c>
    </row>
    <row r="2424">
      <c r="A2424" s="26" t="s">
        <v>243</v>
      </c>
      <c r="B2424" s="124">
        <v>45822.0</v>
      </c>
      <c r="C2424" s="26" t="s">
        <v>5592</v>
      </c>
      <c r="D2424" s="125">
        <v>0.3333333333333333</v>
      </c>
      <c r="E2424" s="125">
        <v>0.6666666666666666</v>
      </c>
    </row>
    <row r="2425">
      <c r="A2425" s="26" t="s">
        <v>248</v>
      </c>
      <c r="B2425" s="124">
        <v>45822.0</v>
      </c>
      <c r="C2425" s="26" t="s">
        <v>5592</v>
      </c>
      <c r="D2425" s="125">
        <v>0.3333333333333333</v>
      </c>
      <c r="E2425" s="125">
        <v>0.6666666666666666</v>
      </c>
    </row>
    <row r="2426">
      <c r="A2426" s="26" t="s">
        <v>253</v>
      </c>
      <c r="B2426" s="124">
        <v>45822.0</v>
      </c>
      <c r="C2426" s="26" t="s">
        <v>5592</v>
      </c>
      <c r="D2426" s="125">
        <v>0.4166666666666667</v>
      </c>
      <c r="E2426" s="125">
        <v>0.75</v>
      </c>
    </row>
    <row r="2427">
      <c r="A2427" s="26" t="s">
        <v>258</v>
      </c>
      <c r="B2427" s="124">
        <v>45822.0</v>
      </c>
      <c r="C2427" s="26" t="s">
        <v>5592</v>
      </c>
      <c r="D2427" s="125">
        <v>0.3333333333333333</v>
      </c>
      <c r="E2427" s="125">
        <v>0.6666666666666666</v>
      </c>
    </row>
    <row r="2428">
      <c r="A2428" s="26" t="s">
        <v>261</v>
      </c>
      <c r="B2428" s="124">
        <v>45822.0</v>
      </c>
      <c r="C2428" s="26" t="s">
        <v>5592</v>
      </c>
      <c r="D2428" s="125">
        <v>0.4166666666666667</v>
      </c>
      <c r="E2428" s="125">
        <v>0.75</v>
      </c>
    </row>
    <row r="2429">
      <c r="A2429" s="26" t="s">
        <v>265</v>
      </c>
      <c r="B2429" s="124">
        <v>45822.0</v>
      </c>
      <c r="C2429" s="26" t="s">
        <v>5592</v>
      </c>
      <c r="D2429" s="125">
        <v>0.3333333333333333</v>
      </c>
      <c r="E2429" s="125">
        <v>0.6666666666666666</v>
      </c>
    </row>
    <row r="2430">
      <c r="A2430" s="26" t="s">
        <v>269</v>
      </c>
      <c r="B2430" s="124">
        <v>45822.0</v>
      </c>
      <c r="C2430" s="26" t="s">
        <v>5592</v>
      </c>
      <c r="D2430" s="125">
        <v>0.3333333333333333</v>
      </c>
      <c r="E2430" s="125">
        <v>0.6666666666666666</v>
      </c>
    </row>
    <row r="2431">
      <c r="A2431" s="26" t="s">
        <v>276</v>
      </c>
      <c r="B2431" s="124">
        <v>45822.0</v>
      </c>
      <c r="C2431" s="26" t="s">
        <v>5592</v>
      </c>
      <c r="D2431" s="125">
        <v>0.3333333333333333</v>
      </c>
      <c r="E2431" s="125">
        <v>0.6666666666666666</v>
      </c>
    </row>
    <row r="2432">
      <c r="A2432" s="26" t="s">
        <v>280</v>
      </c>
      <c r="B2432" s="124">
        <v>45822.0</v>
      </c>
      <c r="C2432" s="26" t="s">
        <v>5592</v>
      </c>
      <c r="D2432" s="125">
        <v>0.4166666666666667</v>
      </c>
      <c r="E2432" s="125">
        <v>0.75</v>
      </c>
    </row>
    <row r="2433">
      <c r="A2433" s="26" t="s">
        <v>243</v>
      </c>
      <c r="B2433" s="124">
        <v>45821.0</v>
      </c>
      <c r="C2433" s="26" t="s">
        <v>5592</v>
      </c>
      <c r="D2433" s="125">
        <v>0.3333333333333333</v>
      </c>
      <c r="E2433" s="125">
        <v>0.6666666666666666</v>
      </c>
    </row>
    <row r="2434">
      <c r="A2434" s="26" t="s">
        <v>248</v>
      </c>
      <c r="B2434" s="124">
        <v>45821.0</v>
      </c>
      <c r="C2434" s="26" t="s">
        <v>5592</v>
      </c>
      <c r="D2434" s="125">
        <v>0.3333333333333333</v>
      </c>
      <c r="E2434" s="125">
        <v>0.6666666666666666</v>
      </c>
    </row>
    <row r="2435">
      <c r="A2435" s="26" t="s">
        <v>253</v>
      </c>
      <c r="B2435" s="124">
        <v>45821.0</v>
      </c>
      <c r="C2435" s="26" t="s">
        <v>5592</v>
      </c>
      <c r="D2435" s="125">
        <v>0.4166666666666667</v>
      </c>
      <c r="E2435" s="125">
        <v>0.75</v>
      </c>
    </row>
    <row r="2436">
      <c r="A2436" s="26" t="s">
        <v>258</v>
      </c>
      <c r="B2436" s="124">
        <v>45821.0</v>
      </c>
      <c r="C2436" s="26" t="s">
        <v>5592</v>
      </c>
      <c r="D2436" s="125">
        <v>0.3333333333333333</v>
      </c>
      <c r="E2436" s="125">
        <v>0.6666666666666666</v>
      </c>
    </row>
    <row r="2437">
      <c r="A2437" s="26" t="s">
        <v>261</v>
      </c>
      <c r="B2437" s="124">
        <v>45821.0</v>
      </c>
      <c r="C2437" s="26" t="s">
        <v>5592</v>
      </c>
      <c r="D2437" s="125">
        <v>0.4166666666666667</v>
      </c>
      <c r="E2437" s="125">
        <v>0.75</v>
      </c>
    </row>
    <row r="2438">
      <c r="A2438" s="26" t="s">
        <v>265</v>
      </c>
      <c r="B2438" s="124">
        <v>45821.0</v>
      </c>
      <c r="C2438" s="26" t="s">
        <v>5592</v>
      </c>
      <c r="D2438" s="125">
        <v>0.3333333333333333</v>
      </c>
      <c r="E2438" s="125">
        <v>0.6666666666666666</v>
      </c>
    </row>
    <row r="2439">
      <c r="A2439" s="26" t="s">
        <v>269</v>
      </c>
      <c r="B2439" s="124">
        <v>45821.0</v>
      </c>
      <c r="C2439" s="26" t="s">
        <v>5592</v>
      </c>
      <c r="D2439" s="125">
        <v>0.3333333333333333</v>
      </c>
      <c r="E2439" s="125">
        <v>0.6666666666666666</v>
      </c>
    </row>
    <row r="2440">
      <c r="A2440" s="26" t="s">
        <v>276</v>
      </c>
      <c r="B2440" s="124">
        <v>45821.0</v>
      </c>
      <c r="C2440" s="26" t="s">
        <v>5592</v>
      </c>
      <c r="D2440" s="125">
        <v>0.3333333333333333</v>
      </c>
      <c r="E2440" s="125">
        <v>0.6666666666666666</v>
      </c>
    </row>
    <row r="2441">
      <c r="A2441" s="26" t="s">
        <v>280</v>
      </c>
      <c r="B2441" s="124">
        <v>45821.0</v>
      </c>
      <c r="C2441" s="26" t="s">
        <v>5592</v>
      </c>
      <c r="D2441" s="125">
        <v>0.4166666666666667</v>
      </c>
      <c r="E2441" s="125">
        <v>0.75</v>
      </c>
    </row>
    <row r="2442">
      <c r="A2442" s="26" t="s">
        <v>243</v>
      </c>
      <c r="B2442" s="124">
        <v>45820.0</v>
      </c>
      <c r="C2442" s="26" t="s">
        <v>5592</v>
      </c>
      <c r="D2442" s="125">
        <v>0.3333333333333333</v>
      </c>
      <c r="E2442" s="125">
        <v>0.6666666666666666</v>
      </c>
    </row>
    <row r="2443">
      <c r="A2443" s="26" t="s">
        <v>248</v>
      </c>
      <c r="B2443" s="124">
        <v>45820.0</v>
      </c>
      <c r="C2443" s="26" t="s">
        <v>5592</v>
      </c>
      <c r="D2443" s="125">
        <v>0.3333333333333333</v>
      </c>
      <c r="E2443" s="125">
        <v>0.6666666666666666</v>
      </c>
    </row>
    <row r="2444">
      <c r="A2444" s="26" t="s">
        <v>253</v>
      </c>
      <c r="B2444" s="124">
        <v>45820.0</v>
      </c>
      <c r="C2444" s="26" t="s">
        <v>5592</v>
      </c>
      <c r="D2444" s="125">
        <v>0.4166666666666667</v>
      </c>
      <c r="E2444" s="125">
        <v>0.75</v>
      </c>
    </row>
    <row r="2445">
      <c r="A2445" s="26" t="s">
        <v>258</v>
      </c>
      <c r="B2445" s="124">
        <v>45820.0</v>
      </c>
      <c r="C2445" s="26" t="s">
        <v>5592</v>
      </c>
      <c r="D2445" s="125">
        <v>0.3333333333333333</v>
      </c>
      <c r="E2445" s="125">
        <v>0.6666666666666666</v>
      </c>
    </row>
    <row r="2446">
      <c r="A2446" s="26" t="s">
        <v>261</v>
      </c>
      <c r="B2446" s="124">
        <v>45820.0</v>
      </c>
      <c r="C2446" s="26" t="s">
        <v>5592</v>
      </c>
      <c r="D2446" s="125">
        <v>0.4166666666666667</v>
      </c>
      <c r="E2446" s="125">
        <v>0.75</v>
      </c>
    </row>
    <row r="2447">
      <c r="A2447" s="26" t="s">
        <v>265</v>
      </c>
      <c r="B2447" s="124">
        <v>45820.0</v>
      </c>
      <c r="C2447" s="26" t="s">
        <v>5592</v>
      </c>
      <c r="D2447" s="125">
        <v>0.3333333333333333</v>
      </c>
      <c r="E2447" s="125">
        <v>0.6666666666666666</v>
      </c>
    </row>
    <row r="2448">
      <c r="A2448" s="26" t="s">
        <v>269</v>
      </c>
      <c r="B2448" s="124">
        <v>45820.0</v>
      </c>
      <c r="C2448" s="26" t="s">
        <v>5592</v>
      </c>
      <c r="D2448" s="125">
        <v>0.3333333333333333</v>
      </c>
      <c r="E2448" s="125">
        <v>0.6666666666666666</v>
      </c>
    </row>
    <row r="2449">
      <c r="A2449" s="26" t="s">
        <v>276</v>
      </c>
      <c r="B2449" s="124">
        <v>45820.0</v>
      </c>
      <c r="C2449" s="26" t="s">
        <v>5592</v>
      </c>
      <c r="D2449" s="125">
        <v>0.3333333333333333</v>
      </c>
      <c r="E2449" s="125">
        <v>0.6666666666666666</v>
      </c>
    </row>
    <row r="2450">
      <c r="A2450" s="26" t="s">
        <v>280</v>
      </c>
      <c r="B2450" s="124">
        <v>45820.0</v>
      </c>
      <c r="C2450" s="26" t="s">
        <v>5592</v>
      </c>
      <c r="D2450" s="125">
        <v>0.4166666666666667</v>
      </c>
      <c r="E2450" s="125">
        <v>0.75</v>
      </c>
    </row>
    <row r="2451">
      <c r="A2451" s="26" t="s">
        <v>243</v>
      </c>
      <c r="B2451" s="124">
        <v>45819.0</v>
      </c>
      <c r="C2451" s="26" t="s">
        <v>5592</v>
      </c>
      <c r="D2451" s="125">
        <v>0.3333333333333333</v>
      </c>
      <c r="E2451" s="125">
        <v>0.6666666666666666</v>
      </c>
    </row>
    <row r="2452">
      <c r="A2452" s="26" t="s">
        <v>248</v>
      </c>
      <c r="B2452" s="124">
        <v>45819.0</v>
      </c>
      <c r="C2452" s="26" t="s">
        <v>5592</v>
      </c>
      <c r="D2452" s="125">
        <v>0.3333333333333333</v>
      </c>
      <c r="E2452" s="125">
        <v>0.6666666666666666</v>
      </c>
    </row>
    <row r="2453">
      <c r="A2453" s="26" t="s">
        <v>253</v>
      </c>
      <c r="B2453" s="124">
        <v>45819.0</v>
      </c>
      <c r="C2453" s="26" t="s">
        <v>5592</v>
      </c>
      <c r="D2453" s="125">
        <v>0.4166666666666667</v>
      </c>
      <c r="E2453" s="125">
        <v>0.75</v>
      </c>
    </row>
    <row r="2454">
      <c r="A2454" s="26" t="s">
        <v>258</v>
      </c>
      <c r="B2454" s="124">
        <v>45819.0</v>
      </c>
      <c r="C2454" s="26" t="s">
        <v>5592</v>
      </c>
      <c r="D2454" s="125">
        <v>0.3333333333333333</v>
      </c>
      <c r="E2454" s="125">
        <v>0.6666666666666666</v>
      </c>
    </row>
    <row r="2455">
      <c r="A2455" s="26" t="s">
        <v>261</v>
      </c>
      <c r="B2455" s="124">
        <v>45819.0</v>
      </c>
      <c r="C2455" s="26" t="s">
        <v>5592</v>
      </c>
      <c r="D2455" s="125">
        <v>0.4166666666666667</v>
      </c>
      <c r="E2455" s="125">
        <v>0.75</v>
      </c>
    </row>
    <row r="2456">
      <c r="A2456" s="26" t="s">
        <v>265</v>
      </c>
      <c r="B2456" s="124">
        <v>45819.0</v>
      </c>
      <c r="C2456" s="26" t="s">
        <v>5592</v>
      </c>
      <c r="D2456" s="125">
        <v>0.3333333333333333</v>
      </c>
      <c r="E2456" s="125">
        <v>0.6666666666666666</v>
      </c>
    </row>
    <row r="2457">
      <c r="A2457" s="26" t="s">
        <v>269</v>
      </c>
      <c r="B2457" s="124">
        <v>45819.0</v>
      </c>
      <c r="C2457" s="26" t="s">
        <v>5592</v>
      </c>
      <c r="D2457" s="125">
        <v>0.3333333333333333</v>
      </c>
      <c r="E2457" s="125">
        <v>0.6666666666666666</v>
      </c>
    </row>
    <row r="2458">
      <c r="A2458" s="26" t="s">
        <v>276</v>
      </c>
      <c r="B2458" s="124">
        <v>45819.0</v>
      </c>
      <c r="C2458" s="26" t="s">
        <v>5592</v>
      </c>
      <c r="D2458" s="125">
        <v>0.3333333333333333</v>
      </c>
      <c r="E2458" s="125">
        <v>0.6666666666666666</v>
      </c>
    </row>
    <row r="2459">
      <c r="A2459" s="26" t="s">
        <v>280</v>
      </c>
      <c r="B2459" s="124">
        <v>45819.0</v>
      </c>
      <c r="C2459" s="26" t="s">
        <v>5592</v>
      </c>
      <c r="D2459" s="125">
        <v>0.4166666666666667</v>
      </c>
      <c r="E2459" s="125">
        <v>0.75</v>
      </c>
    </row>
    <row r="2460">
      <c r="A2460" s="26" t="s">
        <v>243</v>
      </c>
      <c r="B2460" s="124">
        <v>45818.0</v>
      </c>
      <c r="C2460" s="26" t="s">
        <v>5592</v>
      </c>
      <c r="D2460" s="125">
        <v>0.3333333333333333</v>
      </c>
      <c r="E2460" s="125">
        <v>0.6666666666666666</v>
      </c>
    </row>
    <row r="2461">
      <c r="A2461" s="26" t="s">
        <v>248</v>
      </c>
      <c r="B2461" s="124">
        <v>45818.0</v>
      </c>
      <c r="C2461" s="26" t="s">
        <v>5592</v>
      </c>
      <c r="D2461" s="125">
        <v>0.3333333333333333</v>
      </c>
      <c r="E2461" s="125">
        <v>0.6666666666666666</v>
      </c>
    </row>
    <row r="2462">
      <c r="A2462" s="26" t="s">
        <v>253</v>
      </c>
      <c r="B2462" s="124">
        <v>45818.0</v>
      </c>
      <c r="C2462" s="26" t="s">
        <v>5592</v>
      </c>
      <c r="D2462" s="125">
        <v>0.4166666666666667</v>
      </c>
      <c r="E2462" s="125">
        <v>0.75</v>
      </c>
    </row>
    <row r="2463">
      <c r="A2463" s="26" t="s">
        <v>258</v>
      </c>
      <c r="B2463" s="124">
        <v>45818.0</v>
      </c>
      <c r="C2463" s="26" t="s">
        <v>5592</v>
      </c>
      <c r="D2463" s="125">
        <v>0.3333333333333333</v>
      </c>
      <c r="E2463" s="125">
        <v>0.6666666666666666</v>
      </c>
    </row>
    <row r="2464">
      <c r="A2464" s="26" t="s">
        <v>261</v>
      </c>
      <c r="B2464" s="124">
        <v>45818.0</v>
      </c>
      <c r="C2464" s="26" t="s">
        <v>5592</v>
      </c>
      <c r="D2464" s="125">
        <v>0.4166666666666667</v>
      </c>
      <c r="E2464" s="125">
        <v>0.75</v>
      </c>
    </row>
    <row r="2465">
      <c r="A2465" s="26" t="s">
        <v>265</v>
      </c>
      <c r="B2465" s="124">
        <v>45818.0</v>
      </c>
      <c r="C2465" s="26" t="s">
        <v>5592</v>
      </c>
      <c r="D2465" s="125">
        <v>0.3333333333333333</v>
      </c>
      <c r="E2465" s="125">
        <v>0.6666666666666666</v>
      </c>
    </row>
    <row r="2466">
      <c r="A2466" s="26" t="s">
        <v>269</v>
      </c>
      <c r="B2466" s="124">
        <v>45818.0</v>
      </c>
      <c r="C2466" s="26" t="s">
        <v>5592</v>
      </c>
      <c r="D2466" s="125">
        <v>0.3333333333333333</v>
      </c>
      <c r="E2466" s="125">
        <v>0.6666666666666666</v>
      </c>
    </row>
    <row r="2467">
      <c r="A2467" s="26" t="s">
        <v>276</v>
      </c>
      <c r="B2467" s="124">
        <v>45818.0</v>
      </c>
      <c r="C2467" s="26" t="s">
        <v>5592</v>
      </c>
      <c r="D2467" s="125">
        <v>0.3333333333333333</v>
      </c>
      <c r="E2467" s="125">
        <v>0.6666666666666666</v>
      </c>
    </row>
    <row r="2468">
      <c r="A2468" s="26" t="s">
        <v>280</v>
      </c>
      <c r="B2468" s="124">
        <v>45818.0</v>
      </c>
      <c r="C2468" s="26" t="s">
        <v>5592</v>
      </c>
      <c r="D2468" s="125">
        <v>0.4166666666666667</v>
      </c>
      <c r="E2468" s="125">
        <v>0.75</v>
      </c>
    </row>
    <row r="2469">
      <c r="A2469" s="26" t="s">
        <v>243</v>
      </c>
      <c r="B2469" s="124">
        <v>45817.0</v>
      </c>
      <c r="C2469" s="26" t="s">
        <v>5592</v>
      </c>
      <c r="D2469" s="125">
        <v>0.3333333333333333</v>
      </c>
      <c r="E2469" s="125">
        <v>0.6666666666666666</v>
      </c>
    </row>
    <row r="2470">
      <c r="A2470" s="26" t="s">
        <v>248</v>
      </c>
      <c r="B2470" s="124">
        <v>45817.0</v>
      </c>
      <c r="C2470" s="26" t="s">
        <v>5592</v>
      </c>
      <c r="D2470" s="125">
        <v>0.3333333333333333</v>
      </c>
      <c r="E2470" s="125">
        <v>0.6666666666666666</v>
      </c>
    </row>
    <row r="2471">
      <c r="A2471" s="26" t="s">
        <v>253</v>
      </c>
      <c r="B2471" s="124">
        <v>45817.0</v>
      </c>
      <c r="C2471" s="26" t="s">
        <v>5592</v>
      </c>
      <c r="D2471" s="125">
        <v>0.4166666666666667</v>
      </c>
      <c r="E2471" s="125">
        <v>0.75</v>
      </c>
    </row>
    <row r="2472">
      <c r="A2472" s="26" t="s">
        <v>258</v>
      </c>
      <c r="B2472" s="124">
        <v>45817.0</v>
      </c>
      <c r="C2472" s="26" t="s">
        <v>5592</v>
      </c>
      <c r="D2472" s="125">
        <v>0.3333333333333333</v>
      </c>
      <c r="E2472" s="125">
        <v>0.6666666666666666</v>
      </c>
    </row>
    <row r="2473">
      <c r="A2473" s="26" t="s">
        <v>261</v>
      </c>
      <c r="B2473" s="124">
        <v>45817.0</v>
      </c>
      <c r="C2473" s="26" t="s">
        <v>5592</v>
      </c>
      <c r="D2473" s="125">
        <v>0.4166666666666667</v>
      </c>
      <c r="E2473" s="125">
        <v>0.75</v>
      </c>
    </row>
    <row r="2474">
      <c r="A2474" s="26" t="s">
        <v>265</v>
      </c>
      <c r="B2474" s="124">
        <v>45817.0</v>
      </c>
      <c r="C2474" s="26" t="s">
        <v>5592</v>
      </c>
      <c r="D2474" s="125">
        <v>0.3333333333333333</v>
      </c>
      <c r="E2474" s="125">
        <v>0.6666666666666666</v>
      </c>
    </row>
    <row r="2475">
      <c r="A2475" s="26" t="s">
        <v>269</v>
      </c>
      <c r="B2475" s="124">
        <v>45817.0</v>
      </c>
      <c r="C2475" s="26" t="s">
        <v>5592</v>
      </c>
      <c r="D2475" s="125">
        <v>0.3333333333333333</v>
      </c>
      <c r="E2475" s="125">
        <v>0.6666666666666666</v>
      </c>
    </row>
    <row r="2476">
      <c r="A2476" s="26" t="s">
        <v>276</v>
      </c>
      <c r="B2476" s="124">
        <v>45817.0</v>
      </c>
      <c r="C2476" s="26" t="s">
        <v>5592</v>
      </c>
      <c r="D2476" s="125">
        <v>0.3333333333333333</v>
      </c>
      <c r="E2476" s="125">
        <v>0.6666666666666666</v>
      </c>
    </row>
    <row r="2477">
      <c r="A2477" s="26" t="s">
        <v>280</v>
      </c>
      <c r="B2477" s="124">
        <v>45817.0</v>
      </c>
      <c r="C2477" s="26" t="s">
        <v>5592</v>
      </c>
      <c r="D2477" s="125">
        <v>0.4166666666666667</v>
      </c>
      <c r="E2477" s="125">
        <v>0.75</v>
      </c>
    </row>
    <row r="2478">
      <c r="A2478" s="26" t="s">
        <v>243</v>
      </c>
      <c r="B2478" s="124">
        <v>45815.0</v>
      </c>
      <c r="C2478" s="26" t="s">
        <v>5592</v>
      </c>
      <c r="D2478" s="125">
        <v>0.3333333333333333</v>
      </c>
      <c r="E2478" s="125">
        <v>0.6666666666666666</v>
      </c>
    </row>
    <row r="2479">
      <c r="A2479" s="26" t="s">
        <v>248</v>
      </c>
      <c r="B2479" s="124">
        <v>45815.0</v>
      </c>
      <c r="C2479" s="26" t="s">
        <v>5592</v>
      </c>
      <c r="D2479" s="125">
        <v>0.3333333333333333</v>
      </c>
      <c r="E2479" s="125">
        <v>0.6666666666666666</v>
      </c>
    </row>
    <row r="2480">
      <c r="A2480" s="26" t="s">
        <v>253</v>
      </c>
      <c r="B2480" s="124">
        <v>45815.0</v>
      </c>
      <c r="C2480" s="26" t="s">
        <v>5592</v>
      </c>
      <c r="D2480" s="125">
        <v>0.4166666666666667</v>
      </c>
      <c r="E2480" s="125">
        <v>0.75</v>
      </c>
    </row>
    <row r="2481">
      <c r="A2481" s="26" t="s">
        <v>258</v>
      </c>
      <c r="B2481" s="124">
        <v>45815.0</v>
      </c>
      <c r="C2481" s="26" t="s">
        <v>5592</v>
      </c>
      <c r="D2481" s="125">
        <v>0.3333333333333333</v>
      </c>
      <c r="E2481" s="125">
        <v>0.6666666666666666</v>
      </c>
    </row>
    <row r="2482">
      <c r="A2482" s="26" t="s">
        <v>261</v>
      </c>
      <c r="B2482" s="124">
        <v>45815.0</v>
      </c>
      <c r="C2482" s="26" t="s">
        <v>5592</v>
      </c>
      <c r="D2482" s="125">
        <v>0.4166666666666667</v>
      </c>
      <c r="E2482" s="125">
        <v>0.75</v>
      </c>
    </row>
    <row r="2483">
      <c r="A2483" s="26" t="s">
        <v>265</v>
      </c>
      <c r="B2483" s="124">
        <v>45815.0</v>
      </c>
      <c r="C2483" s="26" t="s">
        <v>5592</v>
      </c>
      <c r="D2483" s="125">
        <v>0.3333333333333333</v>
      </c>
      <c r="E2483" s="125">
        <v>0.6666666666666666</v>
      </c>
    </row>
    <row r="2484">
      <c r="A2484" s="26" t="s">
        <v>269</v>
      </c>
      <c r="B2484" s="124">
        <v>45815.0</v>
      </c>
      <c r="C2484" s="26" t="s">
        <v>5592</v>
      </c>
      <c r="D2484" s="125">
        <v>0.3333333333333333</v>
      </c>
      <c r="E2484" s="125">
        <v>0.6666666666666666</v>
      </c>
    </row>
    <row r="2485">
      <c r="A2485" s="26" t="s">
        <v>276</v>
      </c>
      <c r="B2485" s="124">
        <v>45815.0</v>
      </c>
      <c r="C2485" s="26" t="s">
        <v>5592</v>
      </c>
      <c r="D2485" s="125">
        <v>0.3333333333333333</v>
      </c>
      <c r="E2485" s="125">
        <v>0.6666666666666666</v>
      </c>
    </row>
    <row r="2486">
      <c r="A2486" s="26" t="s">
        <v>280</v>
      </c>
      <c r="B2486" s="124">
        <v>45815.0</v>
      </c>
      <c r="C2486" s="26" t="s">
        <v>5592</v>
      </c>
      <c r="D2486" s="125">
        <v>0.4166666666666667</v>
      </c>
      <c r="E2486" s="125">
        <v>0.75</v>
      </c>
    </row>
    <row r="2487">
      <c r="A2487" s="26" t="s">
        <v>243</v>
      </c>
      <c r="B2487" s="124">
        <v>45814.0</v>
      </c>
      <c r="C2487" s="26" t="s">
        <v>5592</v>
      </c>
      <c r="D2487" s="125">
        <v>0.3333333333333333</v>
      </c>
      <c r="E2487" s="125">
        <v>0.6666666666666666</v>
      </c>
    </row>
    <row r="2488">
      <c r="A2488" s="26" t="s">
        <v>248</v>
      </c>
      <c r="B2488" s="124">
        <v>45814.0</v>
      </c>
      <c r="C2488" s="26" t="s">
        <v>5592</v>
      </c>
      <c r="D2488" s="125">
        <v>0.3333333333333333</v>
      </c>
      <c r="E2488" s="125">
        <v>0.6666666666666666</v>
      </c>
    </row>
    <row r="2489">
      <c r="A2489" s="26" t="s">
        <v>253</v>
      </c>
      <c r="B2489" s="124">
        <v>45814.0</v>
      </c>
      <c r="C2489" s="26" t="s">
        <v>5592</v>
      </c>
      <c r="D2489" s="125">
        <v>0.4166666666666667</v>
      </c>
      <c r="E2489" s="125">
        <v>0.75</v>
      </c>
    </row>
    <row r="2490">
      <c r="A2490" s="26" t="s">
        <v>258</v>
      </c>
      <c r="B2490" s="124">
        <v>45814.0</v>
      </c>
      <c r="C2490" s="26" t="s">
        <v>5592</v>
      </c>
      <c r="D2490" s="125">
        <v>0.3333333333333333</v>
      </c>
      <c r="E2490" s="125">
        <v>0.6666666666666666</v>
      </c>
    </row>
    <row r="2491">
      <c r="A2491" s="26" t="s">
        <v>261</v>
      </c>
      <c r="B2491" s="124">
        <v>45814.0</v>
      </c>
      <c r="C2491" s="26" t="s">
        <v>5592</v>
      </c>
      <c r="D2491" s="125">
        <v>0.4166666666666667</v>
      </c>
      <c r="E2491" s="125">
        <v>0.75</v>
      </c>
    </row>
    <row r="2492">
      <c r="A2492" s="26" t="s">
        <v>265</v>
      </c>
      <c r="B2492" s="124">
        <v>45814.0</v>
      </c>
      <c r="C2492" s="26" t="s">
        <v>5592</v>
      </c>
      <c r="D2492" s="125">
        <v>0.3333333333333333</v>
      </c>
      <c r="E2492" s="125">
        <v>0.6666666666666666</v>
      </c>
    </row>
    <row r="2493">
      <c r="A2493" s="26" t="s">
        <v>269</v>
      </c>
      <c r="B2493" s="124">
        <v>45814.0</v>
      </c>
      <c r="C2493" s="26" t="s">
        <v>5592</v>
      </c>
      <c r="D2493" s="125">
        <v>0.3333333333333333</v>
      </c>
      <c r="E2493" s="125">
        <v>0.6666666666666666</v>
      </c>
    </row>
    <row r="2494">
      <c r="A2494" s="26" t="s">
        <v>276</v>
      </c>
      <c r="B2494" s="124">
        <v>45814.0</v>
      </c>
      <c r="C2494" s="26" t="s">
        <v>5592</v>
      </c>
      <c r="D2494" s="125">
        <v>0.3333333333333333</v>
      </c>
      <c r="E2494" s="125">
        <v>0.6666666666666666</v>
      </c>
    </row>
    <row r="2495">
      <c r="A2495" s="26" t="s">
        <v>280</v>
      </c>
      <c r="B2495" s="124">
        <v>45814.0</v>
      </c>
      <c r="C2495" s="26" t="s">
        <v>5592</v>
      </c>
      <c r="D2495" s="125">
        <v>0.4166666666666667</v>
      </c>
      <c r="E2495" s="125">
        <v>0.75</v>
      </c>
    </row>
    <row r="2496">
      <c r="A2496" s="26" t="s">
        <v>243</v>
      </c>
      <c r="B2496" s="124">
        <v>45813.0</v>
      </c>
      <c r="C2496" s="26" t="s">
        <v>5592</v>
      </c>
      <c r="D2496" s="125">
        <v>0.3333333333333333</v>
      </c>
      <c r="E2496" s="125">
        <v>0.6666666666666666</v>
      </c>
    </row>
    <row r="2497">
      <c r="A2497" s="26" t="s">
        <v>248</v>
      </c>
      <c r="B2497" s="124">
        <v>45813.0</v>
      </c>
      <c r="C2497" s="26" t="s">
        <v>5592</v>
      </c>
      <c r="D2497" s="125">
        <v>0.3333333333333333</v>
      </c>
      <c r="E2497" s="125">
        <v>0.6666666666666666</v>
      </c>
    </row>
    <row r="2498">
      <c r="A2498" s="26" t="s">
        <v>253</v>
      </c>
      <c r="B2498" s="124">
        <v>45813.0</v>
      </c>
      <c r="C2498" s="26" t="s">
        <v>5592</v>
      </c>
      <c r="D2498" s="125">
        <v>0.4166666666666667</v>
      </c>
      <c r="E2498" s="125">
        <v>0.75</v>
      </c>
    </row>
    <row r="2499">
      <c r="A2499" s="26" t="s">
        <v>258</v>
      </c>
      <c r="B2499" s="124">
        <v>45813.0</v>
      </c>
      <c r="C2499" s="26" t="s">
        <v>5592</v>
      </c>
      <c r="D2499" s="125">
        <v>0.3333333333333333</v>
      </c>
      <c r="E2499" s="125">
        <v>0.6666666666666666</v>
      </c>
    </row>
    <row r="2500">
      <c r="A2500" s="26" t="s">
        <v>261</v>
      </c>
      <c r="B2500" s="124">
        <v>45813.0</v>
      </c>
      <c r="C2500" s="26" t="s">
        <v>5592</v>
      </c>
      <c r="D2500" s="125">
        <v>0.4166666666666667</v>
      </c>
      <c r="E2500" s="125">
        <v>0.75</v>
      </c>
    </row>
    <row r="2501">
      <c r="A2501" s="26" t="s">
        <v>265</v>
      </c>
      <c r="B2501" s="124">
        <v>45813.0</v>
      </c>
      <c r="C2501" s="26" t="s">
        <v>5592</v>
      </c>
      <c r="D2501" s="125">
        <v>0.3333333333333333</v>
      </c>
      <c r="E2501" s="125">
        <v>0.6666666666666666</v>
      </c>
    </row>
    <row r="2502">
      <c r="A2502" s="26" t="s">
        <v>269</v>
      </c>
      <c r="B2502" s="124">
        <v>45813.0</v>
      </c>
      <c r="C2502" s="26" t="s">
        <v>5592</v>
      </c>
      <c r="D2502" s="125">
        <v>0.3333333333333333</v>
      </c>
      <c r="E2502" s="125">
        <v>0.6666666666666666</v>
      </c>
    </row>
    <row r="2503">
      <c r="A2503" s="26" t="s">
        <v>276</v>
      </c>
      <c r="B2503" s="124">
        <v>45813.0</v>
      </c>
      <c r="C2503" s="26" t="s">
        <v>5592</v>
      </c>
      <c r="D2503" s="125">
        <v>0.3333333333333333</v>
      </c>
      <c r="E2503" s="125">
        <v>0.6666666666666666</v>
      </c>
    </row>
    <row r="2504">
      <c r="A2504" s="26" t="s">
        <v>280</v>
      </c>
      <c r="B2504" s="124">
        <v>45813.0</v>
      </c>
      <c r="C2504" s="26" t="s">
        <v>5592</v>
      </c>
      <c r="D2504" s="125">
        <v>0.4166666666666667</v>
      </c>
      <c r="E2504" s="125">
        <v>0.75</v>
      </c>
    </row>
    <row r="2505">
      <c r="A2505" s="26" t="s">
        <v>243</v>
      </c>
      <c r="B2505" s="124">
        <v>45812.0</v>
      </c>
      <c r="C2505" s="26" t="s">
        <v>5592</v>
      </c>
      <c r="D2505" s="125">
        <v>0.3333333333333333</v>
      </c>
      <c r="E2505" s="125">
        <v>0.6666666666666666</v>
      </c>
    </row>
    <row r="2506">
      <c r="A2506" s="26" t="s">
        <v>248</v>
      </c>
      <c r="B2506" s="124">
        <v>45812.0</v>
      </c>
      <c r="C2506" s="26" t="s">
        <v>5592</v>
      </c>
      <c r="D2506" s="125">
        <v>0.3333333333333333</v>
      </c>
      <c r="E2506" s="125">
        <v>0.6666666666666666</v>
      </c>
    </row>
    <row r="2507">
      <c r="A2507" s="26" t="s">
        <v>253</v>
      </c>
      <c r="B2507" s="124">
        <v>45812.0</v>
      </c>
      <c r="C2507" s="26" t="s">
        <v>5592</v>
      </c>
      <c r="D2507" s="125">
        <v>0.4166666666666667</v>
      </c>
      <c r="E2507" s="125">
        <v>0.75</v>
      </c>
    </row>
    <row r="2508">
      <c r="A2508" s="26" t="s">
        <v>258</v>
      </c>
      <c r="B2508" s="124">
        <v>45812.0</v>
      </c>
      <c r="C2508" s="26" t="s">
        <v>5592</v>
      </c>
      <c r="D2508" s="125">
        <v>0.3333333333333333</v>
      </c>
      <c r="E2508" s="125">
        <v>0.6666666666666666</v>
      </c>
    </row>
    <row r="2509">
      <c r="A2509" s="26" t="s">
        <v>261</v>
      </c>
      <c r="B2509" s="124">
        <v>45812.0</v>
      </c>
      <c r="C2509" s="26" t="s">
        <v>5592</v>
      </c>
      <c r="D2509" s="125">
        <v>0.4166666666666667</v>
      </c>
      <c r="E2509" s="125">
        <v>0.75</v>
      </c>
    </row>
    <row r="2510">
      <c r="A2510" s="26" t="s">
        <v>265</v>
      </c>
      <c r="B2510" s="124">
        <v>45812.0</v>
      </c>
      <c r="C2510" s="26" t="s">
        <v>5592</v>
      </c>
      <c r="D2510" s="125">
        <v>0.3333333333333333</v>
      </c>
      <c r="E2510" s="125">
        <v>0.6666666666666666</v>
      </c>
    </row>
    <row r="2511">
      <c r="A2511" s="26" t="s">
        <v>269</v>
      </c>
      <c r="B2511" s="124">
        <v>45812.0</v>
      </c>
      <c r="C2511" s="26" t="s">
        <v>5592</v>
      </c>
      <c r="D2511" s="125">
        <v>0.3333333333333333</v>
      </c>
      <c r="E2511" s="125">
        <v>0.6666666666666666</v>
      </c>
    </row>
    <row r="2512">
      <c r="A2512" s="26" t="s">
        <v>276</v>
      </c>
      <c r="B2512" s="124">
        <v>45812.0</v>
      </c>
      <c r="C2512" s="26" t="s">
        <v>5592</v>
      </c>
      <c r="D2512" s="125">
        <v>0.3333333333333333</v>
      </c>
      <c r="E2512" s="125">
        <v>0.6666666666666666</v>
      </c>
    </row>
    <row r="2513">
      <c r="A2513" s="26" t="s">
        <v>280</v>
      </c>
      <c r="B2513" s="124">
        <v>45812.0</v>
      </c>
      <c r="C2513" s="26" t="s">
        <v>5592</v>
      </c>
      <c r="D2513" s="125">
        <v>0.4166666666666667</v>
      </c>
      <c r="E2513" s="125">
        <v>0.75</v>
      </c>
    </row>
    <row r="2514">
      <c r="A2514" s="26" t="s">
        <v>243</v>
      </c>
      <c r="B2514" s="124">
        <v>45811.0</v>
      </c>
      <c r="C2514" s="26" t="s">
        <v>5592</v>
      </c>
      <c r="D2514" s="125">
        <v>0.3333333333333333</v>
      </c>
      <c r="E2514" s="125">
        <v>0.6666666666666666</v>
      </c>
    </row>
    <row r="2515">
      <c r="A2515" s="26" t="s">
        <v>248</v>
      </c>
      <c r="B2515" s="124">
        <v>45811.0</v>
      </c>
      <c r="C2515" s="26" t="s">
        <v>5592</v>
      </c>
      <c r="D2515" s="125">
        <v>0.3333333333333333</v>
      </c>
      <c r="E2515" s="125">
        <v>0.6666666666666666</v>
      </c>
    </row>
    <row r="2516">
      <c r="A2516" s="26" t="s">
        <v>253</v>
      </c>
      <c r="B2516" s="124">
        <v>45811.0</v>
      </c>
      <c r="C2516" s="26" t="s">
        <v>5592</v>
      </c>
      <c r="D2516" s="125">
        <v>0.4166666666666667</v>
      </c>
      <c r="E2516" s="125">
        <v>0.75</v>
      </c>
    </row>
    <row r="2517">
      <c r="A2517" s="26" t="s">
        <v>258</v>
      </c>
      <c r="B2517" s="124">
        <v>45811.0</v>
      </c>
      <c r="C2517" s="26" t="s">
        <v>5592</v>
      </c>
      <c r="D2517" s="125">
        <v>0.3333333333333333</v>
      </c>
      <c r="E2517" s="125">
        <v>0.6666666666666666</v>
      </c>
    </row>
    <row r="2518">
      <c r="A2518" s="26" t="s">
        <v>261</v>
      </c>
      <c r="B2518" s="124">
        <v>45811.0</v>
      </c>
      <c r="C2518" s="26" t="s">
        <v>5592</v>
      </c>
      <c r="D2518" s="125">
        <v>0.4166666666666667</v>
      </c>
      <c r="E2518" s="125">
        <v>0.75</v>
      </c>
    </row>
    <row r="2519">
      <c r="A2519" s="26" t="s">
        <v>265</v>
      </c>
      <c r="B2519" s="124">
        <v>45811.0</v>
      </c>
      <c r="C2519" s="26" t="s">
        <v>5592</v>
      </c>
      <c r="D2519" s="125">
        <v>0.3333333333333333</v>
      </c>
      <c r="E2519" s="125">
        <v>0.6666666666666666</v>
      </c>
    </row>
    <row r="2520">
      <c r="A2520" s="26" t="s">
        <v>269</v>
      </c>
      <c r="B2520" s="124">
        <v>45811.0</v>
      </c>
      <c r="C2520" s="26" t="s">
        <v>5592</v>
      </c>
      <c r="D2520" s="125">
        <v>0.3333333333333333</v>
      </c>
      <c r="E2520" s="125">
        <v>0.6666666666666666</v>
      </c>
    </row>
    <row r="2521">
      <c r="A2521" s="26" t="s">
        <v>276</v>
      </c>
      <c r="B2521" s="124">
        <v>45811.0</v>
      </c>
      <c r="C2521" s="26" t="s">
        <v>5592</v>
      </c>
      <c r="D2521" s="125">
        <v>0.3333333333333333</v>
      </c>
      <c r="E2521" s="125">
        <v>0.6666666666666666</v>
      </c>
    </row>
    <row r="2522">
      <c r="A2522" s="26" t="s">
        <v>280</v>
      </c>
      <c r="B2522" s="124">
        <v>45811.0</v>
      </c>
      <c r="C2522" s="26" t="s">
        <v>5592</v>
      </c>
      <c r="D2522" s="125">
        <v>0.4166666666666667</v>
      </c>
      <c r="E2522" s="125">
        <v>0.75</v>
      </c>
    </row>
    <row r="2523">
      <c r="A2523" s="26" t="s">
        <v>243</v>
      </c>
      <c r="B2523" s="124">
        <v>45810.0</v>
      </c>
      <c r="C2523" s="26" t="s">
        <v>5592</v>
      </c>
      <c r="D2523" s="125">
        <v>0.3333333333333333</v>
      </c>
      <c r="E2523" s="125">
        <v>0.6666666666666666</v>
      </c>
    </row>
    <row r="2524">
      <c r="A2524" s="26" t="s">
        <v>248</v>
      </c>
      <c r="B2524" s="124">
        <v>45810.0</v>
      </c>
      <c r="C2524" s="26" t="s">
        <v>5592</v>
      </c>
      <c r="D2524" s="125">
        <v>0.3333333333333333</v>
      </c>
      <c r="E2524" s="125">
        <v>0.6666666666666666</v>
      </c>
    </row>
    <row r="2525">
      <c r="A2525" s="26" t="s">
        <v>253</v>
      </c>
      <c r="B2525" s="124">
        <v>45810.0</v>
      </c>
      <c r="C2525" s="26" t="s">
        <v>5592</v>
      </c>
      <c r="D2525" s="125">
        <v>0.4166666666666667</v>
      </c>
      <c r="E2525" s="125">
        <v>0.75</v>
      </c>
    </row>
    <row r="2526">
      <c r="A2526" s="26" t="s">
        <v>258</v>
      </c>
      <c r="B2526" s="124">
        <v>45810.0</v>
      </c>
      <c r="C2526" s="26" t="s">
        <v>5592</v>
      </c>
      <c r="D2526" s="125">
        <v>0.3333333333333333</v>
      </c>
      <c r="E2526" s="125">
        <v>0.6666666666666666</v>
      </c>
    </row>
    <row r="2527">
      <c r="A2527" s="26" t="s">
        <v>261</v>
      </c>
      <c r="B2527" s="124">
        <v>45810.0</v>
      </c>
      <c r="C2527" s="26" t="s">
        <v>5592</v>
      </c>
      <c r="D2527" s="125">
        <v>0.4166666666666667</v>
      </c>
      <c r="E2527" s="125">
        <v>0.75</v>
      </c>
    </row>
    <row r="2528">
      <c r="A2528" s="26" t="s">
        <v>265</v>
      </c>
      <c r="B2528" s="124">
        <v>45810.0</v>
      </c>
      <c r="C2528" s="26" t="s">
        <v>5592</v>
      </c>
      <c r="D2528" s="125">
        <v>0.3333333333333333</v>
      </c>
      <c r="E2528" s="125">
        <v>0.6666666666666666</v>
      </c>
    </row>
    <row r="2529">
      <c r="A2529" s="26" t="s">
        <v>269</v>
      </c>
      <c r="B2529" s="124">
        <v>45810.0</v>
      </c>
      <c r="C2529" s="26" t="s">
        <v>5592</v>
      </c>
      <c r="D2529" s="125">
        <v>0.3333333333333333</v>
      </c>
      <c r="E2529" s="125">
        <v>0.6666666666666666</v>
      </c>
    </row>
    <row r="2530">
      <c r="A2530" s="26" t="s">
        <v>276</v>
      </c>
      <c r="B2530" s="124">
        <v>45810.0</v>
      </c>
      <c r="C2530" s="26" t="s">
        <v>5592</v>
      </c>
      <c r="D2530" s="125">
        <v>0.3333333333333333</v>
      </c>
      <c r="E2530" s="125">
        <v>0.6666666666666666</v>
      </c>
    </row>
    <row r="2531">
      <c r="A2531" s="26" t="s">
        <v>280</v>
      </c>
      <c r="B2531" s="124">
        <v>45810.0</v>
      </c>
      <c r="C2531" s="26" t="s">
        <v>5592</v>
      </c>
      <c r="D2531" s="125">
        <v>0.4166666666666667</v>
      </c>
      <c r="E2531" s="125">
        <v>0.75</v>
      </c>
    </row>
    <row r="2532">
      <c r="A2532" s="26" t="s">
        <v>243</v>
      </c>
      <c r="B2532" s="124">
        <v>45808.0</v>
      </c>
      <c r="C2532" s="26" t="s">
        <v>5592</v>
      </c>
      <c r="D2532" s="125">
        <v>0.3333333333333333</v>
      </c>
      <c r="E2532" s="125">
        <v>0.6666666666666666</v>
      </c>
    </row>
    <row r="2533">
      <c r="A2533" s="26" t="s">
        <v>248</v>
      </c>
      <c r="B2533" s="124">
        <v>45808.0</v>
      </c>
      <c r="C2533" s="26" t="s">
        <v>5592</v>
      </c>
      <c r="D2533" s="125">
        <v>0.3333333333333333</v>
      </c>
      <c r="E2533" s="125">
        <v>0.6666666666666666</v>
      </c>
    </row>
    <row r="2534">
      <c r="A2534" s="26" t="s">
        <v>253</v>
      </c>
      <c r="B2534" s="124">
        <v>45808.0</v>
      </c>
      <c r="C2534" s="26" t="s">
        <v>5592</v>
      </c>
      <c r="D2534" s="125">
        <v>0.4166666666666667</v>
      </c>
      <c r="E2534" s="125">
        <v>0.75</v>
      </c>
    </row>
    <row r="2535">
      <c r="A2535" s="26" t="s">
        <v>258</v>
      </c>
      <c r="B2535" s="124">
        <v>45808.0</v>
      </c>
      <c r="C2535" s="26" t="s">
        <v>5592</v>
      </c>
      <c r="D2535" s="125">
        <v>0.3333333333333333</v>
      </c>
      <c r="E2535" s="125">
        <v>0.6666666666666666</v>
      </c>
    </row>
    <row r="2536">
      <c r="A2536" s="26" t="s">
        <v>261</v>
      </c>
      <c r="B2536" s="124">
        <v>45808.0</v>
      </c>
      <c r="C2536" s="26" t="s">
        <v>5592</v>
      </c>
      <c r="D2536" s="125">
        <v>0.4166666666666667</v>
      </c>
      <c r="E2536" s="125">
        <v>0.75</v>
      </c>
    </row>
    <row r="2537">
      <c r="A2537" s="26" t="s">
        <v>265</v>
      </c>
      <c r="B2537" s="124">
        <v>45808.0</v>
      </c>
      <c r="C2537" s="26" t="s">
        <v>5592</v>
      </c>
      <c r="D2537" s="125">
        <v>0.3333333333333333</v>
      </c>
      <c r="E2537" s="125">
        <v>0.6666666666666666</v>
      </c>
    </row>
    <row r="2538">
      <c r="A2538" s="26" t="s">
        <v>269</v>
      </c>
      <c r="B2538" s="124">
        <v>45808.0</v>
      </c>
      <c r="C2538" s="26" t="s">
        <v>5592</v>
      </c>
      <c r="D2538" s="125">
        <v>0.3333333333333333</v>
      </c>
      <c r="E2538" s="125">
        <v>0.6666666666666666</v>
      </c>
    </row>
    <row r="2539">
      <c r="A2539" s="26" t="s">
        <v>276</v>
      </c>
      <c r="B2539" s="124">
        <v>45808.0</v>
      </c>
      <c r="C2539" s="26" t="s">
        <v>5592</v>
      </c>
      <c r="D2539" s="125">
        <v>0.3333333333333333</v>
      </c>
      <c r="E2539" s="125">
        <v>0.6666666666666666</v>
      </c>
    </row>
    <row r="2540">
      <c r="A2540" s="26" t="s">
        <v>280</v>
      </c>
      <c r="B2540" s="124">
        <v>45808.0</v>
      </c>
      <c r="C2540" s="26" t="s">
        <v>5592</v>
      </c>
      <c r="D2540" s="125">
        <v>0.4166666666666667</v>
      </c>
      <c r="E2540" s="125">
        <v>0.75</v>
      </c>
    </row>
    <row r="2541">
      <c r="A2541" s="26" t="s">
        <v>243</v>
      </c>
      <c r="B2541" s="124">
        <v>45807.0</v>
      </c>
      <c r="C2541" s="26" t="s">
        <v>5592</v>
      </c>
      <c r="D2541" s="125">
        <v>0.3333333333333333</v>
      </c>
      <c r="E2541" s="125">
        <v>0.6666666666666666</v>
      </c>
    </row>
    <row r="2542">
      <c r="A2542" s="26" t="s">
        <v>248</v>
      </c>
      <c r="B2542" s="124">
        <v>45807.0</v>
      </c>
      <c r="C2542" s="26" t="s">
        <v>5592</v>
      </c>
      <c r="D2542" s="125">
        <v>0.3333333333333333</v>
      </c>
      <c r="E2542" s="125">
        <v>0.6666666666666666</v>
      </c>
    </row>
    <row r="2543">
      <c r="A2543" s="26" t="s">
        <v>253</v>
      </c>
      <c r="B2543" s="124">
        <v>45807.0</v>
      </c>
      <c r="C2543" s="26" t="s">
        <v>5592</v>
      </c>
      <c r="D2543" s="125">
        <v>0.4166666666666667</v>
      </c>
      <c r="E2543" s="125">
        <v>0.75</v>
      </c>
    </row>
    <row r="2544">
      <c r="A2544" s="26" t="s">
        <v>258</v>
      </c>
      <c r="B2544" s="124">
        <v>45807.0</v>
      </c>
      <c r="C2544" s="26" t="s">
        <v>5592</v>
      </c>
      <c r="D2544" s="125">
        <v>0.3333333333333333</v>
      </c>
      <c r="E2544" s="125">
        <v>0.6666666666666666</v>
      </c>
    </row>
    <row r="2545">
      <c r="A2545" s="26" t="s">
        <v>261</v>
      </c>
      <c r="B2545" s="124">
        <v>45807.0</v>
      </c>
      <c r="C2545" s="26" t="s">
        <v>5592</v>
      </c>
      <c r="D2545" s="125">
        <v>0.4166666666666667</v>
      </c>
      <c r="E2545" s="125">
        <v>0.75</v>
      </c>
    </row>
    <row r="2546">
      <c r="A2546" s="26" t="s">
        <v>265</v>
      </c>
      <c r="B2546" s="124">
        <v>45807.0</v>
      </c>
      <c r="C2546" s="26" t="s">
        <v>5592</v>
      </c>
      <c r="D2546" s="125">
        <v>0.3333333333333333</v>
      </c>
      <c r="E2546" s="125">
        <v>0.6666666666666666</v>
      </c>
    </row>
    <row r="2547">
      <c r="A2547" s="26" t="s">
        <v>269</v>
      </c>
      <c r="B2547" s="124">
        <v>45807.0</v>
      </c>
      <c r="C2547" s="26" t="s">
        <v>5592</v>
      </c>
      <c r="D2547" s="125">
        <v>0.3333333333333333</v>
      </c>
      <c r="E2547" s="125">
        <v>0.6666666666666666</v>
      </c>
    </row>
    <row r="2548">
      <c r="A2548" s="26" t="s">
        <v>276</v>
      </c>
      <c r="B2548" s="124">
        <v>45807.0</v>
      </c>
      <c r="C2548" s="26" t="s">
        <v>5592</v>
      </c>
      <c r="D2548" s="125">
        <v>0.3333333333333333</v>
      </c>
      <c r="E2548" s="125">
        <v>0.6666666666666666</v>
      </c>
    </row>
    <row r="2549">
      <c r="A2549" s="26" t="s">
        <v>280</v>
      </c>
      <c r="B2549" s="124">
        <v>45807.0</v>
      </c>
      <c r="C2549" s="26" t="s">
        <v>5592</v>
      </c>
      <c r="D2549" s="125">
        <v>0.4166666666666667</v>
      </c>
      <c r="E2549" s="125">
        <v>0.75</v>
      </c>
    </row>
    <row r="2550">
      <c r="A2550" s="26" t="s">
        <v>243</v>
      </c>
      <c r="B2550" s="124">
        <v>45806.0</v>
      </c>
      <c r="C2550" s="26" t="s">
        <v>5592</v>
      </c>
      <c r="D2550" s="125">
        <v>0.3333333333333333</v>
      </c>
      <c r="E2550" s="125">
        <v>0.6666666666666666</v>
      </c>
    </row>
    <row r="2551">
      <c r="A2551" s="26" t="s">
        <v>248</v>
      </c>
      <c r="B2551" s="124">
        <v>45806.0</v>
      </c>
      <c r="C2551" s="26" t="s">
        <v>5592</v>
      </c>
      <c r="D2551" s="125">
        <v>0.3333333333333333</v>
      </c>
      <c r="E2551" s="125">
        <v>0.6666666666666666</v>
      </c>
    </row>
    <row r="2552">
      <c r="A2552" s="26" t="s">
        <v>253</v>
      </c>
      <c r="B2552" s="124">
        <v>45806.0</v>
      </c>
      <c r="C2552" s="26" t="s">
        <v>5592</v>
      </c>
      <c r="D2552" s="125">
        <v>0.4166666666666667</v>
      </c>
      <c r="E2552" s="125">
        <v>0.75</v>
      </c>
    </row>
    <row r="2553">
      <c r="A2553" s="26" t="s">
        <v>258</v>
      </c>
      <c r="B2553" s="124">
        <v>45806.0</v>
      </c>
      <c r="C2553" s="26" t="s">
        <v>5592</v>
      </c>
      <c r="D2553" s="125">
        <v>0.3333333333333333</v>
      </c>
      <c r="E2553" s="125">
        <v>0.6666666666666666</v>
      </c>
    </row>
    <row r="2554">
      <c r="A2554" s="26" t="s">
        <v>261</v>
      </c>
      <c r="B2554" s="124">
        <v>45806.0</v>
      </c>
      <c r="C2554" s="26" t="s">
        <v>5592</v>
      </c>
      <c r="D2554" s="125">
        <v>0.4166666666666667</v>
      </c>
      <c r="E2554" s="125">
        <v>0.75</v>
      </c>
    </row>
    <row r="2555">
      <c r="A2555" s="26" t="s">
        <v>265</v>
      </c>
      <c r="B2555" s="124">
        <v>45806.0</v>
      </c>
      <c r="C2555" s="26" t="s">
        <v>5592</v>
      </c>
      <c r="D2555" s="125">
        <v>0.3333333333333333</v>
      </c>
      <c r="E2555" s="125">
        <v>0.6666666666666666</v>
      </c>
    </row>
    <row r="2556">
      <c r="A2556" s="26" t="s">
        <v>269</v>
      </c>
      <c r="B2556" s="124">
        <v>45806.0</v>
      </c>
      <c r="C2556" s="26" t="s">
        <v>5592</v>
      </c>
      <c r="D2556" s="125">
        <v>0.3333333333333333</v>
      </c>
      <c r="E2556" s="125">
        <v>0.6666666666666666</v>
      </c>
    </row>
    <row r="2557">
      <c r="A2557" s="26" t="s">
        <v>276</v>
      </c>
      <c r="B2557" s="124">
        <v>45806.0</v>
      </c>
      <c r="C2557" s="26" t="s">
        <v>5592</v>
      </c>
      <c r="D2557" s="125">
        <v>0.3333333333333333</v>
      </c>
      <c r="E2557" s="125">
        <v>0.6666666666666666</v>
      </c>
    </row>
    <row r="2558">
      <c r="A2558" s="26" t="s">
        <v>280</v>
      </c>
      <c r="B2558" s="124">
        <v>45806.0</v>
      </c>
      <c r="C2558" s="26" t="s">
        <v>5592</v>
      </c>
      <c r="D2558" s="125">
        <v>0.4166666666666667</v>
      </c>
      <c r="E2558" s="125">
        <v>0.75</v>
      </c>
    </row>
    <row r="2559">
      <c r="A2559" s="26" t="s">
        <v>243</v>
      </c>
      <c r="B2559" s="124">
        <v>45805.0</v>
      </c>
      <c r="C2559" s="26" t="s">
        <v>5592</v>
      </c>
      <c r="D2559" s="125">
        <v>0.3333333333333333</v>
      </c>
      <c r="E2559" s="125">
        <v>0.6666666666666666</v>
      </c>
    </row>
    <row r="2560">
      <c r="A2560" s="26" t="s">
        <v>248</v>
      </c>
      <c r="B2560" s="124">
        <v>45805.0</v>
      </c>
      <c r="C2560" s="26" t="s">
        <v>5592</v>
      </c>
      <c r="D2560" s="125">
        <v>0.3333333333333333</v>
      </c>
      <c r="E2560" s="125">
        <v>0.6666666666666666</v>
      </c>
    </row>
    <row r="2561">
      <c r="A2561" s="26" t="s">
        <v>253</v>
      </c>
      <c r="B2561" s="124">
        <v>45805.0</v>
      </c>
      <c r="C2561" s="26" t="s">
        <v>5592</v>
      </c>
      <c r="D2561" s="125">
        <v>0.4166666666666667</v>
      </c>
      <c r="E2561" s="125">
        <v>0.75</v>
      </c>
    </row>
    <row r="2562">
      <c r="A2562" s="26" t="s">
        <v>258</v>
      </c>
      <c r="B2562" s="124">
        <v>45805.0</v>
      </c>
      <c r="C2562" s="26" t="s">
        <v>5592</v>
      </c>
      <c r="D2562" s="125">
        <v>0.3333333333333333</v>
      </c>
      <c r="E2562" s="125">
        <v>0.6666666666666666</v>
      </c>
    </row>
    <row r="2563">
      <c r="A2563" s="26" t="s">
        <v>261</v>
      </c>
      <c r="B2563" s="124">
        <v>45805.0</v>
      </c>
      <c r="C2563" s="26" t="s">
        <v>5592</v>
      </c>
      <c r="D2563" s="125">
        <v>0.4166666666666667</v>
      </c>
      <c r="E2563" s="125">
        <v>0.75</v>
      </c>
    </row>
    <row r="2564">
      <c r="A2564" s="26" t="s">
        <v>265</v>
      </c>
      <c r="B2564" s="124">
        <v>45805.0</v>
      </c>
      <c r="C2564" s="26" t="s">
        <v>5592</v>
      </c>
      <c r="D2564" s="125">
        <v>0.3333333333333333</v>
      </c>
      <c r="E2564" s="125">
        <v>0.6666666666666666</v>
      </c>
    </row>
    <row r="2565">
      <c r="A2565" s="26" t="s">
        <v>269</v>
      </c>
      <c r="B2565" s="124">
        <v>45805.0</v>
      </c>
      <c r="C2565" s="26" t="s">
        <v>5592</v>
      </c>
      <c r="D2565" s="125">
        <v>0.3333333333333333</v>
      </c>
      <c r="E2565" s="125">
        <v>0.6666666666666666</v>
      </c>
    </row>
    <row r="2566">
      <c r="A2566" s="26" t="s">
        <v>276</v>
      </c>
      <c r="B2566" s="124">
        <v>45805.0</v>
      </c>
      <c r="C2566" s="26" t="s">
        <v>5592</v>
      </c>
      <c r="D2566" s="125">
        <v>0.3333333333333333</v>
      </c>
      <c r="E2566" s="125">
        <v>0.6666666666666666</v>
      </c>
    </row>
    <row r="2567">
      <c r="A2567" s="26" t="s">
        <v>280</v>
      </c>
      <c r="B2567" s="124">
        <v>45805.0</v>
      </c>
      <c r="C2567" s="26" t="s">
        <v>5592</v>
      </c>
      <c r="D2567" s="125">
        <v>0.4166666666666667</v>
      </c>
      <c r="E2567" s="125">
        <v>0.75</v>
      </c>
    </row>
    <row r="2568">
      <c r="A2568" s="26" t="s">
        <v>243</v>
      </c>
      <c r="B2568" s="124">
        <v>45804.0</v>
      </c>
      <c r="C2568" s="26" t="s">
        <v>5592</v>
      </c>
      <c r="D2568" s="125">
        <v>0.3333333333333333</v>
      </c>
      <c r="E2568" s="125">
        <v>0.6666666666666666</v>
      </c>
    </row>
    <row r="2569">
      <c r="A2569" s="26" t="s">
        <v>248</v>
      </c>
      <c r="B2569" s="124">
        <v>45804.0</v>
      </c>
      <c r="C2569" s="26" t="s">
        <v>5592</v>
      </c>
      <c r="D2569" s="125">
        <v>0.3333333333333333</v>
      </c>
      <c r="E2569" s="125">
        <v>0.6666666666666666</v>
      </c>
    </row>
    <row r="2570">
      <c r="A2570" s="26" t="s">
        <v>253</v>
      </c>
      <c r="B2570" s="124">
        <v>45804.0</v>
      </c>
      <c r="C2570" s="26" t="s">
        <v>5592</v>
      </c>
      <c r="D2570" s="125">
        <v>0.4166666666666667</v>
      </c>
      <c r="E2570" s="125">
        <v>0.75</v>
      </c>
    </row>
    <row r="2571">
      <c r="A2571" s="26" t="s">
        <v>258</v>
      </c>
      <c r="B2571" s="124">
        <v>45804.0</v>
      </c>
      <c r="C2571" s="26" t="s">
        <v>5592</v>
      </c>
      <c r="D2571" s="125">
        <v>0.3333333333333333</v>
      </c>
      <c r="E2571" s="125">
        <v>0.6666666666666666</v>
      </c>
    </row>
    <row r="2572">
      <c r="A2572" s="26" t="s">
        <v>261</v>
      </c>
      <c r="B2572" s="124">
        <v>45804.0</v>
      </c>
      <c r="C2572" s="26" t="s">
        <v>5592</v>
      </c>
      <c r="D2572" s="125">
        <v>0.4166666666666667</v>
      </c>
      <c r="E2572" s="125">
        <v>0.75</v>
      </c>
    </row>
    <row r="2573">
      <c r="A2573" s="26" t="s">
        <v>265</v>
      </c>
      <c r="B2573" s="124">
        <v>45804.0</v>
      </c>
      <c r="C2573" s="26" t="s">
        <v>5592</v>
      </c>
      <c r="D2573" s="125">
        <v>0.3333333333333333</v>
      </c>
      <c r="E2573" s="125">
        <v>0.6666666666666666</v>
      </c>
    </row>
    <row r="2574">
      <c r="A2574" s="26" t="s">
        <v>269</v>
      </c>
      <c r="B2574" s="124">
        <v>45804.0</v>
      </c>
      <c r="C2574" s="26" t="s">
        <v>5592</v>
      </c>
      <c r="D2574" s="125">
        <v>0.3333333333333333</v>
      </c>
      <c r="E2574" s="125">
        <v>0.6666666666666666</v>
      </c>
    </row>
    <row r="2575">
      <c r="A2575" s="26" t="s">
        <v>276</v>
      </c>
      <c r="B2575" s="124">
        <v>45804.0</v>
      </c>
      <c r="C2575" s="26" t="s">
        <v>5592</v>
      </c>
      <c r="D2575" s="125">
        <v>0.3333333333333333</v>
      </c>
      <c r="E2575" s="125">
        <v>0.6666666666666666</v>
      </c>
    </row>
    <row r="2576">
      <c r="A2576" s="26" t="s">
        <v>280</v>
      </c>
      <c r="B2576" s="124">
        <v>45804.0</v>
      </c>
      <c r="C2576" s="26" t="s">
        <v>5592</v>
      </c>
      <c r="D2576" s="125">
        <v>0.4166666666666667</v>
      </c>
      <c r="E2576" s="125">
        <v>0.75</v>
      </c>
    </row>
    <row r="2577">
      <c r="A2577" s="26" t="s">
        <v>243</v>
      </c>
      <c r="B2577" s="124">
        <v>45803.0</v>
      </c>
      <c r="C2577" s="26" t="s">
        <v>5592</v>
      </c>
      <c r="D2577" s="125">
        <v>0.3333333333333333</v>
      </c>
      <c r="E2577" s="125">
        <v>0.6666666666666666</v>
      </c>
    </row>
    <row r="2578">
      <c r="A2578" s="26" t="s">
        <v>248</v>
      </c>
      <c r="B2578" s="124">
        <v>45803.0</v>
      </c>
      <c r="C2578" s="26" t="s">
        <v>5592</v>
      </c>
      <c r="D2578" s="125">
        <v>0.3333333333333333</v>
      </c>
      <c r="E2578" s="125">
        <v>0.6666666666666666</v>
      </c>
    </row>
    <row r="2579">
      <c r="A2579" s="26" t="s">
        <v>253</v>
      </c>
      <c r="B2579" s="124">
        <v>45803.0</v>
      </c>
      <c r="C2579" s="26" t="s">
        <v>5592</v>
      </c>
      <c r="D2579" s="125">
        <v>0.4166666666666667</v>
      </c>
      <c r="E2579" s="125">
        <v>0.75</v>
      </c>
    </row>
    <row r="2580">
      <c r="A2580" s="26" t="s">
        <v>258</v>
      </c>
      <c r="B2580" s="124">
        <v>45803.0</v>
      </c>
      <c r="C2580" s="26" t="s">
        <v>5592</v>
      </c>
      <c r="D2580" s="125">
        <v>0.3333333333333333</v>
      </c>
      <c r="E2580" s="125">
        <v>0.6666666666666666</v>
      </c>
    </row>
    <row r="2581">
      <c r="A2581" s="26" t="s">
        <v>261</v>
      </c>
      <c r="B2581" s="124">
        <v>45803.0</v>
      </c>
      <c r="C2581" s="26" t="s">
        <v>5592</v>
      </c>
      <c r="D2581" s="125">
        <v>0.4166666666666667</v>
      </c>
      <c r="E2581" s="125">
        <v>0.75</v>
      </c>
    </row>
    <row r="2582">
      <c r="A2582" s="26" t="s">
        <v>265</v>
      </c>
      <c r="B2582" s="124">
        <v>45803.0</v>
      </c>
      <c r="C2582" s="26" t="s">
        <v>5592</v>
      </c>
      <c r="D2582" s="125">
        <v>0.3333333333333333</v>
      </c>
      <c r="E2582" s="125">
        <v>0.6666666666666666</v>
      </c>
    </row>
    <row r="2583">
      <c r="A2583" s="26" t="s">
        <v>269</v>
      </c>
      <c r="B2583" s="124">
        <v>45803.0</v>
      </c>
      <c r="C2583" s="26" t="s">
        <v>5592</v>
      </c>
      <c r="D2583" s="125">
        <v>0.3333333333333333</v>
      </c>
      <c r="E2583" s="125">
        <v>0.6666666666666666</v>
      </c>
    </row>
    <row r="2584">
      <c r="A2584" s="26" t="s">
        <v>276</v>
      </c>
      <c r="B2584" s="124">
        <v>45803.0</v>
      </c>
      <c r="C2584" s="26" t="s">
        <v>5592</v>
      </c>
      <c r="D2584" s="125">
        <v>0.3333333333333333</v>
      </c>
      <c r="E2584" s="125">
        <v>0.6666666666666666</v>
      </c>
    </row>
    <row r="2585">
      <c r="A2585" s="26" t="s">
        <v>280</v>
      </c>
      <c r="B2585" s="124">
        <v>45803.0</v>
      </c>
      <c r="C2585" s="26" t="s">
        <v>5592</v>
      </c>
      <c r="D2585" s="125">
        <v>0.4166666666666667</v>
      </c>
      <c r="E2585" s="125">
        <v>0.75</v>
      </c>
    </row>
    <row r="2586">
      <c r="A2586" s="26" t="s">
        <v>243</v>
      </c>
      <c r="B2586" s="124">
        <v>45801.0</v>
      </c>
      <c r="C2586" s="26" t="s">
        <v>5592</v>
      </c>
      <c r="D2586" s="125">
        <v>0.3333333333333333</v>
      </c>
      <c r="E2586" s="125">
        <v>0.6666666666666666</v>
      </c>
    </row>
    <row r="2587">
      <c r="A2587" s="26" t="s">
        <v>248</v>
      </c>
      <c r="B2587" s="124">
        <v>45801.0</v>
      </c>
      <c r="C2587" s="26" t="s">
        <v>5592</v>
      </c>
      <c r="D2587" s="125">
        <v>0.3333333333333333</v>
      </c>
      <c r="E2587" s="125">
        <v>0.6666666666666666</v>
      </c>
    </row>
    <row r="2588">
      <c r="A2588" s="26" t="s">
        <v>253</v>
      </c>
      <c r="B2588" s="124">
        <v>45801.0</v>
      </c>
      <c r="C2588" s="26" t="s">
        <v>5592</v>
      </c>
      <c r="D2588" s="125">
        <v>0.4166666666666667</v>
      </c>
      <c r="E2588" s="125">
        <v>0.75</v>
      </c>
    </row>
    <row r="2589">
      <c r="A2589" s="26" t="s">
        <v>258</v>
      </c>
      <c r="B2589" s="124">
        <v>45801.0</v>
      </c>
      <c r="C2589" s="26" t="s">
        <v>5592</v>
      </c>
      <c r="D2589" s="125">
        <v>0.3333333333333333</v>
      </c>
      <c r="E2589" s="125">
        <v>0.6666666666666666</v>
      </c>
    </row>
    <row r="2590">
      <c r="A2590" s="26" t="s">
        <v>261</v>
      </c>
      <c r="B2590" s="124">
        <v>45801.0</v>
      </c>
      <c r="C2590" s="26" t="s">
        <v>5592</v>
      </c>
      <c r="D2590" s="125">
        <v>0.4166666666666667</v>
      </c>
      <c r="E2590" s="125">
        <v>0.75</v>
      </c>
    </row>
    <row r="2591">
      <c r="A2591" s="26" t="s">
        <v>265</v>
      </c>
      <c r="B2591" s="124">
        <v>45801.0</v>
      </c>
      <c r="C2591" s="26" t="s">
        <v>5592</v>
      </c>
      <c r="D2591" s="125">
        <v>0.3333333333333333</v>
      </c>
      <c r="E2591" s="125">
        <v>0.6666666666666666</v>
      </c>
    </row>
    <row r="2592">
      <c r="A2592" s="26" t="s">
        <v>269</v>
      </c>
      <c r="B2592" s="124">
        <v>45801.0</v>
      </c>
      <c r="C2592" s="26" t="s">
        <v>5592</v>
      </c>
      <c r="D2592" s="125">
        <v>0.3333333333333333</v>
      </c>
      <c r="E2592" s="125">
        <v>0.6666666666666666</v>
      </c>
    </row>
    <row r="2593">
      <c r="A2593" s="26" t="s">
        <v>276</v>
      </c>
      <c r="B2593" s="124">
        <v>45801.0</v>
      </c>
      <c r="C2593" s="26" t="s">
        <v>5592</v>
      </c>
      <c r="D2593" s="125">
        <v>0.3333333333333333</v>
      </c>
      <c r="E2593" s="125">
        <v>0.6666666666666666</v>
      </c>
    </row>
    <row r="2594">
      <c r="A2594" s="26" t="s">
        <v>280</v>
      </c>
      <c r="B2594" s="124">
        <v>45801.0</v>
      </c>
      <c r="C2594" s="26" t="s">
        <v>5592</v>
      </c>
      <c r="D2594" s="125">
        <v>0.4166666666666667</v>
      </c>
      <c r="E2594" s="125">
        <v>0.75</v>
      </c>
    </row>
    <row r="2595">
      <c r="A2595" s="26" t="s">
        <v>243</v>
      </c>
      <c r="B2595" s="124">
        <v>45800.0</v>
      </c>
      <c r="C2595" s="26" t="s">
        <v>5592</v>
      </c>
      <c r="D2595" s="125">
        <v>0.3333333333333333</v>
      </c>
      <c r="E2595" s="125">
        <v>0.6666666666666666</v>
      </c>
    </row>
    <row r="2596">
      <c r="A2596" s="26" t="s">
        <v>248</v>
      </c>
      <c r="B2596" s="124">
        <v>45800.0</v>
      </c>
      <c r="C2596" s="26" t="s">
        <v>5592</v>
      </c>
      <c r="D2596" s="125">
        <v>0.3333333333333333</v>
      </c>
      <c r="E2596" s="125">
        <v>0.6666666666666666</v>
      </c>
    </row>
    <row r="2597">
      <c r="A2597" s="26" t="s">
        <v>253</v>
      </c>
      <c r="B2597" s="124">
        <v>45800.0</v>
      </c>
      <c r="C2597" s="26" t="s">
        <v>5592</v>
      </c>
      <c r="D2597" s="125">
        <v>0.4166666666666667</v>
      </c>
      <c r="E2597" s="125">
        <v>0.75</v>
      </c>
    </row>
    <row r="2598">
      <c r="A2598" s="26" t="s">
        <v>258</v>
      </c>
      <c r="B2598" s="124">
        <v>45800.0</v>
      </c>
      <c r="C2598" s="26" t="s">
        <v>5592</v>
      </c>
      <c r="D2598" s="125">
        <v>0.3333333333333333</v>
      </c>
      <c r="E2598" s="125">
        <v>0.6666666666666666</v>
      </c>
    </row>
    <row r="2599">
      <c r="A2599" s="26" t="s">
        <v>261</v>
      </c>
      <c r="B2599" s="124">
        <v>45800.0</v>
      </c>
      <c r="C2599" s="26" t="s">
        <v>5592</v>
      </c>
      <c r="D2599" s="125">
        <v>0.4166666666666667</v>
      </c>
      <c r="E2599" s="125">
        <v>0.75</v>
      </c>
    </row>
    <row r="2600">
      <c r="A2600" s="26" t="s">
        <v>265</v>
      </c>
      <c r="B2600" s="124">
        <v>45800.0</v>
      </c>
      <c r="C2600" s="26" t="s">
        <v>5592</v>
      </c>
      <c r="D2600" s="125">
        <v>0.3333333333333333</v>
      </c>
      <c r="E2600" s="125">
        <v>0.6666666666666666</v>
      </c>
    </row>
    <row r="2601">
      <c r="A2601" s="26" t="s">
        <v>269</v>
      </c>
      <c r="B2601" s="124">
        <v>45800.0</v>
      </c>
      <c r="C2601" s="26" t="s">
        <v>5592</v>
      </c>
      <c r="D2601" s="125">
        <v>0.3333333333333333</v>
      </c>
      <c r="E2601" s="125">
        <v>0.6666666666666666</v>
      </c>
    </row>
    <row r="2602">
      <c r="A2602" s="26" t="s">
        <v>276</v>
      </c>
      <c r="B2602" s="124">
        <v>45800.0</v>
      </c>
      <c r="C2602" s="26" t="s">
        <v>5592</v>
      </c>
      <c r="D2602" s="125">
        <v>0.3333333333333333</v>
      </c>
      <c r="E2602" s="125">
        <v>0.6666666666666666</v>
      </c>
    </row>
    <row r="2603">
      <c r="A2603" s="26" t="s">
        <v>280</v>
      </c>
      <c r="B2603" s="124">
        <v>45800.0</v>
      </c>
      <c r="C2603" s="26" t="s">
        <v>5592</v>
      </c>
      <c r="D2603" s="125">
        <v>0.4166666666666667</v>
      </c>
      <c r="E2603" s="125">
        <v>0.75</v>
      </c>
    </row>
    <row r="2604">
      <c r="A2604" s="26" t="s">
        <v>243</v>
      </c>
      <c r="B2604" s="124">
        <v>45799.0</v>
      </c>
      <c r="C2604" s="26" t="s">
        <v>5592</v>
      </c>
      <c r="D2604" s="125">
        <v>0.3333333333333333</v>
      </c>
      <c r="E2604" s="125">
        <v>0.6666666666666666</v>
      </c>
    </row>
    <row r="2605">
      <c r="A2605" s="26" t="s">
        <v>248</v>
      </c>
      <c r="B2605" s="124">
        <v>45799.0</v>
      </c>
      <c r="C2605" s="26" t="s">
        <v>5592</v>
      </c>
      <c r="D2605" s="125">
        <v>0.3333333333333333</v>
      </c>
      <c r="E2605" s="125">
        <v>0.6666666666666666</v>
      </c>
    </row>
    <row r="2606">
      <c r="A2606" s="26" t="s">
        <v>253</v>
      </c>
      <c r="B2606" s="124">
        <v>45799.0</v>
      </c>
      <c r="C2606" s="26" t="s">
        <v>5592</v>
      </c>
      <c r="D2606" s="125">
        <v>0.4166666666666667</v>
      </c>
      <c r="E2606" s="125">
        <v>0.75</v>
      </c>
    </row>
    <row r="2607">
      <c r="A2607" s="26" t="s">
        <v>258</v>
      </c>
      <c r="B2607" s="124">
        <v>45799.0</v>
      </c>
      <c r="C2607" s="26" t="s">
        <v>5592</v>
      </c>
      <c r="D2607" s="125">
        <v>0.3333333333333333</v>
      </c>
      <c r="E2607" s="125">
        <v>0.6666666666666666</v>
      </c>
    </row>
    <row r="2608">
      <c r="A2608" s="26" t="s">
        <v>261</v>
      </c>
      <c r="B2608" s="124">
        <v>45799.0</v>
      </c>
      <c r="C2608" s="26" t="s">
        <v>5592</v>
      </c>
      <c r="D2608" s="125">
        <v>0.4166666666666667</v>
      </c>
      <c r="E2608" s="125">
        <v>0.75</v>
      </c>
    </row>
    <row r="2609">
      <c r="A2609" s="26" t="s">
        <v>265</v>
      </c>
      <c r="B2609" s="124">
        <v>45799.0</v>
      </c>
      <c r="C2609" s="26" t="s">
        <v>5592</v>
      </c>
      <c r="D2609" s="125">
        <v>0.3333333333333333</v>
      </c>
      <c r="E2609" s="125">
        <v>0.6666666666666666</v>
      </c>
    </row>
    <row r="2610">
      <c r="A2610" s="26" t="s">
        <v>269</v>
      </c>
      <c r="B2610" s="124">
        <v>45799.0</v>
      </c>
      <c r="C2610" s="26" t="s">
        <v>5592</v>
      </c>
      <c r="D2610" s="125">
        <v>0.3333333333333333</v>
      </c>
      <c r="E2610" s="125">
        <v>0.6666666666666666</v>
      </c>
    </row>
    <row r="2611">
      <c r="A2611" s="26" t="s">
        <v>276</v>
      </c>
      <c r="B2611" s="124">
        <v>45799.0</v>
      </c>
      <c r="C2611" s="26" t="s">
        <v>5592</v>
      </c>
      <c r="D2611" s="125">
        <v>0.3333333333333333</v>
      </c>
      <c r="E2611" s="125">
        <v>0.6666666666666666</v>
      </c>
    </row>
    <row r="2612">
      <c r="A2612" s="26" t="s">
        <v>280</v>
      </c>
      <c r="B2612" s="124">
        <v>45799.0</v>
      </c>
      <c r="C2612" s="26" t="s">
        <v>5592</v>
      </c>
      <c r="D2612" s="125">
        <v>0.4166666666666667</v>
      </c>
      <c r="E2612" s="125">
        <v>0.75</v>
      </c>
    </row>
    <row r="2613">
      <c r="A2613" s="26" t="s">
        <v>243</v>
      </c>
      <c r="B2613" s="124">
        <v>45798.0</v>
      </c>
      <c r="C2613" s="26" t="s">
        <v>5592</v>
      </c>
      <c r="D2613" s="125">
        <v>0.3333333333333333</v>
      </c>
      <c r="E2613" s="125">
        <v>0.6666666666666666</v>
      </c>
    </row>
    <row r="2614">
      <c r="A2614" s="26" t="s">
        <v>248</v>
      </c>
      <c r="B2614" s="124">
        <v>45798.0</v>
      </c>
      <c r="C2614" s="26" t="s">
        <v>5592</v>
      </c>
      <c r="D2614" s="125">
        <v>0.3333333333333333</v>
      </c>
      <c r="E2614" s="125">
        <v>0.6666666666666666</v>
      </c>
    </row>
    <row r="2615">
      <c r="A2615" s="26" t="s">
        <v>253</v>
      </c>
      <c r="B2615" s="124">
        <v>45798.0</v>
      </c>
      <c r="C2615" s="26" t="s">
        <v>5592</v>
      </c>
      <c r="D2615" s="125">
        <v>0.4166666666666667</v>
      </c>
      <c r="E2615" s="125">
        <v>0.75</v>
      </c>
    </row>
    <row r="2616">
      <c r="A2616" s="26" t="s">
        <v>258</v>
      </c>
      <c r="B2616" s="124">
        <v>45798.0</v>
      </c>
      <c r="C2616" s="26" t="s">
        <v>5592</v>
      </c>
      <c r="D2616" s="125">
        <v>0.3333333333333333</v>
      </c>
      <c r="E2616" s="125">
        <v>0.6666666666666666</v>
      </c>
    </row>
    <row r="2617">
      <c r="A2617" s="26" t="s">
        <v>261</v>
      </c>
      <c r="B2617" s="124">
        <v>45798.0</v>
      </c>
      <c r="C2617" s="26" t="s">
        <v>5592</v>
      </c>
      <c r="D2617" s="125">
        <v>0.4166666666666667</v>
      </c>
      <c r="E2617" s="125">
        <v>0.75</v>
      </c>
    </row>
    <row r="2618">
      <c r="A2618" s="26" t="s">
        <v>265</v>
      </c>
      <c r="B2618" s="124">
        <v>45798.0</v>
      </c>
      <c r="C2618" s="26" t="s">
        <v>5592</v>
      </c>
      <c r="D2618" s="125">
        <v>0.3333333333333333</v>
      </c>
      <c r="E2618" s="125">
        <v>0.6666666666666666</v>
      </c>
    </row>
    <row r="2619">
      <c r="A2619" s="26" t="s">
        <v>269</v>
      </c>
      <c r="B2619" s="124">
        <v>45798.0</v>
      </c>
      <c r="C2619" s="26" t="s">
        <v>5592</v>
      </c>
      <c r="D2619" s="125">
        <v>0.3333333333333333</v>
      </c>
      <c r="E2619" s="125">
        <v>0.6666666666666666</v>
      </c>
    </row>
    <row r="2620">
      <c r="A2620" s="26" t="s">
        <v>276</v>
      </c>
      <c r="B2620" s="124">
        <v>45798.0</v>
      </c>
      <c r="C2620" s="26" t="s">
        <v>5592</v>
      </c>
      <c r="D2620" s="125">
        <v>0.3333333333333333</v>
      </c>
      <c r="E2620" s="125">
        <v>0.6666666666666666</v>
      </c>
    </row>
    <row r="2621">
      <c r="A2621" s="26" t="s">
        <v>280</v>
      </c>
      <c r="B2621" s="124">
        <v>45798.0</v>
      </c>
      <c r="C2621" s="26" t="s">
        <v>5592</v>
      </c>
      <c r="D2621" s="125">
        <v>0.4166666666666667</v>
      </c>
      <c r="E2621" s="125">
        <v>0.75</v>
      </c>
    </row>
    <row r="2622">
      <c r="A2622" s="26" t="s">
        <v>243</v>
      </c>
      <c r="B2622" s="124">
        <v>45797.0</v>
      </c>
      <c r="C2622" s="26" t="s">
        <v>5592</v>
      </c>
      <c r="D2622" s="125">
        <v>0.3333333333333333</v>
      </c>
      <c r="E2622" s="125">
        <v>0.6666666666666666</v>
      </c>
    </row>
    <row r="2623">
      <c r="A2623" s="26" t="s">
        <v>248</v>
      </c>
      <c r="B2623" s="124">
        <v>45797.0</v>
      </c>
      <c r="C2623" s="26" t="s">
        <v>5592</v>
      </c>
      <c r="D2623" s="125">
        <v>0.3333333333333333</v>
      </c>
      <c r="E2623" s="125">
        <v>0.6666666666666666</v>
      </c>
    </row>
    <row r="2624">
      <c r="A2624" s="26" t="s">
        <v>253</v>
      </c>
      <c r="B2624" s="124">
        <v>45797.0</v>
      </c>
      <c r="C2624" s="26" t="s">
        <v>5592</v>
      </c>
      <c r="D2624" s="125">
        <v>0.4166666666666667</v>
      </c>
      <c r="E2624" s="125">
        <v>0.75</v>
      </c>
    </row>
    <row r="2625">
      <c r="A2625" s="26" t="s">
        <v>258</v>
      </c>
      <c r="B2625" s="124">
        <v>45797.0</v>
      </c>
      <c r="C2625" s="26" t="s">
        <v>5592</v>
      </c>
      <c r="D2625" s="125">
        <v>0.3333333333333333</v>
      </c>
      <c r="E2625" s="125">
        <v>0.6666666666666666</v>
      </c>
    </row>
    <row r="2626">
      <c r="A2626" s="26" t="s">
        <v>261</v>
      </c>
      <c r="B2626" s="124">
        <v>45797.0</v>
      </c>
      <c r="C2626" s="26" t="s">
        <v>5592</v>
      </c>
      <c r="D2626" s="125">
        <v>0.4166666666666667</v>
      </c>
      <c r="E2626" s="125">
        <v>0.75</v>
      </c>
    </row>
    <row r="2627">
      <c r="A2627" s="26" t="s">
        <v>265</v>
      </c>
      <c r="B2627" s="124">
        <v>45797.0</v>
      </c>
      <c r="C2627" s="26" t="s">
        <v>5592</v>
      </c>
      <c r="D2627" s="125">
        <v>0.3333333333333333</v>
      </c>
      <c r="E2627" s="125">
        <v>0.6666666666666666</v>
      </c>
    </row>
    <row r="2628">
      <c r="A2628" s="26" t="s">
        <v>269</v>
      </c>
      <c r="B2628" s="124">
        <v>45797.0</v>
      </c>
      <c r="C2628" s="26" t="s">
        <v>5592</v>
      </c>
      <c r="D2628" s="125">
        <v>0.3333333333333333</v>
      </c>
      <c r="E2628" s="125">
        <v>0.6666666666666666</v>
      </c>
    </row>
    <row r="2629">
      <c r="A2629" s="26" t="s">
        <v>276</v>
      </c>
      <c r="B2629" s="124">
        <v>45797.0</v>
      </c>
      <c r="C2629" s="26" t="s">
        <v>5592</v>
      </c>
      <c r="D2629" s="125">
        <v>0.3333333333333333</v>
      </c>
      <c r="E2629" s="125">
        <v>0.6666666666666666</v>
      </c>
    </row>
    <row r="2630">
      <c r="A2630" s="26" t="s">
        <v>280</v>
      </c>
      <c r="B2630" s="124">
        <v>45797.0</v>
      </c>
      <c r="C2630" s="26" t="s">
        <v>5592</v>
      </c>
      <c r="D2630" s="125">
        <v>0.4166666666666667</v>
      </c>
      <c r="E2630" s="125">
        <v>0.75</v>
      </c>
    </row>
    <row r="2631">
      <c r="A2631" s="26" t="s">
        <v>243</v>
      </c>
      <c r="B2631" s="124">
        <v>45796.0</v>
      </c>
      <c r="C2631" s="26" t="s">
        <v>5592</v>
      </c>
      <c r="D2631" s="125">
        <v>0.3333333333333333</v>
      </c>
      <c r="E2631" s="125">
        <v>0.6666666666666666</v>
      </c>
    </row>
    <row r="2632">
      <c r="A2632" s="26" t="s">
        <v>248</v>
      </c>
      <c r="B2632" s="124">
        <v>45796.0</v>
      </c>
      <c r="C2632" s="26" t="s">
        <v>5592</v>
      </c>
      <c r="D2632" s="125">
        <v>0.3333333333333333</v>
      </c>
      <c r="E2632" s="125">
        <v>0.6666666666666666</v>
      </c>
    </row>
    <row r="2633">
      <c r="A2633" s="26" t="s">
        <v>253</v>
      </c>
      <c r="B2633" s="124">
        <v>45796.0</v>
      </c>
      <c r="C2633" s="26" t="s">
        <v>5592</v>
      </c>
      <c r="D2633" s="125">
        <v>0.4166666666666667</v>
      </c>
      <c r="E2633" s="125">
        <v>0.75</v>
      </c>
    </row>
    <row r="2634">
      <c r="A2634" s="26" t="s">
        <v>258</v>
      </c>
      <c r="B2634" s="124">
        <v>45796.0</v>
      </c>
      <c r="C2634" s="26" t="s">
        <v>5592</v>
      </c>
      <c r="D2634" s="125">
        <v>0.3333333333333333</v>
      </c>
      <c r="E2634" s="125">
        <v>0.6666666666666666</v>
      </c>
    </row>
    <row r="2635">
      <c r="A2635" s="26" t="s">
        <v>261</v>
      </c>
      <c r="B2635" s="124">
        <v>45796.0</v>
      </c>
      <c r="C2635" s="26" t="s">
        <v>5592</v>
      </c>
      <c r="D2635" s="125">
        <v>0.4166666666666667</v>
      </c>
      <c r="E2635" s="125">
        <v>0.75</v>
      </c>
    </row>
    <row r="2636">
      <c r="A2636" s="26" t="s">
        <v>265</v>
      </c>
      <c r="B2636" s="124">
        <v>45796.0</v>
      </c>
      <c r="C2636" s="26" t="s">
        <v>5592</v>
      </c>
      <c r="D2636" s="125">
        <v>0.3333333333333333</v>
      </c>
      <c r="E2636" s="125">
        <v>0.6666666666666666</v>
      </c>
    </row>
    <row r="2637">
      <c r="A2637" s="26" t="s">
        <v>269</v>
      </c>
      <c r="B2637" s="124">
        <v>45796.0</v>
      </c>
      <c r="C2637" s="26" t="s">
        <v>5592</v>
      </c>
      <c r="D2637" s="125">
        <v>0.3333333333333333</v>
      </c>
      <c r="E2637" s="125">
        <v>0.6666666666666666</v>
      </c>
    </row>
    <row r="2638">
      <c r="A2638" s="26" t="s">
        <v>276</v>
      </c>
      <c r="B2638" s="124">
        <v>45796.0</v>
      </c>
      <c r="C2638" s="26" t="s">
        <v>5592</v>
      </c>
      <c r="D2638" s="125">
        <v>0.3333333333333333</v>
      </c>
      <c r="E2638" s="125">
        <v>0.6666666666666666</v>
      </c>
    </row>
    <row r="2639">
      <c r="A2639" s="26" t="s">
        <v>280</v>
      </c>
      <c r="B2639" s="124">
        <v>45796.0</v>
      </c>
      <c r="C2639" s="26" t="s">
        <v>5592</v>
      </c>
      <c r="D2639" s="125">
        <v>0.4166666666666667</v>
      </c>
      <c r="E2639" s="125">
        <v>0.75</v>
      </c>
    </row>
    <row r="2640">
      <c r="A2640" s="26" t="s">
        <v>243</v>
      </c>
      <c r="B2640" s="124">
        <v>45794.0</v>
      </c>
      <c r="C2640" s="26" t="s">
        <v>5592</v>
      </c>
      <c r="D2640" s="125">
        <v>0.3333333333333333</v>
      </c>
      <c r="E2640" s="125">
        <v>0.6666666666666666</v>
      </c>
    </row>
    <row r="2641">
      <c r="A2641" s="26" t="s">
        <v>248</v>
      </c>
      <c r="B2641" s="124">
        <v>45794.0</v>
      </c>
      <c r="C2641" s="26" t="s">
        <v>5592</v>
      </c>
      <c r="D2641" s="125">
        <v>0.3333333333333333</v>
      </c>
      <c r="E2641" s="125">
        <v>0.6666666666666666</v>
      </c>
    </row>
    <row r="2642">
      <c r="A2642" s="26" t="s">
        <v>253</v>
      </c>
      <c r="B2642" s="124">
        <v>45794.0</v>
      </c>
      <c r="C2642" s="26" t="s">
        <v>5592</v>
      </c>
      <c r="D2642" s="125">
        <v>0.4166666666666667</v>
      </c>
      <c r="E2642" s="125">
        <v>0.75</v>
      </c>
    </row>
    <row r="2643">
      <c r="A2643" s="26" t="s">
        <v>258</v>
      </c>
      <c r="B2643" s="124">
        <v>45794.0</v>
      </c>
      <c r="C2643" s="26" t="s">
        <v>5592</v>
      </c>
      <c r="D2643" s="125">
        <v>0.3333333333333333</v>
      </c>
      <c r="E2643" s="125">
        <v>0.6666666666666666</v>
      </c>
    </row>
    <row r="2644">
      <c r="A2644" s="26" t="s">
        <v>261</v>
      </c>
      <c r="B2644" s="124">
        <v>45794.0</v>
      </c>
      <c r="C2644" s="26" t="s">
        <v>5592</v>
      </c>
      <c r="D2644" s="125">
        <v>0.4166666666666667</v>
      </c>
      <c r="E2644" s="125">
        <v>0.75</v>
      </c>
    </row>
    <row r="2645">
      <c r="A2645" s="26" t="s">
        <v>265</v>
      </c>
      <c r="B2645" s="124">
        <v>45794.0</v>
      </c>
      <c r="C2645" s="26" t="s">
        <v>5592</v>
      </c>
      <c r="D2645" s="125">
        <v>0.3333333333333333</v>
      </c>
      <c r="E2645" s="125">
        <v>0.6666666666666666</v>
      </c>
    </row>
    <row r="2646">
      <c r="A2646" s="26" t="s">
        <v>269</v>
      </c>
      <c r="B2646" s="124">
        <v>45794.0</v>
      </c>
      <c r="C2646" s="26" t="s">
        <v>5592</v>
      </c>
      <c r="D2646" s="125">
        <v>0.3333333333333333</v>
      </c>
      <c r="E2646" s="125">
        <v>0.6666666666666666</v>
      </c>
    </row>
    <row r="2647">
      <c r="A2647" s="26" t="s">
        <v>276</v>
      </c>
      <c r="B2647" s="124">
        <v>45794.0</v>
      </c>
      <c r="C2647" s="26" t="s">
        <v>5592</v>
      </c>
      <c r="D2647" s="125">
        <v>0.3333333333333333</v>
      </c>
      <c r="E2647" s="125">
        <v>0.6666666666666666</v>
      </c>
    </row>
    <row r="2648">
      <c r="A2648" s="26" t="s">
        <v>280</v>
      </c>
      <c r="B2648" s="124">
        <v>45794.0</v>
      </c>
      <c r="C2648" s="26" t="s">
        <v>5592</v>
      </c>
      <c r="D2648" s="125">
        <v>0.4166666666666667</v>
      </c>
      <c r="E2648" s="125">
        <v>0.75</v>
      </c>
    </row>
    <row r="2649">
      <c r="A2649" s="26" t="s">
        <v>243</v>
      </c>
      <c r="B2649" s="124">
        <v>45793.0</v>
      </c>
      <c r="C2649" s="26" t="s">
        <v>5592</v>
      </c>
      <c r="D2649" s="125">
        <v>0.3333333333333333</v>
      </c>
      <c r="E2649" s="125">
        <v>0.6666666666666666</v>
      </c>
    </row>
    <row r="2650">
      <c r="A2650" s="26" t="s">
        <v>248</v>
      </c>
      <c r="B2650" s="124">
        <v>45793.0</v>
      </c>
      <c r="C2650" s="26" t="s">
        <v>5592</v>
      </c>
      <c r="D2650" s="125">
        <v>0.3333333333333333</v>
      </c>
      <c r="E2650" s="125">
        <v>0.6666666666666666</v>
      </c>
    </row>
    <row r="2651">
      <c r="A2651" s="26" t="s">
        <v>253</v>
      </c>
      <c r="B2651" s="124">
        <v>45793.0</v>
      </c>
      <c r="C2651" s="26" t="s">
        <v>5592</v>
      </c>
      <c r="D2651" s="125">
        <v>0.4166666666666667</v>
      </c>
      <c r="E2651" s="125">
        <v>0.75</v>
      </c>
    </row>
    <row r="2652">
      <c r="A2652" s="26" t="s">
        <v>258</v>
      </c>
      <c r="B2652" s="124">
        <v>45793.0</v>
      </c>
      <c r="C2652" s="26" t="s">
        <v>5592</v>
      </c>
      <c r="D2652" s="125">
        <v>0.3333333333333333</v>
      </c>
      <c r="E2652" s="125">
        <v>0.6666666666666666</v>
      </c>
    </row>
    <row r="2653">
      <c r="A2653" s="26" t="s">
        <v>261</v>
      </c>
      <c r="B2653" s="124">
        <v>45793.0</v>
      </c>
      <c r="C2653" s="26" t="s">
        <v>5592</v>
      </c>
      <c r="D2653" s="125">
        <v>0.4166666666666667</v>
      </c>
      <c r="E2653" s="125">
        <v>0.75</v>
      </c>
    </row>
    <row r="2654">
      <c r="A2654" s="26" t="s">
        <v>265</v>
      </c>
      <c r="B2654" s="124">
        <v>45793.0</v>
      </c>
      <c r="C2654" s="26" t="s">
        <v>5592</v>
      </c>
      <c r="D2654" s="125">
        <v>0.3333333333333333</v>
      </c>
      <c r="E2654" s="125">
        <v>0.6666666666666666</v>
      </c>
    </row>
    <row r="2655">
      <c r="A2655" s="26" t="s">
        <v>269</v>
      </c>
      <c r="B2655" s="124">
        <v>45793.0</v>
      </c>
      <c r="C2655" s="26" t="s">
        <v>5592</v>
      </c>
      <c r="D2655" s="125">
        <v>0.3333333333333333</v>
      </c>
      <c r="E2655" s="125">
        <v>0.6666666666666666</v>
      </c>
    </row>
    <row r="2656">
      <c r="A2656" s="26" t="s">
        <v>276</v>
      </c>
      <c r="B2656" s="124">
        <v>45793.0</v>
      </c>
      <c r="C2656" s="26" t="s">
        <v>5592</v>
      </c>
      <c r="D2656" s="125">
        <v>0.3333333333333333</v>
      </c>
      <c r="E2656" s="125">
        <v>0.6666666666666666</v>
      </c>
    </row>
    <row r="2657">
      <c r="A2657" s="26" t="s">
        <v>280</v>
      </c>
      <c r="B2657" s="124">
        <v>45793.0</v>
      </c>
      <c r="C2657" s="26" t="s">
        <v>5592</v>
      </c>
      <c r="D2657" s="125">
        <v>0.4166666666666667</v>
      </c>
      <c r="E2657" s="125">
        <v>0.75</v>
      </c>
    </row>
    <row r="2658">
      <c r="A2658" s="26" t="s">
        <v>243</v>
      </c>
      <c r="B2658" s="124">
        <v>45792.0</v>
      </c>
      <c r="C2658" s="26" t="s">
        <v>5592</v>
      </c>
      <c r="D2658" s="125">
        <v>0.3333333333333333</v>
      </c>
      <c r="E2658" s="125">
        <v>0.6666666666666666</v>
      </c>
    </row>
    <row r="2659">
      <c r="A2659" s="26" t="s">
        <v>248</v>
      </c>
      <c r="B2659" s="124">
        <v>45792.0</v>
      </c>
      <c r="C2659" s="26" t="s">
        <v>5592</v>
      </c>
      <c r="D2659" s="125">
        <v>0.3333333333333333</v>
      </c>
      <c r="E2659" s="125">
        <v>0.6666666666666666</v>
      </c>
    </row>
    <row r="2660">
      <c r="A2660" s="26" t="s">
        <v>253</v>
      </c>
      <c r="B2660" s="124">
        <v>45792.0</v>
      </c>
      <c r="C2660" s="26" t="s">
        <v>5592</v>
      </c>
      <c r="D2660" s="125">
        <v>0.4166666666666667</v>
      </c>
      <c r="E2660" s="125">
        <v>0.75</v>
      </c>
    </row>
    <row r="2661">
      <c r="A2661" s="26" t="s">
        <v>258</v>
      </c>
      <c r="B2661" s="124">
        <v>45792.0</v>
      </c>
      <c r="C2661" s="26" t="s">
        <v>5592</v>
      </c>
      <c r="D2661" s="125">
        <v>0.3333333333333333</v>
      </c>
      <c r="E2661" s="125">
        <v>0.6666666666666666</v>
      </c>
    </row>
    <row r="2662">
      <c r="A2662" s="26" t="s">
        <v>261</v>
      </c>
      <c r="B2662" s="124">
        <v>45792.0</v>
      </c>
      <c r="C2662" s="26" t="s">
        <v>5592</v>
      </c>
      <c r="D2662" s="125">
        <v>0.4166666666666667</v>
      </c>
      <c r="E2662" s="125">
        <v>0.75</v>
      </c>
    </row>
    <row r="2663">
      <c r="A2663" s="26" t="s">
        <v>265</v>
      </c>
      <c r="B2663" s="124">
        <v>45792.0</v>
      </c>
      <c r="C2663" s="26" t="s">
        <v>5592</v>
      </c>
      <c r="D2663" s="125">
        <v>0.3333333333333333</v>
      </c>
      <c r="E2663" s="125">
        <v>0.6666666666666666</v>
      </c>
    </row>
    <row r="2664">
      <c r="A2664" s="26" t="s">
        <v>269</v>
      </c>
      <c r="B2664" s="124">
        <v>45792.0</v>
      </c>
      <c r="C2664" s="26" t="s">
        <v>5592</v>
      </c>
      <c r="D2664" s="125">
        <v>0.3333333333333333</v>
      </c>
      <c r="E2664" s="125">
        <v>0.6666666666666666</v>
      </c>
    </row>
    <row r="2665">
      <c r="A2665" s="26" t="s">
        <v>276</v>
      </c>
      <c r="B2665" s="124">
        <v>45792.0</v>
      </c>
      <c r="C2665" s="26" t="s">
        <v>5592</v>
      </c>
      <c r="D2665" s="125">
        <v>0.3333333333333333</v>
      </c>
      <c r="E2665" s="125">
        <v>0.6666666666666666</v>
      </c>
    </row>
    <row r="2666">
      <c r="A2666" s="26" t="s">
        <v>280</v>
      </c>
      <c r="B2666" s="124">
        <v>45792.0</v>
      </c>
      <c r="C2666" s="26" t="s">
        <v>5592</v>
      </c>
      <c r="D2666" s="125">
        <v>0.4166666666666667</v>
      </c>
      <c r="E2666" s="125">
        <v>0.75</v>
      </c>
    </row>
    <row r="2667">
      <c r="A2667" s="26" t="s">
        <v>243</v>
      </c>
      <c r="B2667" s="124">
        <v>45791.0</v>
      </c>
      <c r="C2667" s="26" t="s">
        <v>5592</v>
      </c>
      <c r="D2667" s="125">
        <v>0.3333333333333333</v>
      </c>
      <c r="E2667" s="125">
        <v>0.6666666666666666</v>
      </c>
    </row>
    <row r="2668">
      <c r="A2668" s="26" t="s">
        <v>248</v>
      </c>
      <c r="B2668" s="124">
        <v>45791.0</v>
      </c>
      <c r="C2668" s="26" t="s">
        <v>5592</v>
      </c>
      <c r="D2668" s="125">
        <v>0.3333333333333333</v>
      </c>
      <c r="E2668" s="125">
        <v>0.6666666666666666</v>
      </c>
    </row>
    <row r="2669">
      <c r="A2669" s="26" t="s">
        <v>253</v>
      </c>
      <c r="B2669" s="124">
        <v>45791.0</v>
      </c>
      <c r="C2669" s="26" t="s">
        <v>5592</v>
      </c>
      <c r="D2669" s="125">
        <v>0.4166666666666667</v>
      </c>
      <c r="E2669" s="125">
        <v>0.75</v>
      </c>
    </row>
    <row r="2670">
      <c r="A2670" s="26" t="s">
        <v>258</v>
      </c>
      <c r="B2670" s="124">
        <v>45791.0</v>
      </c>
      <c r="C2670" s="26" t="s">
        <v>5592</v>
      </c>
      <c r="D2670" s="125">
        <v>0.3333333333333333</v>
      </c>
      <c r="E2670" s="125">
        <v>0.6666666666666666</v>
      </c>
    </row>
    <row r="2671">
      <c r="A2671" s="26" t="s">
        <v>261</v>
      </c>
      <c r="B2671" s="124">
        <v>45791.0</v>
      </c>
      <c r="C2671" s="26" t="s">
        <v>5592</v>
      </c>
      <c r="D2671" s="125">
        <v>0.4166666666666667</v>
      </c>
      <c r="E2671" s="125">
        <v>0.75</v>
      </c>
    </row>
    <row r="2672">
      <c r="A2672" s="26" t="s">
        <v>265</v>
      </c>
      <c r="B2672" s="124">
        <v>45791.0</v>
      </c>
      <c r="C2672" s="26" t="s">
        <v>5592</v>
      </c>
      <c r="D2672" s="125">
        <v>0.3333333333333333</v>
      </c>
      <c r="E2672" s="125">
        <v>0.6666666666666666</v>
      </c>
    </row>
    <row r="2673">
      <c r="A2673" s="26" t="s">
        <v>269</v>
      </c>
      <c r="B2673" s="124">
        <v>45791.0</v>
      </c>
      <c r="C2673" s="26" t="s">
        <v>5592</v>
      </c>
      <c r="D2673" s="125">
        <v>0.3333333333333333</v>
      </c>
      <c r="E2673" s="125">
        <v>0.6666666666666666</v>
      </c>
    </row>
    <row r="2674">
      <c r="A2674" s="26" t="s">
        <v>276</v>
      </c>
      <c r="B2674" s="124">
        <v>45791.0</v>
      </c>
      <c r="C2674" s="26" t="s">
        <v>5592</v>
      </c>
      <c r="D2674" s="125">
        <v>0.3333333333333333</v>
      </c>
      <c r="E2674" s="125">
        <v>0.6666666666666666</v>
      </c>
    </row>
    <row r="2675">
      <c r="A2675" s="26" t="s">
        <v>280</v>
      </c>
      <c r="B2675" s="124">
        <v>45791.0</v>
      </c>
      <c r="C2675" s="26" t="s">
        <v>5592</v>
      </c>
      <c r="D2675" s="125">
        <v>0.4166666666666667</v>
      </c>
      <c r="E2675" s="125">
        <v>0.75</v>
      </c>
    </row>
    <row r="2676">
      <c r="A2676" s="26" t="s">
        <v>243</v>
      </c>
      <c r="B2676" s="124">
        <v>45790.0</v>
      </c>
      <c r="C2676" s="26" t="s">
        <v>5592</v>
      </c>
      <c r="D2676" s="125">
        <v>0.3333333333333333</v>
      </c>
      <c r="E2676" s="125">
        <v>0.6666666666666666</v>
      </c>
    </row>
    <row r="2677">
      <c r="A2677" s="26" t="s">
        <v>248</v>
      </c>
      <c r="B2677" s="124">
        <v>45790.0</v>
      </c>
      <c r="C2677" s="26" t="s">
        <v>5592</v>
      </c>
      <c r="D2677" s="125">
        <v>0.3333333333333333</v>
      </c>
      <c r="E2677" s="125">
        <v>0.6666666666666666</v>
      </c>
    </row>
    <row r="2678">
      <c r="A2678" s="26" t="s">
        <v>253</v>
      </c>
      <c r="B2678" s="124">
        <v>45790.0</v>
      </c>
      <c r="C2678" s="26" t="s">
        <v>5592</v>
      </c>
      <c r="D2678" s="125">
        <v>0.4166666666666667</v>
      </c>
      <c r="E2678" s="125">
        <v>0.75</v>
      </c>
    </row>
    <row r="2679">
      <c r="A2679" s="26" t="s">
        <v>258</v>
      </c>
      <c r="B2679" s="124">
        <v>45790.0</v>
      </c>
      <c r="C2679" s="26" t="s">
        <v>5592</v>
      </c>
      <c r="D2679" s="125">
        <v>0.3333333333333333</v>
      </c>
      <c r="E2679" s="125">
        <v>0.6666666666666666</v>
      </c>
    </row>
    <row r="2680">
      <c r="A2680" s="26" t="s">
        <v>261</v>
      </c>
      <c r="B2680" s="124">
        <v>45790.0</v>
      </c>
      <c r="C2680" s="26" t="s">
        <v>5592</v>
      </c>
      <c r="D2680" s="125">
        <v>0.4166666666666667</v>
      </c>
      <c r="E2680" s="125">
        <v>0.75</v>
      </c>
    </row>
    <row r="2681">
      <c r="A2681" s="26" t="s">
        <v>265</v>
      </c>
      <c r="B2681" s="124">
        <v>45790.0</v>
      </c>
      <c r="C2681" s="26" t="s">
        <v>5592</v>
      </c>
      <c r="D2681" s="125">
        <v>0.3333333333333333</v>
      </c>
      <c r="E2681" s="125">
        <v>0.6666666666666666</v>
      </c>
    </row>
    <row r="2682">
      <c r="A2682" s="26" t="s">
        <v>269</v>
      </c>
      <c r="B2682" s="124">
        <v>45790.0</v>
      </c>
      <c r="C2682" s="26" t="s">
        <v>5592</v>
      </c>
      <c r="D2682" s="125">
        <v>0.3333333333333333</v>
      </c>
      <c r="E2682" s="125">
        <v>0.6666666666666666</v>
      </c>
    </row>
    <row r="2683">
      <c r="A2683" s="26" t="s">
        <v>276</v>
      </c>
      <c r="B2683" s="124">
        <v>45790.0</v>
      </c>
      <c r="C2683" s="26" t="s">
        <v>5592</v>
      </c>
      <c r="D2683" s="125">
        <v>0.3333333333333333</v>
      </c>
      <c r="E2683" s="125">
        <v>0.6666666666666666</v>
      </c>
    </row>
    <row r="2684">
      <c r="A2684" s="26" t="s">
        <v>280</v>
      </c>
      <c r="B2684" s="124">
        <v>45790.0</v>
      </c>
      <c r="C2684" s="26" t="s">
        <v>5592</v>
      </c>
      <c r="D2684" s="125">
        <v>0.4166666666666667</v>
      </c>
      <c r="E2684" s="125">
        <v>0.75</v>
      </c>
    </row>
    <row r="2685">
      <c r="A2685" s="26" t="s">
        <v>243</v>
      </c>
      <c r="B2685" s="124">
        <v>45789.0</v>
      </c>
      <c r="C2685" s="26" t="s">
        <v>5592</v>
      </c>
      <c r="D2685" s="125">
        <v>0.3333333333333333</v>
      </c>
      <c r="E2685" s="125">
        <v>0.6666666666666666</v>
      </c>
    </row>
    <row r="2686">
      <c r="A2686" s="26" t="s">
        <v>248</v>
      </c>
      <c r="B2686" s="124">
        <v>45789.0</v>
      </c>
      <c r="C2686" s="26" t="s">
        <v>5592</v>
      </c>
      <c r="D2686" s="125">
        <v>0.3333333333333333</v>
      </c>
      <c r="E2686" s="125">
        <v>0.6666666666666666</v>
      </c>
    </row>
    <row r="2687">
      <c r="A2687" s="26" t="s">
        <v>253</v>
      </c>
      <c r="B2687" s="124">
        <v>45789.0</v>
      </c>
      <c r="C2687" s="26" t="s">
        <v>5592</v>
      </c>
      <c r="D2687" s="125">
        <v>0.4166666666666667</v>
      </c>
      <c r="E2687" s="125">
        <v>0.75</v>
      </c>
    </row>
    <row r="2688">
      <c r="A2688" s="26" t="s">
        <v>258</v>
      </c>
      <c r="B2688" s="124">
        <v>45789.0</v>
      </c>
      <c r="C2688" s="26" t="s">
        <v>5592</v>
      </c>
      <c r="D2688" s="125">
        <v>0.3333333333333333</v>
      </c>
      <c r="E2688" s="125">
        <v>0.6666666666666666</v>
      </c>
    </row>
    <row r="2689">
      <c r="A2689" s="26" t="s">
        <v>261</v>
      </c>
      <c r="B2689" s="124">
        <v>45789.0</v>
      </c>
      <c r="C2689" s="26" t="s">
        <v>5592</v>
      </c>
      <c r="D2689" s="125">
        <v>0.4166666666666667</v>
      </c>
      <c r="E2689" s="125">
        <v>0.75</v>
      </c>
    </row>
    <row r="2690">
      <c r="A2690" s="26" t="s">
        <v>265</v>
      </c>
      <c r="B2690" s="124">
        <v>45789.0</v>
      </c>
      <c r="C2690" s="26" t="s">
        <v>5592</v>
      </c>
      <c r="D2690" s="125">
        <v>0.3333333333333333</v>
      </c>
      <c r="E2690" s="125">
        <v>0.6666666666666666</v>
      </c>
    </row>
    <row r="2691">
      <c r="A2691" s="26" t="s">
        <v>269</v>
      </c>
      <c r="B2691" s="124">
        <v>45789.0</v>
      </c>
      <c r="C2691" s="26" t="s">
        <v>5592</v>
      </c>
      <c r="D2691" s="125">
        <v>0.3333333333333333</v>
      </c>
      <c r="E2691" s="125">
        <v>0.6666666666666666</v>
      </c>
    </row>
    <row r="2692">
      <c r="A2692" s="26" t="s">
        <v>276</v>
      </c>
      <c r="B2692" s="124">
        <v>45789.0</v>
      </c>
      <c r="C2692" s="26" t="s">
        <v>5592</v>
      </c>
      <c r="D2692" s="125">
        <v>0.3333333333333333</v>
      </c>
      <c r="E2692" s="125">
        <v>0.6666666666666666</v>
      </c>
    </row>
    <row r="2693">
      <c r="A2693" s="26" t="s">
        <v>280</v>
      </c>
      <c r="B2693" s="124">
        <v>45789.0</v>
      </c>
      <c r="C2693" s="26" t="s">
        <v>5592</v>
      </c>
      <c r="D2693" s="125">
        <v>0.4166666666666667</v>
      </c>
      <c r="E2693" s="125">
        <v>0.75</v>
      </c>
    </row>
    <row r="2694">
      <c r="A2694" s="26" t="s">
        <v>243</v>
      </c>
      <c r="B2694" s="124">
        <v>45787.0</v>
      </c>
      <c r="C2694" s="26" t="s">
        <v>5592</v>
      </c>
      <c r="D2694" s="125">
        <v>0.3333333333333333</v>
      </c>
      <c r="E2694" s="125">
        <v>0.6666666666666666</v>
      </c>
    </row>
    <row r="2695">
      <c r="A2695" s="26" t="s">
        <v>248</v>
      </c>
      <c r="B2695" s="124">
        <v>45787.0</v>
      </c>
      <c r="C2695" s="26" t="s">
        <v>5592</v>
      </c>
      <c r="D2695" s="125">
        <v>0.3333333333333333</v>
      </c>
      <c r="E2695" s="125">
        <v>0.6666666666666666</v>
      </c>
    </row>
    <row r="2696">
      <c r="A2696" s="26" t="s">
        <v>253</v>
      </c>
      <c r="B2696" s="124">
        <v>45787.0</v>
      </c>
      <c r="C2696" s="26" t="s">
        <v>5592</v>
      </c>
      <c r="D2696" s="125">
        <v>0.4166666666666667</v>
      </c>
      <c r="E2696" s="125">
        <v>0.75</v>
      </c>
    </row>
    <row r="2697">
      <c r="A2697" s="26" t="s">
        <v>258</v>
      </c>
      <c r="B2697" s="124">
        <v>45787.0</v>
      </c>
      <c r="C2697" s="26" t="s">
        <v>5592</v>
      </c>
      <c r="D2697" s="125">
        <v>0.3333333333333333</v>
      </c>
      <c r="E2697" s="125">
        <v>0.6666666666666666</v>
      </c>
    </row>
    <row r="2698">
      <c r="A2698" s="26" t="s">
        <v>261</v>
      </c>
      <c r="B2698" s="124">
        <v>45787.0</v>
      </c>
      <c r="C2698" s="26" t="s">
        <v>5592</v>
      </c>
      <c r="D2698" s="125">
        <v>0.4166666666666667</v>
      </c>
      <c r="E2698" s="125">
        <v>0.75</v>
      </c>
    </row>
    <row r="2699">
      <c r="A2699" s="26" t="s">
        <v>265</v>
      </c>
      <c r="B2699" s="124">
        <v>45787.0</v>
      </c>
      <c r="C2699" s="26" t="s">
        <v>5592</v>
      </c>
      <c r="D2699" s="125">
        <v>0.3333333333333333</v>
      </c>
      <c r="E2699" s="125">
        <v>0.6666666666666666</v>
      </c>
    </row>
    <row r="2700">
      <c r="A2700" s="26" t="s">
        <v>269</v>
      </c>
      <c r="B2700" s="124">
        <v>45787.0</v>
      </c>
      <c r="C2700" s="26" t="s">
        <v>5592</v>
      </c>
      <c r="D2700" s="125">
        <v>0.3333333333333333</v>
      </c>
      <c r="E2700" s="125">
        <v>0.6666666666666666</v>
      </c>
    </row>
    <row r="2701">
      <c r="A2701" s="26" t="s">
        <v>276</v>
      </c>
      <c r="B2701" s="124">
        <v>45787.0</v>
      </c>
      <c r="C2701" s="26" t="s">
        <v>5592</v>
      </c>
      <c r="D2701" s="125">
        <v>0.3333333333333333</v>
      </c>
      <c r="E2701" s="125">
        <v>0.6666666666666666</v>
      </c>
    </row>
    <row r="2702">
      <c r="A2702" s="26" t="s">
        <v>280</v>
      </c>
      <c r="B2702" s="124">
        <v>45787.0</v>
      </c>
      <c r="C2702" s="26" t="s">
        <v>5592</v>
      </c>
      <c r="D2702" s="125">
        <v>0.4166666666666667</v>
      </c>
      <c r="E2702" s="125">
        <v>0.75</v>
      </c>
    </row>
    <row r="2703">
      <c r="A2703" s="26" t="s">
        <v>243</v>
      </c>
      <c r="B2703" s="124">
        <v>45786.0</v>
      </c>
      <c r="C2703" s="26" t="s">
        <v>5592</v>
      </c>
      <c r="D2703" s="125">
        <v>0.3333333333333333</v>
      </c>
      <c r="E2703" s="125">
        <v>0.6666666666666666</v>
      </c>
    </row>
    <row r="2704">
      <c r="A2704" s="26" t="s">
        <v>248</v>
      </c>
      <c r="B2704" s="124">
        <v>45786.0</v>
      </c>
      <c r="C2704" s="26" t="s">
        <v>5592</v>
      </c>
      <c r="D2704" s="125">
        <v>0.3333333333333333</v>
      </c>
      <c r="E2704" s="125">
        <v>0.6666666666666666</v>
      </c>
    </row>
    <row r="2705">
      <c r="A2705" s="26" t="s">
        <v>253</v>
      </c>
      <c r="B2705" s="124">
        <v>45786.0</v>
      </c>
      <c r="C2705" s="26" t="s">
        <v>5592</v>
      </c>
      <c r="D2705" s="125">
        <v>0.4166666666666667</v>
      </c>
      <c r="E2705" s="125">
        <v>0.75</v>
      </c>
    </row>
    <row r="2706">
      <c r="A2706" s="26" t="s">
        <v>258</v>
      </c>
      <c r="B2706" s="124">
        <v>45786.0</v>
      </c>
      <c r="C2706" s="26" t="s">
        <v>5592</v>
      </c>
      <c r="D2706" s="125">
        <v>0.3333333333333333</v>
      </c>
      <c r="E2706" s="125">
        <v>0.6666666666666666</v>
      </c>
    </row>
    <row r="2707">
      <c r="A2707" s="26" t="s">
        <v>261</v>
      </c>
      <c r="B2707" s="124">
        <v>45786.0</v>
      </c>
      <c r="C2707" s="26" t="s">
        <v>5592</v>
      </c>
      <c r="D2707" s="125">
        <v>0.4166666666666667</v>
      </c>
      <c r="E2707" s="125">
        <v>0.75</v>
      </c>
    </row>
    <row r="2708">
      <c r="A2708" s="26" t="s">
        <v>265</v>
      </c>
      <c r="B2708" s="124">
        <v>45786.0</v>
      </c>
      <c r="C2708" s="26" t="s">
        <v>5592</v>
      </c>
      <c r="D2708" s="125">
        <v>0.3333333333333333</v>
      </c>
      <c r="E2708" s="125">
        <v>0.6666666666666666</v>
      </c>
    </row>
    <row r="2709">
      <c r="A2709" s="26" t="s">
        <v>269</v>
      </c>
      <c r="B2709" s="124">
        <v>45786.0</v>
      </c>
      <c r="C2709" s="26" t="s">
        <v>5592</v>
      </c>
      <c r="D2709" s="125">
        <v>0.3333333333333333</v>
      </c>
      <c r="E2709" s="125">
        <v>0.6666666666666666</v>
      </c>
    </row>
    <row r="2710">
      <c r="A2710" s="26" t="s">
        <v>276</v>
      </c>
      <c r="B2710" s="124">
        <v>45786.0</v>
      </c>
      <c r="C2710" s="26" t="s">
        <v>5592</v>
      </c>
      <c r="D2710" s="125">
        <v>0.3333333333333333</v>
      </c>
      <c r="E2710" s="125">
        <v>0.6666666666666666</v>
      </c>
    </row>
    <row r="2711">
      <c r="A2711" s="26" t="s">
        <v>280</v>
      </c>
      <c r="B2711" s="124">
        <v>45786.0</v>
      </c>
      <c r="C2711" s="26" t="s">
        <v>5592</v>
      </c>
      <c r="D2711" s="125">
        <v>0.4166666666666667</v>
      </c>
      <c r="E2711" s="125">
        <v>0.75</v>
      </c>
    </row>
    <row r="2712">
      <c r="A2712" s="26" t="s">
        <v>243</v>
      </c>
      <c r="B2712" s="124">
        <v>45785.0</v>
      </c>
      <c r="C2712" s="26" t="s">
        <v>5592</v>
      </c>
      <c r="D2712" s="125">
        <v>0.3333333333333333</v>
      </c>
      <c r="E2712" s="125">
        <v>0.6666666666666666</v>
      </c>
    </row>
    <row r="2713">
      <c r="A2713" s="26" t="s">
        <v>248</v>
      </c>
      <c r="B2713" s="124">
        <v>45785.0</v>
      </c>
      <c r="C2713" s="26" t="s">
        <v>5592</v>
      </c>
      <c r="D2713" s="125">
        <v>0.3333333333333333</v>
      </c>
      <c r="E2713" s="125">
        <v>0.6666666666666666</v>
      </c>
    </row>
    <row r="2714">
      <c r="A2714" s="26" t="s">
        <v>253</v>
      </c>
      <c r="B2714" s="124">
        <v>45785.0</v>
      </c>
      <c r="C2714" s="26" t="s">
        <v>5592</v>
      </c>
      <c r="D2714" s="125">
        <v>0.4166666666666667</v>
      </c>
      <c r="E2714" s="125">
        <v>0.75</v>
      </c>
    </row>
    <row r="2715">
      <c r="A2715" s="26" t="s">
        <v>258</v>
      </c>
      <c r="B2715" s="124">
        <v>45785.0</v>
      </c>
      <c r="C2715" s="26" t="s">
        <v>5592</v>
      </c>
      <c r="D2715" s="125">
        <v>0.3333333333333333</v>
      </c>
      <c r="E2715" s="125">
        <v>0.6666666666666666</v>
      </c>
    </row>
    <row r="2716">
      <c r="A2716" s="26" t="s">
        <v>261</v>
      </c>
      <c r="B2716" s="124">
        <v>45785.0</v>
      </c>
      <c r="C2716" s="26" t="s">
        <v>5592</v>
      </c>
      <c r="D2716" s="125">
        <v>0.4166666666666667</v>
      </c>
      <c r="E2716" s="125">
        <v>0.75</v>
      </c>
    </row>
    <row r="2717">
      <c r="A2717" s="26" t="s">
        <v>265</v>
      </c>
      <c r="B2717" s="124">
        <v>45785.0</v>
      </c>
      <c r="C2717" s="26" t="s">
        <v>5592</v>
      </c>
      <c r="D2717" s="125">
        <v>0.3333333333333333</v>
      </c>
      <c r="E2717" s="125">
        <v>0.6666666666666666</v>
      </c>
    </row>
    <row r="2718">
      <c r="A2718" s="26" t="s">
        <v>269</v>
      </c>
      <c r="B2718" s="124">
        <v>45785.0</v>
      </c>
      <c r="C2718" s="26" t="s">
        <v>5592</v>
      </c>
      <c r="D2718" s="125">
        <v>0.3333333333333333</v>
      </c>
      <c r="E2718" s="125">
        <v>0.6666666666666666</v>
      </c>
    </row>
    <row r="2719">
      <c r="A2719" s="26" t="s">
        <v>276</v>
      </c>
      <c r="B2719" s="124">
        <v>45785.0</v>
      </c>
      <c r="C2719" s="26" t="s">
        <v>5592</v>
      </c>
      <c r="D2719" s="125">
        <v>0.3333333333333333</v>
      </c>
      <c r="E2719" s="125">
        <v>0.6666666666666666</v>
      </c>
    </row>
    <row r="2720">
      <c r="A2720" s="26" t="s">
        <v>280</v>
      </c>
      <c r="B2720" s="124">
        <v>45785.0</v>
      </c>
      <c r="C2720" s="26" t="s">
        <v>5592</v>
      </c>
      <c r="D2720" s="125">
        <v>0.4166666666666667</v>
      </c>
      <c r="E2720" s="125">
        <v>0.75</v>
      </c>
    </row>
    <row r="2721">
      <c r="A2721" s="26" t="s">
        <v>243</v>
      </c>
      <c r="B2721" s="124">
        <v>45784.0</v>
      </c>
      <c r="C2721" s="26" t="s">
        <v>5592</v>
      </c>
      <c r="D2721" s="125">
        <v>0.3333333333333333</v>
      </c>
      <c r="E2721" s="125">
        <v>0.6666666666666666</v>
      </c>
    </row>
    <row r="2722">
      <c r="A2722" s="26" t="s">
        <v>248</v>
      </c>
      <c r="B2722" s="124">
        <v>45784.0</v>
      </c>
      <c r="C2722" s="26" t="s">
        <v>5592</v>
      </c>
      <c r="D2722" s="125">
        <v>0.3333333333333333</v>
      </c>
      <c r="E2722" s="125">
        <v>0.6666666666666666</v>
      </c>
    </row>
    <row r="2723">
      <c r="A2723" s="26" t="s">
        <v>253</v>
      </c>
      <c r="B2723" s="124">
        <v>45784.0</v>
      </c>
      <c r="C2723" s="26" t="s">
        <v>5592</v>
      </c>
      <c r="D2723" s="125">
        <v>0.4166666666666667</v>
      </c>
      <c r="E2723" s="125">
        <v>0.75</v>
      </c>
    </row>
    <row r="2724">
      <c r="A2724" s="26" t="s">
        <v>258</v>
      </c>
      <c r="B2724" s="124">
        <v>45784.0</v>
      </c>
      <c r="C2724" s="26" t="s">
        <v>5592</v>
      </c>
      <c r="D2724" s="125">
        <v>0.3333333333333333</v>
      </c>
      <c r="E2724" s="125">
        <v>0.6666666666666666</v>
      </c>
    </row>
    <row r="2725">
      <c r="A2725" s="26" t="s">
        <v>261</v>
      </c>
      <c r="B2725" s="124">
        <v>45784.0</v>
      </c>
      <c r="C2725" s="26" t="s">
        <v>5592</v>
      </c>
      <c r="D2725" s="125">
        <v>0.4166666666666667</v>
      </c>
      <c r="E2725" s="125">
        <v>0.75</v>
      </c>
    </row>
    <row r="2726">
      <c r="A2726" s="26" t="s">
        <v>265</v>
      </c>
      <c r="B2726" s="124">
        <v>45784.0</v>
      </c>
      <c r="C2726" s="26" t="s">
        <v>5592</v>
      </c>
      <c r="D2726" s="125">
        <v>0.3333333333333333</v>
      </c>
      <c r="E2726" s="125">
        <v>0.6666666666666666</v>
      </c>
    </row>
    <row r="2727">
      <c r="A2727" s="26" t="s">
        <v>269</v>
      </c>
      <c r="B2727" s="124">
        <v>45784.0</v>
      </c>
      <c r="C2727" s="26" t="s">
        <v>5592</v>
      </c>
      <c r="D2727" s="125">
        <v>0.3333333333333333</v>
      </c>
      <c r="E2727" s="125">
        <v>0.6666666666666666</v>
      </c>
    </row>
    <row r="2728">
      <c r="A2728" s="26" t="s">
        <v>276</v>
      </c>
      <c r="B2728" s="124">
        <v>45784.0</v>
      </c>
      <c r="C2728" s="26" t="s">
        <v>5592</v>
      </c>
      <c r="D2728" s="125">
        <v>0.3333333333333333</v>
      </c>
      <c r="E2728" s="125">
        <v>0.6666666666666666</v>
      </c>
    </row>
    <row r="2729">
      <c r="A2729" s="26" t="s">
        <v>280</v>
      </c>
      <c r="B2729" s="124">
        <v>45784.0</v>
      </c>
      <c r="C2729" s="26" t="s">
        <v>5592</v>
      </c>
      <c r="D2729" s="125">
        <v>0.4166666666666667</v>
      </c>
      <c r="E2729" s="125">
        <v>0.75</v>
      </c>
    </row>
    <row r="2730">
      <c r="A2730" s="26" t="s">
        <v>243</v>
      </c>
      <c r="B2730" s="124">
        <v>45783.0</v>
      </c>
      <c r="C2730" s="26" t="s">
        <v>5592</v>
      </c>
      <c r="D2730" s="125">
        <v>0.3333333333333333</v>
      </c>
      <c r="E2730" s="125">
        <v>0.6666666666666666</v>
      </c>
    </row>
    <row r="2731">
      <c r="A2731" s="26" t="s">
        <v>248</v>
      </c>
      <c r="B2731" s="124">
        <v>45783.0</v>
      </c>
      <c r="C2731" s="26" t="s">
        <v>5592</v>
      </c>
      <c r="D2731" s="125">
        <v>0.3333333333333333</v>
      </c>
      <c r="E2731" s="125">
        <v>0.6666666666666666</v>
      </c>
    </row>
    <row r="2732">
      <c r="A2732" s="26" t="s">
        <v>253</v>
      </c>
      <c r="B2732" s="124">
        <v>45783.0</v>
      </c>
      <c r="C2732" s="26" t="s">
        <v>5592</v>
      </c>
      <c r="D2732" s="125">
        <v>0.4166666666666667</v>
      </c>
      <c r="E2732" s="125">
        <v>0.75</v>
      </c>
    </row>
    <row r="2733">
      <c r="A2733" s="26" t="s">
        <v>258</v>
      </c>
      <c r="B2733" s="124">
        <v>45783.0</v>
      </c>
      <c r="C2733" s="26" t="s">
        <v>5592</v>
      </c>
      <c r="D2733" s="125">
        <v>0.3333333333333333</v>
      </c>
      <c r="E2733" s="125">
        <v>0.6666666666666666</v>
      </c>
    </row>
    <row r="2734">
      <c r="A2734" s="26" t="s">
        <v>261</v>
      </c>
      <c r="B2734" s="124">
        <v>45783.0</v>
      </c>
      <c r="C2734" s="26" t="s">
        <v>5592</v>
      </c>
      <c r="D2734" s="125">
        <v>0.4166666666666667</v>
      </c>
      <c r="E2734" s="125">
        <v>0.75</v>
      </c>
    </row>
    <row r="2735">
      <c r="A2735" s="26" t="s">
        <v>265</v>
      </c>
      <c r="B2735" s="124">
        <v>45783.0</v>
      </c>
      <c r="C2735" s="26" t="s">
        <v>5592</v>
      </c>
      <c r="D2735" s="125">
        <v>0.3333333333333333</v>
      </c>
      <c r="E2735" s="125">
        <v>0.6666666666666666</v>
      </c>
    </row>
    <row r="2736">
      <c r="A2736" s="26" t="s">
        <v>269</v>
      </c>
      <c r="B2736" s="124">
        <v>45783.0</v>
      </c>
      <c r="C2736" s="26" t="s">
        <v>5592</v>
      </c>
      <c r="D2736" s="125">
        <v>0.3333333333333333</v>
      </c>
      <c r="E2736" s="125">
        <v>0.6666666666666666</v>
      </c>
    </row>
    <row r="2737">
      <c r="A2737" s="26" t="s">
        <v>276</v>
      </c>
      <c r="B2737" s="124">
        <v>45783.0</v>
      </c>
      <c r="C2737" s="26" t="s">
        <v>5592</v>
      </c>
      <c r="D2737" s="125">
        <v>0.3333333333333333</v>
      </c>
      <c r="E2737" s="125">
        <v>0.6666666666666666</v>
      </c>
    </row>
    <row r="2738">
      <c r="A2738" s="26" t="s">
        <v>280</v>
      </c>
      <c r="B2738" s="124">
        <v>45783.0</v>
      </c>
      <c r="C2738" s="26" t="s">
        <v>5592</v>
      </c>
      <c r="D2738" s="125">
        <v>0.4166666666666667</v>
      </c>
      <c r="E2738" s="125">
        <v>0.75</v>
      </c>
    </row>
    <row r="2739">
      <c r="A2739" s="26" t="s">
        <v>243</v>
      </c>
      <c r="B2739" s="124">
        <v>45782.0</v>
      </c>
      <c r="C2739" s="26" t="s">
        <v>5592</v>
      </c>
      <c r="D2739" s="125">
        <v>0.3333333333333333</v>
      </c>
      <c r="E2739" s="125">
        <v>0.6666666666666666</v>
      </c>
    </row>
    <row r="2740">
      <c r="A2740" s="26" t="s">
        <v>248</v>
      </c>
      <c r="B2740" s="124">
        <v>45782.0</v>
      </c>
      <c r="C2740" s="26" t="s">
        <v>5592</v>
      </c>
      <c r="D2740" s="125">
        <v>0.3333333333333333</v>
      </c>
      <c r="E2740" s="125">
        <v>0.6666666666666666</v>
      </c>
    </row>
    <row r="2741">
      <c r="A2741" s="26" t="s">
        <v>253</v>
      </c>
      <c r="B2741" s="124">
        <v>45782.0</v>
      </c>
      <c r="C2741" s="26" t="s">
        <v>5592</v>
      </c>
      <c r="D2741" s="125">
        <v>0.4166666666666667</v>
      </c>
      <c r="E2741" s="125">
        <v>0.75</v>
      </c>
    </row>
    <row r="2742">
      <c r="A2742" s="26" t="s">
        <v>258</v>
      </c>
      <c r="B2742" s="124">
        <v>45782.0</v>
      </c>
      <c r="C2742" s="26" t="s">
        <v>5592</v>
      </c>
      <c r="D2742" s="125">
        <v>0.3333333333333333</v>
      </c>
      <c r="E2742" s="125">
        <v>0.6666666666666666</v>
      </c>
    </row>
    <row r="2743">
      <c r="A2743" s="26" t="s">
        <v>261</v>
      </c>
      <c r="B2743" s="124">
        <v>45782.0</v>
      </c>
      <c r="C2743" s="26" t="s">
        <v>5592</v>
      </c>
      <c r="D2743" s="125">
        <v>0.4166666666666667</v>
      </c>
      <c r="E2743" s="125">
        <v>0.75</v>
      </c>
    </row>
    <row r="2744">
      <c r="A2744" s="26" t="s">
        <v>265</v>
      </c>
      <c r="B2744" s="124">
        <v>45782.0</v>
      </c>
      <c r="C2744" s="26" t="s">
        <v>5592</v>
      </c>
      <c r="D2744" s="125">
        <v>0.3333333333333333</v>
      </c>
      <c r="E2744" s="125">
        <v>0.6666666666666666</v>
      </c>
    </row>
    <row r="2745">
      <c r="A2745" s="26" t="s">
        <v>269</v>
      </c>
      <c r="B2745" s="124">
        <v>45782.0</v>
      </c>
      <c r="C2745" s="26" t="s">
        <v>5592</v>
      </c>
      <c r="D2745" s="125">
        <v>0.3333333333333333</v>
      </c>
      <c r="E2745" s="125">
        <v>0.6666666666666666</v>
      </c>
    </row>
    <row r="2746">
      <c r="A2746" s="26" t="s">
        <v>276</v>
      </c>
      <c r="B2746" s="124">
        <v>45782.0</v>
      </c>
      <c r="C2746" s="26" t="s">
        <v>5592</v>
      </c>
      <c r="D2746" s="125">
        <v>0.3333333333333333</v>
      </c>
      <c r="E2746" s="125">
        <v>0.6666666666666666</v>
      </c>
    </row>
    <row r="2747">
      <c r="A2747" s="26" t="s">
        <v>280</v>
      </c>
      <c r="B2747" s="124">
        <v>45782.0</v>
      </c>
      <c r="C2747" s="26" t="s">
        <v>5592</v>
      </c>
      <c r="D2747" s="125">
        <v>0.4166666666666667</v>
      </c>
      <c r="E2747" s="125">
        <v>0.75</v>
      </c>
    </row>
    <row r="2748">
      <c r="A2748" s="26" t="s">
        <v>243</v>
      </c>
      <c r="B2748" s="124">
        <v>45780.0</v>
      </c>
      <c r="C2748" s="26" t="s">
        <v>5592</v>
      </c>
      <c r="D2748" s="125">
        <v>0.3333333333333333</v>
      </c>
      <c r="E2748" s="125">
        <v>0.6666666666666666</v>
      </c>
    </row>
    <row r="2749">
      <c r="A2749" s="26" t="s">
        <v>248</v>
      </c>
      <c r="B2749" s="124">
        <v>45780.0</v>
      </c>
      <c r="C2749" s="26" t="s">
        <v>5592</v>
      </c>
      <c r="D2749" s="125">
        <v>0.3333333333333333</v>
      </c>
      <c r="E2749" s="125">
        <v>0.6666666666666666</v>
      </c>
    </row>
    <row r="2750">
      <c r="A2750" s="26" t="s">
        <v>253</v>
      </c>
      <c r="B2750" s="124">
        <v>45780.0</v>
      </c>
      <c r="C2750" s="26" t="s">
        <v>5592</v>
      </c>
      <c r="D2750" s="125">
        <v>0.4166666666666667</v>
      </c>
      <c r="E2750" s="125">
        <v>0.75</v>
      </c>
    </row>
    <row r="2751">
      <c r="A2751" s="26" t="s">
        <v>258</v>
      </c>
      <c r="B2751" s="124">
        <v>45780.0</v>
      </c>
      <c r="C2751" s="26" t="s">
        <v>5592</v>
      </c>
      <c r="D2751" s="125">
        <v>0.3333333333333333</v>
      </c>
      <c r="E2751" s="125">
        <v>0.6666666666666666</v>
      </c>
    </row>
    <row r="2752">
      <c r="A2752" s="26" t="s">
        <v>261</v>
      </c>
      <c r="B2752" s="124">
        <v>45780.0</v>
      </c>
      <c r="C2752" s="26" t="s">
        <v>5592</v>
      </c>
      <c r="D2752" s="125">
        <v>0.4166666666666667</v>
      </c>
      <c r="E2752" s="125">
        <v>0.75</v>
      </c>
    </row>
    <row r="2753">
      <c r="A2753" s="26" t="s">
        <v>265</v>
      </c>
      <c r="B2753" s="124">
        <v>45780.0</v>
      </c>
      <c r="C2753" s="26" t="s">
        <v>5592</v>
      </c>
      <c r="D2753" s="125">
        <v>0.3333333333333333</v>
      </c>
      <c r="E2753" s="125">
        <v>0.6666666666666666</v>
      </c>
    </row>
    <row r="2754">
      <c r="A2754" s="26" t="s">
        <v>269</v>
      </c>
      <c r="B2754" s="124">
        <v>45780.0</v>
      </c>
      <c r="C2754" s="26" t="s">
        <v>5592</v>
      </c>
      <c r="D2754" s="125">
        <v>0.3333333333333333</v>
      </c>
      <c r="E2754" s="125">
        <v>0.6666666666666666</v>
      </c>
    </row>
    <row r="2755">
      <c r="A2755" s="26" t="s">
        <v>276</v>
      </c>
      <c r="B2755" s="124">
        <v>45780.0</v>
      </c>
      <c r="C2755" s="26" t="s">
        <v>5592</v>
      </c>
      <c r="D2755" s="125">
        <v>0.3333333333333333</v>
      </c>
      <c r="E2755" s="125">
        <v>0.6666666666666666</v>
      </c>
    </row>
    <row r="2756">
      <c r="A2756" s="26" t="s">
        <v>280</v>
      </c>
      <c r="B2756" s="124">
        <v>45780.0</v>
      </c>
      <c r="C2756" s="26" t="s">
        <v>5592</v>
      </c>
      <c r="D2756" s="125">
        <v>0.4166666666666667</v>
      </c>
      <c r="E2756" s="125">
        <v>0.75</v>
      </c>
    </row>
    <row r="2757">
      <c r="A2757" s="26" t="s">
        <v>243</v>
      </c>
      <c r="B2757" s="124">
        <v>45779.0</v>
      </c>
      <c r="C2757" s="26" t="s">
        <v>5592</v>
      </c>
      <c r="D2757" s="125">
        <v>0.3333333333333333</v>
      </c>
      <c r="E2757" s="125">
        <v>0.6666666666666666</v>
      </c>
    </row>
    <row r="2758">
      <c r="A2758" s="26" t="s">
        <v>248</v>
      </c>
      <c r="B2758" s="124">
        <v>45779.0</v>
      </c>
      <c r="C2758" s="26" t="s">
        <v>5592</v>
      </c>
      <c r="D2758" s="125">
        <v>0.3333333333333333</v>
      </c>
      <c r="E2758" s="125">
        <v>0.6666666666666666</v>
      </c>
    </row>
    <row r="2759">
      <c r="A2759" s="26" t="s">
        <v>253</v>
      </c>
      <c r="B2759" s="124">
        <v>45779.0</v>
      </c>
      <c r="C2759" s="26" t="s">
        <v>5592</v>
      </c>
      <c r="D2759" s="125">
        <v>0.4166666666666667</v>
      </c>
      <c r="E2759" s="125">
        <v>0.75</v>
      </c>
    </row>
    <row r="2760">
      <c r="A2760" s="26" t="s">
        <v>258</v>
      </c>
      <c r="B2760" s="124">
        <v>45779.0</v>
      </c>
      <c r="C2760" s="26" t="s">
        <v>5592</v>
      </c>
      <c r="D2760" s="125">
        <v>0.3333333333333333</v>
      </c>
      <c r="E2760" s="125">
        <v>0.6666666666666666</v>
      </c>
    </row>
    <row r="2761">
      <c r="A2761" s="26" t="s">
        <v>261</v>
      </c>
      <c r="B2761" s="124">
        <v>45779.0</v>
      </c>
      <c r="C2761" s="26" t="s">
        <v>5592</v>
      </c>
      <c r="D2761" s="125">
        <v>0.4166666666666667</v>
      </c>
      <c r="E2761" s="125">
        <v>0.75</v>
      </c>
    </row>
    <row r="2762">
      <c r="A2762" s="26" t="s">
        <v>265</v>
      </c>
      <c r="B2762" s="124">
        <v>45779.0</v>
      </c>
      <c r="C2762" s="26" t="s">
        <v>5592</v>
      </c>
      <c r="D2762" s="125">
        <v>0.3333333333333333</v>
      </c>
      <c r="E2762" s="125">
        <v>0.6666666666666666</v>
      </c>
    </row>
    <row r="2763">
      <c r="A2763" s="26" t="s">
        <v>269</v>
      </c>
      <c r="B2763" s="124">
        <v>45779.0</v>
      </c>
      <c r="C2763" s="26" t="s">
        <v>5592</v>
      </c>
      <c r="D2763" s="125">
        <v>0.3333333333333333</v>
      </c>
      <c r="E2763" s="125">
        <v>0.6666666666666666</v>
      </c>
    </row>
    <row r="2764">
      <c r="A2764" s="26" t="s">
        <v>276</v>
      </c>
      <c r="B2764" s="124">
        <v>45779.0</v>
      </c>
      <c r="C2764" s="26" t="s">
        <v>5592</v>
      </c>
      <c r="D2764" s="125">
        <v>0.3333333333333333</v>
      </c>
      <c r="E2764" s="125">
        <v>0.6666666666666666</v>
      </c>
    </row>
    <row r="2765">
      <c r="A2765" s="26" t="s">
        <v>280</v>
      </c>
      <c r="B2765" s="124">
        <v>45779.0</v>
      </c>
      <c r="C2765" s="26" t="s">
        <v>5592</v>
      </c>
      <c r="D2765" s="125">
        <v>0.4166666666666667</v>
      </c>
      <c r="E2765" s="125">
        <v>0.75</v>
      </c>
    </row>
    <row r="2766">
      <c r="A2766" s="26" t="s">
        <v>243</v>
      </c>
      <c r="B2766" s="124">
        <v>45776.0</v>
      </c>
      <c r="C2766" s="26" t="s">
        <v>5592</v>
      </c>
      <c r="D2766" s="125">
        <v>0.3333333333333333</v>
      </c>
      <c r="E2766" s="125">
        <v>0.6666666666666666</v>
      </c>
    </row>
    <row r="2767">
      <c r="A2767" s="26" t="s">
        <v>248</v>
      </c>
      <c r="B2767" s="124">
        <v>45776.0</v>
      </c>
      <c r="C2767" s="26" t="s">
        <v>5592</v>
      </c>
      <c r="D2767" s="125">
        <v>0.3333333333333333</v>
      </c>
      <c r="E2767" s="125">
        <v>0.6666666666666666</v>
      </c>
    </row>
    <row r="2768">
      <c r="A2768" s="26" t="s">
        <v>253</v>
      </c>
      <c r="B2768" s="124">
        <v>45776.0</v>
      </c>
      <c r="C2768" s="26" t="s">
        <v>5592</v>
      </c>
      <c r="D2768" s="125">
        <v>0.4166666666666667</v>
      </c>
      <c r="E2768" s="125">
        <v>0.75</v>
      </c>
    </row>
    <row r="2769">
      <c r="A2769" s="26" t="s">
        <v>258</v>
      </c>
      <c r="B2769" s="124">
        <v>45776.0</v>
      </c>
      <c r="C2769" s="26" t="s">
        <v>5592</v>
      </c>
      <c r="D2769" s="125">
        <v>0.3333333333333333</v>
      </c>
      <c r="E2769" s="125">
        <v>0.6666666666666666</v>
      </c>
    </row>
    <row r="2770">
      <c r="A2770" s="26" t="s">
        <v>261</v>
      </c>
      <c r="B2770" s="124">
        <v>45776.0</v>
      </c>
      <c r="C2770" s="26" t="s">
        <v>5592</v>
      </c>
      <c r="D2770" s="125">
        <v>0.4166666666666667</v>
      </c>
      <c r="E2770" s="125">
        <v>0.75</v>
      </c>
    </row>
    <row r="2771">
      <c r="A2771" s="26" t="s">
        <v>265</v>
      </c>
      <c r="B2771" s="124">
        <v>45776.0</v>
      </c>
      <c r="C2771" s="26" t="s">
        <v>5592</v>
      </c>
      <c r="D2771" s="125">
        <v>0.3333333333333333</v>
      </c>
      <c r="E2771" s="125">
        <v>0.6666666666666666</v>
      </c>
    </row>
    <row r="2772">
      <c r="A2772" s="26" t="s">
        <v>269</v>
      </c>
      <c r="B2772" s="124">
        <v>45776.0</v>
      </c>
      <c r="C2772" s="26" t="s">
        <v>5592</v>
      </c>
      <c r="D2772" s="125">
        <v>0.3333333333333333</v>
      </c>
      <c r="E2772" s="125">
        <v>0.6666666666666666</v>
      </c>
    </row>
    <row r="2773">
      <c r="A2773" s="26" t="s">
        <v>276</v>
      </c>
      <c r="B2773" s="124">
        <v>45776.0</v>
      </c>
      <c r="C2773" s="26" t="s">
        <v>5592</v>
      </c>
      <c r="D2773" s="125">
        <v>0.3333333333333333</v>
      </c>
      <c r="E2773" s="125">
        <v>0.6666666666666666</v>
      </c>
    </row>
    <row r="2774">
      <c r="A2774" s="26" t="s">
        <v>280</v>
      </c>
      <c r="B2774" s="124">
        <v>45776.0</v>
      </c>
      <c r="C2774" s="26" t="s">
        <v>5592</v>
      </c>
      <c r="D2774" s="125">
        <v>0.4166666666666667</v>
      </c>
      <c r="E2774" s="125">
        <v>0.75</v>
      </c>
    </row>
    <row r="2775">
      <c r="A2775" s="26" t="s">
        <v>243</v>
      </c>
      <c r="B2775" s="124">
        <v>45775.0</v>
      </c>
      <c r="C2775" s="26" t="s">
        <v>5592</v>
      </c>
      <c r="D2775" s="125">
        <v>0.3333333333333333</v>
      </c>
      <c r="E2775" s="125">
        <v>0.6666666666666666</v>
      </c>
    </row>
    <row r="2776">
      <c r="A2776" s="26" t="s">
        <v>248</v>
      </c>
      <c r="B2776" s="124">
        <v>45775.0</v>
      </c>
      <c r="C2776" s="26" t="s">
        <v>5592</v>
      </c>
      <c r="D2776" s="125">
        <v>0.3333333333333333</v>
      </c>
      <c r="E2776" s="125">
        <v>0.6666666666666666</v>
      </c>
    </row>
    <row r="2777">
      <c r="A2777" s="26" t="s">
        <v>253</v>
      </c>
      <c r="B2777" s="124">
        <v>45775.0</v>
      </c>
      <c r="C2777" s="26" t="s">
        <v>5592</v>
      </c>
      <c r="D2777" s="125">
        <v>0.4166666666666667</v>
      </c>
      <c r="E2777" s="125">
        <v>0.75</v>
      </c>
    </row>
    <row r="2778">
      <c r="A2778" s="26" t="s">
        <v>258</v>
      </c>
      <c r="B2778" s="124">
        <v>45775.0</v>
      </c>
      <c r="C2778" s="26" t="s">
        <v>5592</v>
      </c>
      <c r="D2778" s="125">
        <v>0.3333333333333333</v>
      </c>
      <c r="E2778" s="125">
        <v>0.6666666666666666</v>
      </c>
    </row>
    <row r="2779">
      <c r="A2779" s="26" t="s">
        <v>261</v>
      </c>
      <c r="B2779" s="124">
        <v>45775.0</v>
      </c>
      <c r="C2779" s="26" t="s">
        <v>5592</v>
      </c>
      <c r="D2779" s="125">
        <v>0.4166666666666667</v>
      </c>
      <c r="E2779" s="125">
        <v>0.75</v>
      </c>
    </row>
    <row r="2780">
      <c r="A2780" s="26" t="s">
        <v>265</v>
      </c>
      <c r="B2780" s="124">
        <v>45775.0</v>
      </c>
      <c r="C2780" s="26" t="s">
        <v>5592</v>
      </c>
      <c r="D2780" s="125">
        <v>0.3333333333333333</v>
      </c>
      <c r="E2780" s="125">
        <v>0.6666666666666666</v>
      </c>
    </row>
    <row r="2781">
      <c r="A2781" s="26" t="s">
        <v>269</v>
      </c>
      <c r="B2781" s="124">
        <v>45775.0</v>
      </c>
      <c r="C2781" s="26" t="s">
        <v>5592</v>
      </c>
      <c r="D2781" s="125">
        <v>0.3333333333333333</v>
      </c>
      <c r="E2781" s="125">
        <v>0.6666666666666666</v>
      </c>
    </row>
    <row r="2782">
      <c r="A2782" s="26" t="s">
        <v>276</v>
      </c>
      <c r="B2782" s="124">
        <v>45775.0</v>
      </c>
      <c r="C2782" s="26" t="s">
        <v>5592</v>
      </c>
      <c r="D2782" s="125">
        <v>0.3333333333333333</v>
      </c>
      <c r="E2782" s="125">
        <v>0.6666666666666666</v>
      </c>
    </row>
    <row r="2783">
      <c r="A2783" s="26" t="s">
        <v>280</v>
      </c>
      <c r="B2783" s="124">
        <v>45775.0</v>
      </c>
      <c r="C2783" s="26" t="s">
        <v>5592</v>
      </c>
      <c r="D2783" s="125">
        <v>0.4166666666666667</v>
      </c>
      <c r="E2783" s="125">
        <v>0.75</v>
      </c>
    </row>
    <row r="2784">
      <c r="A2784" s="26" t="s">
        <v>243</v>
      </c>
      <c r="B2784" s="124">
        <v>45773.0</v>
      </c>
      <c r="C2784" s="26" t="s">
        <v>5592</v>
      </c>
      <c r="D2784" s="125">
        <v>0.3333333333333333</v>
      </c>
      <c r="E2784" s="125">
        <v>0.6666666666666666</v>
      </c>
    </row>
    <row r="2785">
      <c r="A2785" s="26" t="s">
        <v>248</v>
      </c>
      <c r="B2785" s="124">
        <v>45773.0</v>
      </c>
      <c r="C2785" s="26" t="s">
        <v>5592</v>
      </c>
      <c r="D2785" s="125">
        <v>0.3333333333333333</v>
      </c>
      <c r="E2785" s="125">
        <v>0.6666666666666666</v>
      </c>
    </row>
    <row r="2786">
      <c r="A2786" s="26" t="s">
        <v>253</v>
      </c>
      <c r="B2786" s="124">
        <v>45773.0</v>
      </c>
      <c r="C2786" s="26" t="s">
        <v>5592</v>
      </c>
      <c r="D2786" s="125">
        <v>0.4166666666666667</v>
      </c>
      <c r="E2786" s="125">
        <v>0.75</v>
      </c>
    </row>
    <row r="2787">
      <c r="A2787" s="26" t="s">
        <v>258</v>
      </c>
      <c r="B2787" s="124">
        <v>45773.0</v>
      </c>
      <c r="C2787" s="26" t="s">
        <v>5592</v>
      </c>
      <c r="D2787" s="125">
        <v>0.3333333333333333</v>
      </c>
      <c r="E2787" s="125">
        <v>0.6666666666666666</v>
      </c>
    </row>
    <row r="2788">
      <c r="A2788" s="26" t="s">
        <v>261</v>
      </c>
      <c r="B2788" s="124">
        <v>45773.0</v>
      </c>
      <c r="C2788" s="26" t="s">
        <v>5592</v>
      </c>
      <c r="D2788" s="125">
        <v>0.4166666666666667</v>
      </c>
      <c r="E2788" s="125">
        <v>0.75</v>
      </c>
    </row>
    <row r="2789">
      <c r="A2789" s="26" t="s">
        <v>265</v>
      </c>
      <c r="B2789" s="124">
        <v>45773.0</v>
      </c>
      <c r="C2789" s="26" t="s">
        <v>5592</v>
      </c>
      <c r="D2789" s="125">
        <v>0.3333333333333333</v>
      </c>
      <c r="E2789" s="125">
        <v>0.6666666666666666</v>
      </c>
    </row>
    <row r="2790">
      <c r="A2790" s="26" t="s">
        <v>269</v>
      </c>
      <c r="B2790" s="124">
        <v>45773.0</v>
      </c>
      <c r="C2790" s="26" t="s">
        <v>5592</v>
      </c>
      <c r="D2790" s="125">
        <v>0.3333333333333333</v>
      </c>
      <c r="E2790" s="125">
        <v>0.6666666666666666</v>
      </c>
    </row>
    <row r="2791">
      <c r="A2791" s="26" t="s">
        <v>276</v>
      </c>
      <c r="B2791" s="124">
        <v>45773.0</v>
      </c>
      <c r="C2791" s="26" t="s">
        <v>5592</v>
      </c>
      <c r="D2791" s="125">
        <v>0.3333333333333333</v>
      </c>
      <c r="E2791" s="125">
        <v>0.6666666666666666</v>
      </c>
    </row>
    <row r="2792">
      <c r="A2792" s="26" t="s">
        <v>280</v>
      </c>
      <c r="B2792" s="124">
        <v>45773.0</v>
      </c>
      <c r="C2792" s="26" t="s">
        <v>5592</v>
      </c>
      <c r="D2792" s="125">
        <v>0.4166666666666667</v>
      </c>
      <c r="E2792" s="125">
        <v>0.75</v>
      </c>
    </row>
    <row r="2793">
      <c r="A2793" s="26" t="s">
        <v>243</v>
      </c>
      <c r="B2793" s="124">
        <v>45772.0</v>
      </c>
      <c r="C2793" s="26" t="s">
        <v>5592</v>
      </c>
      <c r="D2793" s="125">
        <v>0.3333333333333333</v>
      </c>
      <c r="E2793" s="125">
        <v>0.6666666666666666</v>
      </c>
    </row>
    <row r="2794">
      <c r="A2794" s="26" t="s">
        <v>248</v>
      </c>
      <c r="B2794" s="124">
        <v>45772.0</v>
      </c>
      <c r="C2794" s="26" t="s">
        <v>5592</v>
      </c>
      <c r="D2794" s="125">
        <v>0.3333333333333333</v>
      </c>
      <c r="E2794" s="125">
        <v>0.6666666666666666</v>
      </c>
    </row>
    <row r="2795">
      <c r="A2795" s="26" t="s">
        <v>253</v>
      </c>
      <c r="B2795" s="124">
        <v>45772.0</v>
      </c>
      <c r="C2795" s="26" t="s">
        <v>5592</v>
      </c>
      <c r="D2795" s="125">
        <v>0.4166666666666667</v>
      </c>
      <c r="E2795" s="125">
        <v>0.75</v>
      </c>
    </row>
    <row r="2796">
      <c r="A2796" s="26" t="s">
        <v>258</v>
      </c>
      <c r="B2796" s="124">
        <v>45772.0</v>
      </c>
      <c r="C2796" s="26" t="s">
        <v>5592</v>
      </c>
      <c r="D2796" s="125">
        <v>0.3333333333333333</v>
      </c>
      <c r="E2796" s="125">
        <v>0.6666666666666666</v>
      </c>
    </row>
    <row r="2797">
      <c r="A2797" s="26" t="s">
        <v>261</v>
      </c>
      <c r="B2797" s="124">
        <v>45772.0</v>
      </c>
      <c r="C2797" s="26" t="s">
        <v>5592</v>
      </c>
      <c r="D2797" s="125">
        <v>0.4166666666666667</v>
      </c>
      <c r="E2797" s="125">
        <v>0.75</v>
      </c>
    </row>
    <row r="2798">
      <c r="A2798" s="26" t="s">
        <v>265</v>
      </c>
      <c r="B2798" s="124">
        <v>45772.0</v>
      </c>
      <c r="C2798" s="26" t="s">
        <v>5592</v>
      </c>
      <c r="D2798" s="125">
        <v>0.3333333333333333</v>
      </c>
      <c r="E2798" s="125">
        <v>0.6666666666666666</v>
      </c>
    </row>
    <row r="2799">
      <c r="A2799" s="26" t="s">
        <v>269</v>
      </c>
      <c r="B2799" s="124">
        <v>45772.0</v>
      </c>
      <c r="C2799" s="26" t="s">
        <v>5592</v>
      </c>
      <c r="D2799" s="125">
        <v>0.3333333333333333</v>
      </c>
      <c r="E2799" s="125">
        <v>0.6666666666666666</v>
      </c>
    </row>
    <row r="2800">
      <c r="A2800" s="26" t="s">
        <v>276</v>
      </c>
      <c r="B2800" s="124">
        <v>45772.0</v>
      </c>
      <c r="C2800" s="26" t="s">
        <v>5592</v>
      </c>
      <c r="D2800" s="125">
        <v>0.3333333333333333</v>
      </c>
      <c r="E2800" s="125">
        <v>0.6666666666666666</v>
      </c>
    </row>
    <row r="2801">
      <c r="A2801" s="26" t="s">
        <v>280</v>
      </c>
      <c r="B2801" s="124">
        <v>45772.0</v>
      </c>
      <c r="C2801" s="26" t="s">
        <v>5592</v>
      </c>
      <c r="D2801" s="125">
        <v>0.4166666666666667</v>
      </c>
      <c r="E2801" s="125">
        <v>0.75</v>
      </c>
    </row>
    <row r="2802">
      <c r="A2802" s="26" t="s">
        <v>243</v>
      </c>
      <c r="B2802" s="124">
        <v>45771.0</v>
      </c>
      <c r="C2802" s="26" t="s">
        <v>5592</v>
      </c>
      <c r="D2802" s="125">
        <v>0.3333333333333333</v>
      </c>
      <c r="E2802" s="125">
        <v>0.6666666666666666</v>
      </c>
    </row>
    <row r="2803">
      <c r="A2803" s="26" t="s">
        <v>248</v>
      </c>
      <c r="B2803" s="124">
        <v>45771.0</v>
      </c>
      <c r="C2803" s="26" t="s">
        <v>5592</v>
      </c>
      <c r="D2803" s="125">
        <v>0.3333333333333333</v>
      </c>
      <c r="E2803" s="125">
        <v>0.6666666666666666</v>
      </c>
    </row>
    <row r="2804">
      <c r="A2804" s="26" t="s">
        <v>253</v>
      </c>
      <c r="B2804" s="124">
        <v>45771.0</v>
      </c>
      <c r="C2804" s="26" t="s">
        <v>5592</v>
      </c>
      <c r="D2804" s="125">
        <v>0.4166666666666667</v>
      </c>
      <c r="E2804" s="125">
        <v>0.75</v>
      </c>
    </row>
    <row r="2805">
      <c r="A2805" s="26" t="s">
        <v>258</v>
      </c>
      <c r="B2805" s="124">
        <v>45771.0</v>
      </c>
      <c r="C2805" s="26" t="s">
        <v>5592</v>
      </c>
      <c r="D2805" s="125">
        <v>0.3333333333333333</v>
      </c>
      <c r="E2805" s="125">
        <v>0.6666666666666666</v>
      </c>
    </row>
    <row r="2806">
      <c r="A2806" s="26" t="s">
        <v>261</v>
      </c>
      <c r="B2806" s="124">
        <v>45771.0</v>
      </c>
      <c r="C2806" s="26" t="s">
        <v>5592</v>
      </c>
      <c r="D2806" s="125">
        <v>0.4166666666666667</v>
      </c>
      <c r="E2806" s="125">
        <v>0.75</v>
      </c>
    </row>
    <row r="2807">
      <c r="A2807" s="26" t="s">
        <v>265</v>
      </c>
      <c r="B2807" s="124">
        <v>45771.0</v>
      </c>
      <c r="C2807" s="26" t="s">
        <v>5592</v>
      </c>
      <c r="D2807" s="125">
        <v>0.3333333333333333</v>
      </c>
      <c r="E2807" s="125">
        <v>0.6666666666666666</v>
      </c>
    </row>
    <row r="2808">
      <c r="A2808" s="26" t="s">
        <v>269</v>
      </c>
      <c r="B2808" s="124">
        <v>45771.0</v>
      </c>
      <c r="C2808" s="26" t="s">
        <v>5592</v>
      </c>
      <c r="D2808" s="125">
        <v>0.3333333333333333</v>
      </c>
      <c r="E2808" s="125">
        <v>0.6666666666666666</v>
      </c>
    </row>
    <row r="2809">
      <c r="A2809" s="26" t="s">
        <v>276</v>
      </c>
      <c r="B2809" s="124">
        <v>45771.0</v>
      </c>
      <c r="C2809" s="26" t="s">
        <v>5592</v>
      </c>
      <c r="D2809" s="125">
        <v>0.3333333333333333</v>
      </c>
      <c r="E2809" s="125">
        <v>0.6666666666666666</v>
      </c>
    </row>
    <row r="2810">
      <c r="A2810" s="26" t="s">
        <v>280</v>
      </c>
      <c r="B2810" s="124">
        <v>45771.0</v>
      </c>
      <c r="C2810" s="26" t="s">
        <v>5592</v>
      </c>
      <c r="D2810" s="125">
        <v>0.4166666666666667</v>
      </c>
      <c r="E2810" s="125">
        <v>0.75</v>
      </c>
    </row>
    <row r="2811">
      <c r="A2811" s="26" t="s">
        <v>243</v>
      </c>
      <c r="B2811" s="124">
        <v>45770.0</v>
      </c>
      <c r="C2811" s="26" t="s">
        <v>5592</v>
      </c>
      <c r="D2811" s="125">
        <v>0.3333333333333333</v>
      </c>
      <c r="E2811" s="125">
        <v>0.6666666666666666</v>
      </c>
    </row>
    <row r="2812">
      <c r="A2812" s="26" t="s">
        <v>248</v>
      </c>
      <c r="B2812" s="124">
        <v>45770.0</v>
      </c>
      <c r="C2812" s="26" t="s">
        <v>5592</v>
      </c>
      <c r="D2812" s="125">
        <v>0.3333333333333333</v>
      </c>
      <c r="E2812" s="125">
        <v>0.6666666666666666</v>
      </c>
    </row>
    <row r="2813">
      <c r="A2813" s="26" t="s">
        <v>253</v>
      </c>
      <c r="B2813" s="124">
        <v>45770.0</v>
      </c>
      <c r="C2813" s="26" t="s">
        <v>5592</v>
      </c>
      <c r="D2813" s="125">
        <v>0.4166666666666667</v>
      </c>
      <c r="E2813" s="125">
        <v>0.75</v>
      </c>
    </row>
    <row r="2814">
      <c r="A2814" s="26" t="s">
        <v>258</v>
      </c>
      <c r="B2814" s="124">
        <v>45770.0</v>
      </c>
      <c r="C2814" s="26" t="s">
        <v>5592</v>
      </c>
      <c r="D2814" s="125">
        <v>0.3333333333333333</v>
      </c>
      <c r="E2814" s="125">
        <v>0.6666666666666666</v>
      </c>
    </row>
    <row r="2815">
      <c r="A2815" s="26" t="s">
        <v>261</v>
      </c>
      <c r="B2815" s="124">
        <v>45770.0</v>
      </c>
      <c r="C2815" s="26" t="s">
        <v>5592</v>
      </c>
      <c r="D2815" s="125">
        <v>0.4166666666666667</v>
      </c>
      <c r="E2815" s="125">
        <v>0.75</v>
      </c>
    </row>
    <row r="2816">
      <c r="A2816" s="26" t="s">
        <v>265</v>
      </c>
      <c r="B2816" s="124">
        <v>45770.0</v>
      </c>
      <c r="C2816" s="26" t="s">
        <v>5592</v>
      </c>
      <c r="D2816" s="125">
        <v>0.3333333333333333</v>
      </c>
      <c r="E2816" s="125">
        <v>0.6666666666666666</v>
      </c>
    </row>
    <row r="2817">
      <c r="A2817" s="26" t="s">
        <v>269</v>
      </c>
      <c r="B2817" s="124">
        <v>45770.0</v>
      </c>
      <c r="C2817" s="26" t="s">
        <v>5592</v>
      </c>
      <c r="D2817" s="125">
        <v>0.3333333333333333</v>
      </c>
      <c r="E2817" s="125">
        <v>0.6666666666666666</v>
      </c>
    </row>
    <row r="2818">
      <c r="A2818" s="26" t="s">
        <v>276</v>
      </c>
      <c r="B2818" s="124">
        <v>45770.0</v>
      </c>
      <c r="C2818" s="26" t="s">
        <v>5592</v>
      </c>
      <c r="D2818" s="125">
        <v>0.3333333333333333</v>
      </c>
      <c r="E2818" s="125">
        <v>0.6666666666666666</v>
      </c>
    </row>
    <row r="2819">
      <c r="A2819" s="26" t="s">
        <v>280</v>
      </c>
      <c r="B2819" s="124">
        <v>45770.0</v>
      </c>
      <c r="C2819" s="26" t="s">
        <v>5592</v>
      </c>
      <c r="D2819" s="125">
        <v>0.4166666666666667</v>
      </c>
      <c r="E2819" s="125">
        <v>0.75</v>
      </c>
    </row>
    <row r="2820">
      <c r="A2820" s="26" t="s">
        <v>243</v>
      </c>
      <c r="B2820" s="124">
        <v>45769.0</v>
      </c>
      <c r="C2820" s="26" t="s">
        <v>5592</v>
      </c>
      <c r="D2820" s="125">
        <v>0.3333333333333333</v>
      </c>
      <c r="E2820" s="125">
        <v>0.6666666666666666</v>
      </c>
    </row>
    <row r="2821">
      <c r="A2821" s="26" t="s">
        <v>248</v>
      </c>
      <c r="B2821" s="124">
        <v>45769.0</v>
      </c>
      <c r="C2821" s="26" t="s">
        <v>5592</v>
      </c>
      <c r="D2821" s="125">
        <v>0.3333333333333333</v>
      </c>
      <c r="E2821" s="125">
        <v>0.6666666666666666</v>
      </c>
    </row>
    <row r="2822">
      <c r="A2822" s="26" t="s">
        <v>253</v>
      </c>
      <c r="B2822" s="124">
        <v>45769.0</v>
      </c>
      <c r="C2822" s="26" t="s">
        <v>5592</v>
      </c>
      <c r="D2822" s="125">
        <v>0.4166666666666667</v>
      </c>
      <c r="E2822" s="125">
        <v>0.75</v>
      </c>
    </row>
    <row r="2823">
      <c r="A2823" s="26" t="s">
        <v>258</v>
      </c>
      <c r="B2823" s="124">
        <v>45769.0</v>
      </c>
      <c r="C2823" s="26" t="s">
        <v>5592</v>
      </c>
      <c r="D2823" s="125">
        <v>0.3333333333333333</v>
      </c>
      <c r="E2823" s="125">
        <v>0.6666666666666666</v>
      </c>
    </row>
    <row r="2824">
      <c r="A2824" s="26" t="s">
        <v>261</v>
      </c>
      <c r="B2824" s="124">
        <v>45769.0</v>
      </c>
      <c r="C2824" s="26" t="s">
        <v>5592</v>
      </c>
      <c r="D2824" s="125">
        <v>0.4166666666666667</v>
      </c>
      <c r="E2824" s="125">
        <v>0.75</v>
      </c>
    </row>
    <row r="2825">
      <c r="A2825" s="26" t="s">
        <v>265</v>
      </c>
      <c r="B2825" s="124">
        <v>45769.0</v>
      </c>
      <c r="C2825" s="26" t="s">
        <v>5592</v>
      </c>
      <c r="D2825" s="125">
        <v>0.3333333333333333</v>
      </c>
      <c r="E2825" s="125">
        <v>0.6666666666666666</v>
      </c>
    </row>
    <row r="2826">
      <c r="A2826" s="26" t="s">
        <v>269</v>
      </c>
      <c r="B2826" s="124">
        <v>45769.0</v>
      </c>
      <c r="C2826" s="26" t="s">
        <v>5592</v>
      </c>
      <c r="D2826" s="125">
        <v>0.3333333333333333</v>
      </c>
      <c r="E2826" s="125">
        <v>0.6666666666666666</v>
      </c>
    </row>
    <row r="2827">
      <c r="A2827" s="26" t="s">
        <v>276</v>
      </c>
      <c r="B2827" s="124">
        <v>45769.0</v>
      </c>
      <c r="C2827" s="26" t="s">
        <v>5592</v>
      </c>
      <c r="D2827" s="125">
        <v>0.3333333333333333</v>
      </c>
      <c r="E2827" s="125">
        <v>0.6666666666666666</v>
      </c>
    </row>
    <row r="2828">
      <c r="A2828" s="26" t="s">
        <v>280</v>
      </c>
      <c r="B2828" s="124">
        <v>45769.0</v>
      </c>
      <c r="C2828" s="26" t="s">
        <v>5592</v>
      </c>
      <c r="D2828" s="125">
        <v>0.4166666666666667</v>
      </c>
      <c r="E2828" s="125">
        <v>0.75</v>
      </c>
    </row>
    <row r="2829">
      <c r="A2829" s="26" t="s">
        <v>243</v>
      </c>
      <c r="B2829" s="124">
        <v>45768.0</v>
      </c>
      <c r="C2829" s="26" t="s">
        <v>5592</v>
      </c>
      <c r="D2829" s="125">
        <v>0.3333333333333333</v>
      </c>
      <c r="E2829" s="125">
        <v>0.6666666666666666</v>
      </c>
    </row>
    <row r="2830">
      <c r="A2830" s="26" t="s">
        <v>248</v>
      </c>
      <c r="B2830" s="124">
        <v>45768.0</v>
      </c>
      <c r="C2830" s="26" t="s">
        <v>5592</v>
      </c>
      <c r="D2830" s="125">
        <v>0.3333333333333333</v>
      </c>
      <c r="E2830" s="125">
        <v>0.6666666666666666</v>
      </c>
    </row>
    <row r="2831">
      <c r="A2831" s="26" t="s">
        <v>253</v>
      </c>
      <c r="B2831" s="124">
        <v>45768.0</v>
      </c>
      <c r="C2831" s="26" t="s">
        <v>5592</v>
      </c>
      <c r="D2831" s="125">
        <v>0.4166666666666667</v>
      </c>
      <c r="E2831" s="125">
        <v>0.75</v>
      </c>
    </row>
    <row r="2832">
      <c r="A2832" s="26" t="s">
        <v>258</v>
      </c>
      <c r="B2832" s="124">
        <v>45768.0</v>
      </c>
      <c r="C2832" s="26" t="s">
        <v>5592</v>
      </c>
      <c r="D2832" s="125">
        <v>0.3333333333333333</v>
      </c>
      <c r="E2832" s="125">
        <v>0.6666666666666666</v>
      </c>
    </row>
    <row r="2833">
      <c r="A2833" s="26" t="s">
        <v>261</v>
      </c>
      <c r="B2833" s="124">
        <v>45768.0</v>
      </c>
      <c r="C2833" s="26" t="s">
        <v>5592</v>
      </c>
      <c r="D2833" s="125">
        <v>0.4166666666666667</v>
      </c>
      <c r="E2833" s="125">
        <v>0.75</v>
      </c>
    </row>
    <row r="2834">
      <c r="A2834" s="26" t="s">
        <v>265</v>
      </c>
      <c r="B2834" s="124">
        <v>45768.0</v>
      </c>
      <c r="C2834" s="26" t="s">
        <v>5592</v>
      </c>
      <c r="D2834" s="125">
        <v>0.3333333333333333</v>
      </c>
      <c r="E2834" s="125">
        <v>0.6666666666666666</v>
      </c>
    </row>
    <row r="2835">
      <c r="A2835" s="26" t="s">
        <v>269</v>
      </c>
      <c r="B2835" s="124">
        <v>45768.0</v>
      </c>
      <c r="C2835" s="26" t="s">
        <v>5592</v>
      </c>
      <c r="D2835" s="125">
        <v>0.3333333333333333</v>
      </c>
      <c r="E2835" s="125">
        <v>0.6666666666666666</v>
      </c>
    </row>
    <row r="2836">
      <c r="A2836" s="26" t="s">
        <v>276</v>
      </c>
      <c r="B2836" s="124">
        <v>45768.0</v>
      </c>
      <c r="C2836" s="26" t="s">
        <v>5592</v>
      </c>
      <c r="D2836" s="125">
        <v>0.3333333333333333</v>
      </c>
      <c r="E2836" s="125">
        <v>0.6666666666666666</v>
      </c>
    </row>
    <row r="2837">
      <c r="A2837" s="26" t="s">
        <v>280</v>
      </c>
      <c r="B2837" s="124">
        <v>45768.0</v>
      </c>
      <c r="C2837" s="26" t="s">
        <v>5592</v>
      </c>
      <c r="D2837" s="125">
        <v>0.4166666666666667</v>
      </c>
      <c r="E2837" s="125">
        <v>0.75</v>
      </c>
    </row>
    <row r="2838">
      <c r="A2838" s="26" t="s">
        <v>243</v>
      </c>
      <c r="B2838" s="124">
        <v>45766.0</v>
      </c>
      <c r="C2838" s="26" t="s">
        <v>5592</v>
      </c>
      <c r="D2838" s="125">
        <v>0.3333333333333333</v>
      </c>
      <c r="E2838" s="125">
        <v>0.6666666666666666</v>
      </c>
    </row>
    <row r="2839">
      <c r="A2839" s="26" t="s">
        <v>248</v>
      </c>
      <c r="B2839" s="124">
        <v>45766.0</v>
      </c>
      <c r="C2839" s="26" t="s">
        <v>5592</v>
      </c>
      <c r="D2839" s="125">
        <v>0.3333333333333333</v>
      </c>
      <c r="E2839" s="125">
        <v>0.6666666666666666</v>
      </c>
    </row>
    <row r="2840">
      <c r="A2840" s="26" t="s">
        <v>253</v>
      </c>
      <c r="B2840" s="124">
        <v>45766.0</v>
      </c>
      <c r="C2840" s="26" t="s">
        <v>5592</v>
      </c>
      <c r="D2840" s="125">
        <v>0.4166666666666667</v>
      </c>
      <c r="E2840" s="125">
        <v>0.75</v>
      </c>
    </row>
    <row r="2841">
      <c r="A2841" s="26" t="s">
        <v>258</v>
      </c>
      <c r="B2841" s="124">
        <v>45766.0</v>
      </c>
      <c r="C2841" s="26" t="s">
        <v>5592</v>
      </c>
      <c r="D2841" s="125">
        <v>0.3333333333333333</v>
      </c>
      <c r="E2841" s="125">
        <v>0.6666666666666666</v>
      </c>
    </row>
    <row r="2842">
      <c r="A2842" s="26" t="s">
        <v>261</v>
      </c>
      <c r="B2842" s="124">
        <v>45766.0</v>
      </c>
      <c r="C2842" s="26" t="s">
        <v>5592</v>
      </c>
      <c r="D2842" s="125">
        <v>0.4166666666666667</v>
      </c>
      <c r="E2842" s="125">
        <v>0.75</v>
      </c>
    </row>
    <row r="2843">
      <c r="A2843" s="26" t="s">
        <v>265</v>
      </c>
      <c r="B2843" s="124">
        <v>45766.0</v>
      </c>
      <c r="C2843" s="26" t="s">
        <v>5592</v>
      </c>
      <c r="D2843" s="125">
        <v>0.3333333333333333</v>
      </c>
      <c r="E2843" s="125">
        <v>0.6666666666666666</v>
      </c>
    </row>
    <row r="2844">
      <c r="A2844" s="26" t="s">
        <v>269</v>
      </c>
      <c r="B2844" s="124">
        <v>45766.0</v>
      </c>
      <c r="C2844" s="26" t="s">
        <v>5592</v>
      </c>
      <c r="D2844" s="125">
        <v>0.3333333333333333</v>
      </c>
      <c r="E2844" s="125">
        <v>0.6666666666666666</v>
      </c>
    </row>
    <row r="2845">
      <c r="A2845" s="26" t="s">
        <v>276</v>
      </c>
      <c r="B2845" s="124">
        <v>45766.0</v>
      </c>
      <c r="C2845" s="26" t="s">
        <v>5592</v>
      </c>
      <c r="D2845" s="125">
        <v>0.3333333333333333</v>
      </c>
      <c r="E2845" s="125">
        <v>0.6666666666666666</v>
      </c>
    </row>
    <row r="2846">
      <c r="A2846" s="26" t="s">
        <v>280</v>
      </c>
      <c r="B2846" s="124">
        <v>45766.0</v>
      </c>
      <c r="C2846" s="26" t="s">
        <v>5592</v>
      </c>
      <c r="D2846" s="125">
        <v>0.4166666666666667</v>
      </c>
      <c r="E2846" s="125">
        <v>0.75</v>
      </c>
    </row>
    <row r="2847">
      <c r="A2847" s="26" t="s">
        <v>243</v>
      </c>
      <c r="B2847" s="124">
        <v>45765.0</v>
      </c>
      <c r="C2847" s="26" t="s">
        <v>5592</v>
      </c>
      <c r="D2847" s="125">
        <v>0.3333333333333333</v>
      </c>
      <c r="E2847" s="125">
        <v>0.6666666666666666</v>
      </c>
    </row>
    <row r="2848">
      <c r="A2848" s="26" t="s">
        <v>248</v>
      </c>
      <c r="B2848" s="124">
        <v>45765.0</v>
      </c>
      <c r="C2848" s="26" t="s">
        <v>5592</v>
      </c>
      <c r="D2848" s="125">
        <v>0.3333333333333333</v>
      </c>
      <c r="E2848" s="125">
        <v>0.6666666666666666</v>
      </c>
    </row>
    <row r="2849">
      <c r="A2849" s="26" t="s">
        <v>253</v>
      </c>
      <c r="B2849" s="124">
        <v>45765.0</v>
      </c>
      <c r="C2849" s="26" t="s">
        <v>5592</v>
      </c>
      <c r="D2849" s="125">
        <v>0.4166666666666667</v>
      </c>
      <c r="E2849" s="125">
        <v>0.75</v>
      </c>
    </row>
    <row r="2850">
      <c r="A2850" s="26" t="s">
        <v>258</v>
      </c>
      <c r="B2850" s="124">
        <v>45765.0</v>
      </c>
      <c r="C2850" s="26" t="s">
        <v>5592</v>
      </c>
      <c r="D2850" s="125">
        <v>0.3333333333333333</v>
      </c>
      <c r="E2850" s="125">
        <v>0.6666666666666666</v>
      </c>
    </row>
    <row r="2851">
      <c r="A2851" s="26" t="s">
        <v>261</v>
      </c>
      <c r="B2851" s="124">
        <v>45765.0</v>
      </c>
      <c r="C2851" s="26" t="s">
        <v>5592</v>
      </c>
      <c r="D2851" s="125">
        <v>0.4166666666666667</v>
      </c>
      <c r="E2851" s="125">
        <v>0.75</v>
      </c>
    </row>
    <row r="2852">
      <c r="A2852" s="26" t="s">
        <v>265</v>
      </c>
      <c r="B2852" s="124">
        <v>45765.0</v>
      </c>
      <c r="C2852" s="26" t="s">
        <v>5592</v>
      </c>
      <c r="D2852" s="125">
        <v>0.3333333333333333</v>
      </c>
      <c r="E2852" s="125">
        <v>0.6666666666666666</v>
      </c>
    </row>
    <row r="2853">
      <c r="A2853" s="26" t="s">
        <v>269</v>
      </c>
      <c r="B2853" s="124">
        <v>45765.0</v>
      </c>
      <c r="C2853" s="26" t="s">
        <v>5592</v>
      </c>
      <c r="D2853" s="125">
        <v>0.3333333333333333</v>
      </c>
      <c r="E2853" s="125">
        <v>0.6666666666666666</v>
      </c>
    </row>
    <row r="2854">
      <c r="A2854" s="26" t="s">
        <v>276</v>
      </c>
      <c r="B2854" s="124">
        <v>45765.0</v>
      </c>
      <c r="C2854" s="26" t="s">
        <v>5592</v>
      </c>
      <c r="D2854" s="125">
        <v>0.3333333333333333</v>
      </c>
      <c r="E2854" s="125">
        <v>0.6666666666666666</v>
      </c>
    </row>
    <row r="2855">
      <c r="A2855" s="26" t="s">
        <v>280</v>
      </c>
      <c r="B2855" s="124">
        <v>45765.0</v>
      </c>
      <c r="C2855" s="26" t="s">
        <v>5592</v>
      </c>
      <c r="D2855" s="125">
        <v>0.4166666666666667</v>
      </c>
      <c r="E2855" s="125">
        <v>0.75</v>
      </c>
    </row>
    <row r="2856">
      <c r="A2856" s="26" t="s">
        <v>243</v>
      </c>
      <c r="B2856" s="124">
        <v>45764.0</v>
      </c>
      <c r="C2856" s="26" t="s">
        <v>5592</v>
      </c>
      <c r="D2856" s="125">
        <v>0.3333333333333333</v>
      </c>
      <c r="E2856" s="125">
        <v>0.6666666666666666</v>
      </c>
    </row>
    <row r="2857">
      <c r="A2857" s="26" t="s">
        <v>248</v>
      </c>
      <c r="B2857" s="124">
        <v>45764.0</v>
      </c>
      <c r="C2857" s="26" t="s">
        <v>5592</v>
      </c>
      <c r="D2857" s="125">
        <v>0.3333333333333333</v>
      </c>
      <c r="E2857" s="125">
        <v>0.6666666666666666</v>
      </c>
    </row>
    <row r="2858">
      <c r="A2858" s="26" t="s">
        <v>253</v>
      </c>
      <c r="B2858" s="124">
        <v>45764.0</v>
      </c>
      <c r="C2858" s="26" t="s">
        <v>5592</v>
      </c>
      <c r="D2858" s="125">
        <v>0.4166666666666667</v>
      </c>
      <c r="E2858" s="125">
        <v>0.75</v>
      </c>
    </row>
    <row r="2859">
      <c r="A2859" s="26" t="s">
        <v>258</v>
      </c>
      <c r="B2859" s="124">
        <v>45764.0</v>
      </c>
      <c r="C2859" s="26" t="s">
        <v>5592</v>
      </c>
      <c r="D2859" s="125">
        <v>0.3333333333333333</v>
      </c>
      <c r="E2859" s="125">
        <v>0.6666666666666666</v>
      </c>
    </row>
    <row r="2860">
      <c r="A2860" s="26" t="s">
        <v>261</v>
      </c>
      <c r="B2860" s="124">
        <v>45764.0</v>
      </c>
      <c r="C2860" s="26" t="s">
        <v>5592</v>
      </c>
      <c r="D2860" s="125">
        <v>0.4166666666666667</v>
      </c>
      <c r="E2860" s="125">
        <v>0.75</v>
      </c>
    </row>
    <row r="2861">
      <c r="A2861" s="26" t="s">
        <v>265</v>
      </c>
      <c r="B2861" s="124">
        <v>45764.0</v>
      </c>
      <c r="C2861" s="26" t="s">
        <v>5592</v>
      </c>
      <c r="D2861" s="125">
        <v>0.3333333333333333</v>
      </c>
      <c r="E2861" s="125">
        <v>0.6666666666666666</v>
      </c>
    </row>
    <row r="2862">
      <c r="A2862" s="26" t="s">
        <v>269</v>
      </c>
      <c r="B2862" s="124">
        <v>45764.0</v>
      </c>
      <c r="C2862" s="26" t="s">
        <v>5592</v>
      </c>
      <c r="D2862" s="125">
        <v>0.3333333333333333</v>
      </c>
      <c r="E2862" s="125">
        <v>0.6666666666666666</v>
      </c>
    </row>
    <row r="2863">
      <c r="A2863" s="26" t="s">
        <v>276</v>
      </c>
      <c r="B2863" s="124">
        <v>45764.0</v>
      </c>
      <c r="C2863" s="26" t="s">
        <v>5592</v>
      </c>
      <c r="D2863" s="125">
        <v>0.3333333333333333</v>
      </c>
      <c r="E2863" s="125">
        <v>0.6666666666666666</v>
      </c>
    </row>
    <row r="2864">
      <c r="A2864" s="26" t="s">
        <v>280</v>
      </c>
      <c r="B2864" s="124">
        <v>45764.0</v>
      </c>
      <c r="C2864" s="26" t="s">
        <v>5592</v>
      </c>
      <c r="D2864" s="125">
        <v>0.4166666666666667</v>
      </c>
      <c r="E2864" s="125">
        <v>0.75</v>
      </c>
    </row>
    <row r="2865">
      <c r="A2865" s="26" t="s">
        <v>243</v>
      </c>
      <c r="B2865" s="124">
        <v>45763.0</v>
      </c>
      <c r="C2865" s="26" t="s">
        <v>5592</v>
      </c>
      <c r="D2865" s="125">
        <v>0.3333333333333333</v>
      </c>
      <c r="E2865" s="125">
        <v>0.6666666666666666</v>
      </c>
    </row>
    <row r="2866">
      <c r="A2866" s="26" t="s">
        <v>248</v>
      </c>
      <c r="B2866" s="124">
        <v>45763.0</v>
      </c>
      <c r="C2866" s="26" t="s">
        <v>5592</v>
      </c>
      <c r="D2866" s="125">
        <v>0.3333333333333333</v>
      </c>
      <c r="E2866" s="125">
        <v>0.6666666666666666</v>
      </c>
    </row>
    <row r="2867">
      <c r="A2867" s="26" t="s">
        <v>253</v>
      </c>
      <c r="B2867" s="124">
        <v>45763.0</v>
      </c>
      <c r="C2867" s="26" t="s">
        <v>5592</v>
      </c>
      <c r="D2867" s="125">
        <v>0.4166666666666667</v>
      </c>
      <c r="E2867" s="125">
        <v>0.75</v>
      </c>
    </row>
    <row r="2868">
      <c r="A2868" s="26" t="s">
        <v>258</v>
      </c>
      <c r="B2868" s="124">
        <v>45763.0</v>
      </c>
      <c r="C2868" s="26" t="s">
        <v>5592</v>
      </c>
      <c r="D2868" s="125">
        <v>0.3333333333333333</v>
      </c>
      <c r="E2868" s="125">
        <v>0.6666666666666666</v>
      </c>
    </row>
    <row r="2869">
      <c r="A2869" s="26" t="s">
        <v>261</v>
      </c>
      <c r="B2869" s="124">
        <v>45763.0</v>
      </c>
      <c r="C2869" s="26" t="s">
        <v>5592</v>
      </c>
      <c r="D2869" s="125">
        <v>0.4166666666666667</v>
      </c>
      <c r="E2869" s="125">
        <v>0.75</v>
      </c>
    </row>
    <row r="2870">
      <c r="A2870" s="26" t="s">
        <v>265</v>
      </c>
      <c r="B2870" s="124">
        <v>45763.0</v>
      </c>
      <c r="C2870" s="26" t="s">
        <v>5592</v>
      </c>
      <c r="D2870" s="125">
        <v>0.3333333333333333</v>
      </c>
      <c r="E2870" s="125">
        <v>0.6666666666666666</v>
      </c>
    </row>
    <row r="2871">
      <c r="A2871" s="26" t="s">
        <v>269</v>
      </c>
      <c r="B2871" s="124">
        <v>45763.0</v>
      </c>
      <c r="C2871" s="26" t="s">
        <v>5592</v>
      </c>
      <c r="D2871" s="125">
        <v>0.3333333333333333</v>
      </c>
      <c r="E2871" s="125">
        <v>0.6666666666666666</v>
      </c>
    </row>
    <row r="2872">
      <c r="A2872" s="26" t="s">
        <v>276</v>
      </c>
      <c r="B2872" s="124">
        <v>45763.0</v>
      </c>
      <c r="C2872" s="26" t="s">
        <v>5592</v>
      </c>
      <c r="D2872" s="125">
        <v>0.3333333333333333</v>
      </c>
      <c r="E2872" s="125">
        <v>0.6666666666666666</v>
      </c>
    </row>
    <row r="2873">
      <c r="A2873" s="26" t="s">
        <v>280</v>
      </c>
      <c r="B2873" s="124">
        <v>45763.0</v>
      </c>
      <c r="C2873" s="26" t="s">
        <v>5592</v>
      </c>
      <c r="D2873" s="125">
        <v>0.4166666666666667</v>
      </c>
      <c r="E2873" s="125">
        <v>0.75</v>
      </c>
    </row>
    <row r="2874">
      <c r="A2874" s="26" t="s">
        <v>243</v>
      </c>
      <c r="B2874" s="124">
        <v>45762.0</v>
      </c>
      <c r="C2874" s="26" t="s">
        <v>5592</v>
      </c>
      <c r="D2874" s="125">
        <v>0.3333333333333333</v>
      </c>
      <c r="E2874" s="125">
        <v>0.6666666666666666</v>
      </c>
    </row>
    <row r="2875">
      <c r="A2875" s="26" t="s">
        <v>248</v>
      </c>
      <c r="B2875" s="124">
        <v>45762.0</v>
      </c>
      <c r="C2875" s="26" t="s">
        <v>5592</v>
      </c>
      <c r="D2875" s="125">
        <v>0.3333333333333333</v>
      </c>
      <c r="E2875" s="125">
        <v>0.6666666666666666</v>
      </c>
    </row>
    <row r="2876">
      <c r="A2876" s="26" t="s">
        <v>253</v>
      </c>
      <c r="B2876" s="124">
        <v>45762.0</v>
      </c>
      <c r="C2876" s="26" t="s">
        <v>5592</v>
      </c>
      <c r="D2876" s="125">
        <v>0.4166666666666667</v>
      </c>
      <c r="E2876" s="125">
        <v>0.75</v>
      </c>
    </row>
    <row r="2877">
      <c r="A2877" s="26" t="s">
        <v>258</v>
      </c>
      <c r="B2877" s="124">
        <v>45762.0</v>
      </c>
      <c r="C2877" s="26" t="s">
        <v>5592</v>
      </c>
      <c r="D2877" s="125">
        <v>0.3333333333333333</v>
      </c>
      <c r="E2877" s="125">
        <v>0.6666666666666666</v>
      </c>
    </row>
    <row r="2878">
      <c r="A2878" s="26" t="s">
        <v>261</v>
      </c>
      <c r="B2878" s="124">
        <v>45762.0</v>
      </c>
      <c r="C2878" s="26" t="s">
        <v>5592</v>
      </c>
      <c r="D2878" s="125">
        <v>0.4166666666666667</v>
      </c>
      <c r="E2878" s="125">
        <v>0.75</v>
      </c>
    </row>
    <row r="2879">
      <c r="A2879" s="26" t="s">
        <v>265</v>
      </c>
      <c r="B2879" s="124">
        <v>45762.0</v>
      </c>
      <c r="C2879" s="26" t="s">
        <v>5592</v>
      </c>
      <c r="D2879" s="125">
        <v>0.3333333333333333</v>
      </c>
      <c r="E2879" s="125">
        <v>0.6666666666666666</v>
      </c>
    </row>
    <row r="2880">
      <c r="A2880" s="26" t="s">
        <v>269</v>
      </c>
      <c r="B2880" s="124">
        <v>45762.0</v>
      </c>
      <c r="C2880" s="26" t="s">
        <v>5592</v>
      </c>
      <c r="D2880" s="125">
        <v>0.3333333333333333</v>
      </c>
      <c r="E2880" s="125">
        <v>0.6666666666666666</v>
      </c>
    </row>
    <row r="2881">
      <c r="A2881" s="26" t="s">
        <v>276</v>
      </c>
      <c r="B2881" s="124">
        <v>45762.0</v>
      </c>
      <c r="C2881" s="26" t="s">
        <v>5592</v>
      </c>
      <c r="D2881" s="125">
        <v>0.3333333333333333</v>
      </c>
      <c r="E2881" s="125">
        <v>0.6666666666666666</v>
      </c>
    </row>
    <row r="2882">
      <c r="A2882" s="26" t="s">
        <v>280</v>
      </c>
      <c r="B2882" s="124">
        <v>45762.0</v>
      </c>
      <c r="C2882" s="26" t="s">
        <v>5592</v>
      </c>
      <c r="D2882" s="125">
        <v>0.4166666666666667</v>
      </c>
      <c r="E2882" s="125">
        <v>0.75</v>
      </c>
    </row>
    <row r="2883">
      <c r="A2883" s="26" t="s">
        <v>243</v>
      </c>
      <c r="B2883" s="124">
        <v>45761.0</v>
      </c>
      <c r="C2883" s="26" t="s">
        <v>5592</v>
      </c>
      <c r="D2883" s="125">
        <v>0.3333333333333333</v>
      </c>
      <c r="E2883" s="125">
        <v>0.6666666666666666</v>
      </c>
    </row>
    <row r="2884">
      <c r="A2884" s="26" t="s">
        <v>248</v>
      </c>
      <c r="B2884" s="124">
        <v>45761.0</v>
      </c>
      <c r="C2884" s="26" t="s">
        <v>5592</v>
      </c>
      <c r="D2884" s="125">
        <v>0.3333333333333333</v>
      </c>
      <c r="E2884" s="125">
        <v>0.6666666666666666</v>
      </c>
    </row>
    <row r="2885">
      <c r="A2885" s="26" t="s">
        <v>253</v>
      </c>
      <c r="B2885" s="124">
        <v>45761.0</v>
      </c>
      <c r="C2885" s="26" t="s">
        <v>5592</v>
      </c>
      <c r="D2885" s="125">
        <v>0.4166666666666667</v>
      </c>
      <c r="E2885" s="125">
        <v>0.75</v>
      </c>
    </row>
    <row r="2886">
      <c r="A2886" s="26" t="s">
        <v>258</v>
      </c>
      <c r="B2886" s="124">
        <v>45761.0</v>
      </c>
      <c r="C2886" s="26" t="s">
        <v>5592</v>
      </c>
      <c r="D2886" s="125">
        <v>0.3333333333333333</v>
      </c>
      <c r="E2886" s="125">
        <v>0.6666666666666666</v>
      </c>
    </row>
    <row r="2887">
      <c r="A2887" s="26" t="s">
        <v>261</v>
      </c>
      <c r="B2887" s="124">
        <v>45761.0</v>
      </c>
      <c r="C2887" s="26" t="s">
        <v>5592</v>
      </c>
      <c r="D2887" s="125">
        <v>0.4166666666666667</v>
      </c>
      <c r="E2887" s="125">
        <v>0.75</v>
      </c>
    </row>
    <row r="2888">
      <c r="A2888" s="26" t="s">
        <v>265</v>
      </c>
      <c r="B2888" s="124">
        <v>45761.0</v>
      </c>
      <c r="C2888" s="26" t="s">
        <v>5592</v>
      </c>
      <c r="D2888" s="125">
        <v>0.3333333333333333</v>
      </c>
      <c r="E2888" s="125">
        <v>0.6666666666666666</v>
      </c>
    </row>
    <row r="2889">
      <c r="A2889" s="26" t="s">
        <v>269</v>
      </c>
      <c r="B2889" s="124">
        <v>45761.0</v>
      </c>
      <c r="C2889" s="26" t="s">
        <v>5592</v>
      </c>
      <c r="D2889" s="125">
        <v>0.3333333333333333</v>
      </c>
      <c r="E2889" s="125">
        <v>0.6666666666666666</v>
      </c>
    </row>
    <row r="2890">
      <c r="A2890" s="26" t="s">
        <v>276</v>
      </c>
      <c r="B2890" s="124">
        <v>45761.0</v>
      </c>
      <c r="C2890" s="26" t="s">
        <v>5592</v>
      </c>
      <c r="D2890" s="125">
        <v>0.3333333333333333</v>
      </c>
      <c r="E2890" s="125">
        <v>0.6666666666666666</v>
      </c>
    </row>
    <row r="2891">
      <c r="A2891" s="26" t="s">
        <v>280</v>
      </c>
      <c r="B2891" s="124">
        <v>45761.0</v>
      </c>
      <c r="C2891" s="26" t="s">
        <v>5592</v>
      </c>
      <c r="D2891" s="125">
        <v>0.4166666666666667</v>
      </c>
      <c r="E2891" s="125">
        <v>0.75</v>
      </c>
    </row>
    <row r="2892">
      <c r="A2892" s="26" t="s">
        <v>243</v>
      </c>
      <c r="B2892" s="124">
        <v>45759.0</v>
      </c>
      <c r="C2892" s="26" t="s">
        <v>5592</v>
      </c>
      <c r="D2892" s="125">
        <v>0.3333333333333333</v>
      </c>
      <c r="E2892" s="125">
        <v>0.6666666666666666</v>
      </c>
    </row>
    <row r="2893">
      <c r="A2893" s="26" t="s">
        <v>248</v>
      </c>
      <c r="B2893" s="124">
        <v>45759.0</v>
      </c>
      <c r="C2893" s="26" t="s">
        <v>5592</v>
      </c>
      <c r="D2893" s="125">
        <v>0.3333333333333333</v>
      </c>
      <c r="E2893" s="125">
        <v>0.6666666666666666</v>
      </c>
    </row>
    <row r="2894">
      <c r="A2894" s="26" t="s">
        <v>253</v>
      </c>
      <c r="B2894" s="124">
        <v>45759.0</v>
      </c>
      <c r="C2894" s="26" t="s">
        <v>5592</v>
      </c>
      <c r="D2894" s="125">
        <v>0.4166666666666667</v>
      </c>
      <c r="E2894" s="125">
        <v>0.75</v>
      </c>
    </row>
    <row r="2895">
      <c r="A2895" s="26" t="s">
        <v>258</v>
      </c>
      <c r="B2895" s="124">
        <v>45759.0</v>
      </c>
      <c r="C2895" s="26" t="s">
        <v>5592</v>
      </c>
      <c r="D2895" s="125">
        <v>0.3333333333333333</v>
      </c>
      <c r="E2895" s="125">
        <v>0.6666666666666666</v>
      </c>
    </row>
    <row r="2896">
      <c r="A2896" s="26" t="s">
        <v>261</v>
      </c>
      <c r="B2896" s="124">
        <v>45759.0</v>
      </c>
      <c r="C2896" s="26" t="s">
        <v>5592</v>
      </c>
      <c r="D2896" s="125">
        <v>0.4166666666666667</v>
      </c>
      <c r="E2896" s="125">
        <v>0.75</v>
      </c>
    </row>
    <row r="2897">
      <c r="A2897" s="26" t="s">
        <v>265</v>
      </c>
      <c r="B2897" s="124">
        <v>45759.0</v>
      </c>
      <c r="C2897" s="26" t="s">
        <v>5592</v>
      </c>
      <c r="D2897" s="125">
        <v>0.3333333333333333</v>
      </c>
      <c r="E2897" s="125">
        <v>0.6666666666666666</v>
      </c>
    </row>
    <row r="2898">
      <c r="A2898" s="26" t="s">
        <v>269</v>
      </c>
      <c r="B2898" s="124">
        <v>45759.0</v>
      </c>
      <c r="C2898" s="26" t="s">
        <v>5592</v>
      </c>
      <c r="D2898" s="125">
        <v>0.3333333333333333</v>
      </c>
      <c r="E2898" s="125">
        <v>0.6666666666666666</v>
      </c>
    </row>
    <row r="2899">
      <c r="A2899" s="26" t="s">
        <v>276</v>
      </c>
      <c r="B2899" s="124">
        <v>45759.0</v>
      </c>
      <c r="C2899" s="26" t="s">
        <v>5592</v>
      </c>
      <c r="D2899" s="125">
        <v>0.3333333333333333</v>
      </c>
      <c r="E2899" s="125">
        <v>0.6666666666666666</v>
      </c>
    </row>
    <row r="2900">
      <c r="A2900" s="26" t="s">
        <v>280</v>
      </c>
      <c r="B2900" s="124">
        <v>45759.0</v>
      </c>
      <c r="C2900" s="26" t="s">
        <v>5592</v>
      </c>
      <c r="D2900" s="125">
        <v>0.4166666666666667</v>
      </c>
      <c r="E2900" s="125">
        <v>0.75</v>
      </c>
    </row>
    <row r="2901">
      <c r="A2901" s="26" t="s">
        <v>243</v>
      </c>
      <c r="B2901" s="124">
        <v>45758.0</v>
      </c>
      <c r="C2901" s="26" t="s">
        <v>5592</v>
      </c>
      <c r="D2901" s="125">
        <v>0.3333333333333333</v>
      </c>
      <c r="E2901" s="125">
        <v>0.6666666666666666</v>
      </c>
    </row>
    <row r="2902">
      <c r="A2902" s="26" t="s">
        <v>248</v>
      </c>
      <c r="B2902" s="124">
        <v>45758.0</v>
      </c>
      <c r="C2902" s="26" t="s">
        <v>5592</v>
      </c>
      <c r="D2902" s="125">
        <v>0.3333333333333333</v>
      </c>
      <c r="E2902" s="125">
        <v>0.6666666666666666</v>
      </c>
    </row>
    <row r="2903">
      <c r="A2903" s="26" t="s">
        <v>253</v>
      </c>
      <c r="B2903" s="124">
        <v>45758.0</v>
      </c>
      <c r="C2903" s="26" t="s">
        <v>5592</v>
      </c>
      <c r="D2903" s="125">
        <v>0.4166666666666667</v>
      </c>
      <c r="E2903" s="125">
        <v>0.75</v>
      </c>
    </row>
    <row r="2904">
      <c r="A2904" s="26" t="s">
        <v>258</v>
      </c>
      <c r="B2904" s="124">
        <v>45758.0</v>
      </c>
      <c r="C2904" s="26" t="s">
        <v>5592</v>
      </c>
      <c r="D2904" s="125">
        <v>0.3333333333333333</v>
      </c>
      <c r="E2904" s="125">
        <v>0.6666666666666666</v>
      </c>
    </row>
    <row r="2905">
      <c r="A2905" s="26" t="s">
        <v>261</v>
      </c>
      <c r="B2905" s="124">
        <v>45758.0</v>
      </c>
      <c r="C2905" s="26" t="s">
        <v>5592</v>
      </c>
      <c r="D2905" s="125">
        <v>0.4166666666666667</v>
      </c>
      <c r="E2905" s="125">
        <v>0.75</v>
      </c>
    </row>
    <row r="2906">
      <c r="A2906" s="26" t="s">
        <v>265</v>
      </c>
      <c r="B2906" s="124">
        <v>45758.0</v>
      </c>
      <c r="C2906" s="26" t="s">
        <v>5592</v>
      </c>
      <c r="D2906" s="125">
        <v>0.3333333333333333</v>
      </c>
      <c r="E2906" s="125">
        <v>0.6666666666666666</v>
      </c>
    </row>
    <row r="2907">
      <c r="A2907" s="26" t="s">
        <v>269</v>
      </c>
      <c r="B2907" s="124">
        <v>45758.0</v>
      </c>
      <c r="C2907" s="26" t="s">
        <v>5592</v>
      </c>
      <c r="D2907" s="125">
        <v>0.3333333333333333</v>
      </c>
      <c r="E2907" s="125">
        <v>0.6666666666666666</v>
      </c>
    </row>
    <row r="2908">
      <c r="A2908" s="26" t="s">
        <v>276</v>
      </c>
      <c r="B2908" s="124">
        <v>45758.0</v>
      </c>
      <c r="C2908" s="26" t="s">
        <v>5592</v>
      </c>
      <c r="D2908" s="125">
        <v>0.3333333333333333</v>
      </c>
      <c r="E2908" s="125">
        <v>0.6666666666666666</v>
      </c>
    </row>
    <row r="2909">
      <c r="A2909" s="26" t="s">
        <v>280</v>
      </c>
      <c r="B2909" s="124">
        <v>45758.0</v>
      </c>
      <c r="C2909" s="26" t="s">
        <v>5592</v>
      </c>
      <c r="D2909" s="125">
        <v>0.4166666666666667</v>
      </c>
      <c r="E2909" s="125">
        <v>0.75</v>
      </c>
    </row>
    <row r="2910">
      <c r="A2910" s="26" t="s">
        <v>243</v>
      </c>
      <c r="B2910" s="124">
        <v>45757.0</v>
      </c>
      <c r="C2910" s="26" t="s">
        <v>5592</v>
      </c>
      <c r="D2910" s="125">
        <v>0.3333333333333333</v>
      </c>
      <c r="E2910" s="125">
        <v>0.6666666666666666</v>
      </c>
    </row>
    <row r="2911">
      <c r="A2911" s="26" t="s">
        <v>248</v>
      </c>
      <c r="B2911" s="124">
        <v>45757.0</v>
      </c>
      <c r="C2911" s="26" t="s">
        <v>5592</v>
      </c>
      <c r="D2911" s="125">
        <v>0.3333333333333333</v>
      </c>
      <c r="E2911" s="125">
        <v>0.6666666666666666</v>
      </c>
    </row>
    <row r="2912">
      <c r="A2912" s="26" t="s">
        <v>253</v>
      </c>
      <c r="B2912" s="124">
        <v>45757.0</v>
      </c>
      <c r="C2912" s="26" t="s">
        <v>5592</v>
      </c>
      <c r="D2912" s="125">
        <v>0.4166666666666667</v>
      </c>
      <c r="E2912" s="125">
        <v>0.75</v>
      </c>
    </row>
    <row r="2913">
      <c r="A2913" s="26" t="s">
        <v>258</v>
      </c>
      <c r="B2913" s="124">
        <v>45757.0</v>
      </c>
      <c r="C2913" s="26" t="s">
        <v>5592</v>
      </c>
      <c r="D2913" s="125">
        <v>0.3333333333333333</v>
      </c>
      <c r="E2913" s="125">
        <v>0.6666666666666666</v>
      </c>
    </row>
    <row r="2914">
      <c r="A2914" s="26" t="s">
        <v>261</v>
      </c>
      <c r="B2914" s="124">
        <v>45757.0</v>
      </c>
      <c r="C2914" s="26" t="s">
        <v>5592</v>
      </c>
      <c r="D2914" s="125">
        <v>0.4166666666666667</v>
      </c>
      <c r="E2914" s="125">
        <v>0.75</v>
      </c>
    </row>
    <row r="2915">
      <c r="A2915" s="26" t="s">
        <v>265</v>
      </c>
      <c r="B2915" s="124">
        <v>45757.0</v>
      </c>
      <c r="C2915" s="26" t="s">
        <v>5592</v>
      </c>
      <c r="D2915" s="125">
        <v>0.3333333333333333</v>
      </c>
      <c r="E2915" s="125">
        <v>0.6666666666666666</v>
      </c>
    </row>
    <row r="2916">
      <c r="A2916" s="26" t="s">
        <v>269</v>
      </c>
      <c r="B2916" s="124">
        <v>45757.0</v>
      </c>
      <c r="C2916" s="26" t="s">
        <v>5592</v>
      </c>
      <c r="D2916" s="125">
        <v>0.3333333333333333</v>
      </c>
      <c r="E2916" s="125">
        <v>0.6666666666666666</v>
      </c>
    </row>
    <row r="2917">
      <c r="A2917" s="26" t="s">
        <v>276</v>
      </c>
      <c r="B2917" s="124">
        <v>45757.0</v>
      </c>
      <c r="C2917" s="26" t="s">
        <v>5592</v>
      </c>
      <c r="D2917" s="125">
        <v>0.3333333333333333</v>
      </c>
      <c r="E2917" s="125">
        <v>0.6666666666666666</v>
      </c>
    </row>
    <row r="2918">
      <c r="A2918" s="26" t="s">
        <v>280</v>
      </c>
      <c r="B2918" s="124">
        <v>45757.0</v>
      </c>
      <c r="C2918" s="26" t="s">
        <v>5592</v>
      </c>
      <c r="D2918" s="125">
        <v>0.4166666666666667</v>
      </c>
      <c r="E2918" s="125">
        <v>0.75</v>
      </c>
    </row>
    <row r="2919">
      <c r="A2919" s="26" t="s">
        <v>243</v>
      </c>
      <c r="B2919" s="124">
        <v>45756.0</v>
      </c>
      <c r="C2919" s="26" t="s">
        <v>5592</v>
      </c>
      <c r="D2919" s="125">
        <v>0.3333333333333333</v>
      </c>
      <c r="E2919" s="125">
        <v>0.6666666666666666</v>
      </c>
    </row>
    <row r="2920">
      <c r="A2920" s="26" t="s">
        <v>248</v>
      </c>
      <c r="B2920" s="124">
        <v>45756.0</v>
      </c>
      <c r="C2920" s="26" t="s">
        <v>5592</v>
      </c>
      <c r="D2920" s="125">
        <v>0.3333333333333333</v>
      </c>
      <c r="E2920" s="125">
        <v>0.6666666666666666</v>
      </c>
    </row>
    <row r="2921">
      <c r="A2921" s="26" t="s">
        <v>253</v>
      </c>
      <c r="B2921" s="124">
        <v>45756.0</v>
      </c>
      <c r="C2921" s="26" t="s">
        <v>5592</v>
      </c>
      <c r="D2921" s="125">
        <v>0.4166666666666667</v>
      </c>
      <c r="E2921" s="125">
        <v>0.75</v>
      </c>
    </row>
    <row r="2922">
      <c r="A2922" s="26" t="s">
        <v>258</v>
      </c>
      <c r="B2922" s="124">
        <v>45756.0</v>
      </c>
      <c r="C2922" s="26" t="s">
        <v>5592</v>
      </c>
      <c r="D2922" s="125">
        <v>0.3333333333333333</v>
      </c>
      <c r="E2922" s="125">
        <v>0.6666666666666666</v>
      </c>
    </row>
    <row r="2923">
      <c r="A2923" s="26" t="s">
        <v>261</v>
      </c>
      <c r="B2923" s="124">
        <v>45756.0</v>
      </c>
      <c r="C2923" s="26" t="s">
        <v>5592</v>
      </c>
      <c r="D2923" s="125">
        <v>0.4166666666666667</v>
      </c>
      <c r="E2923" s="125">
        <v>0.75</v>
      </c>
    </row>
    <row r="2924">
      <c r="A2924" s="26" t="s">
        <v>265</v>
      </c>
      <c r="B2924" s="124">
        <v>45756.0</v>
      </c>
      <c r="C2924" s="26" t="s">
        <v>5592</v>
      </c>
      <c r="D2924" s="125">
        <v>0.3333333333333333</v>
      </c>
      <c r="E2924" s="125">
        <v>0.6666666666666666</v>
      </c>
    </row>
    <row r="2925">
      <c r="A2925" s="26" t="s">
        <v>269</v>
      </c>
      <c r="B2925" s="124">
        <v>45756.0</v>
      </c>
      <c r="C2925" s="26" t="s">
        <v>5592</v>
      </c>
      <c r="D2925" s="125">
        <v>0.3333333333333333</v>
      </c>
      <c r="E2925" s="125">
        <v>0.6666666666666666</v>
      </c>
    </row>
    <row r="2926">
      <c r="A2926" s="26" t="s">
        <v>276</v>
      </c>
      <c r="B2926" s="124">
        <v>45756.0</v>
      </c>
      <c r="C2926" s="26" t="s">
        <v>5592</v>
      </c>
      <c r="D2926" s="125">
        <v>0.3333333333333333</v>
      </c>
      <c r="E2926" s="125">
        <v>0.6666666666666666</v>
      </c>
    </row>
    <row r="2927">
      <c r="A2927" s="26" t="s">
        <v>280</v>
      </c>
      <c r="B2927" s="124">
        <v>45756.0</v>
      </c>
      <c r="C2927" s="26" t="s">
        <v>5592</v>
      </c>
      <c r="D2927" s="125">
        <v>0.4166666666666667</v>
      </c>
      <c r="E2927" s="125">
        <v>0.75</v>
      </c>
    </row>
    <row r="2928">
      <c r="A2928" s="26" t="s">
        <v>243</v>
      </c>
      <c r="B2928" s="124">
        <v>45755.0</v>
      </c>
      <c r="C2928" s="26" t="s">
        <v>5592</v>
      </c>
      <c r="D2928" s="125">
        <v>0.3333333333333333</v>
      </c>
      <c r="E2928" s="125">
        <v>0.6666666666666666</v>
      </c>
    </row>
    <row r="2929">
      <c r="A2929" s="26" t="s">
        <v>248</v>
      </c>
      <c r="B2929" s="124">
        <v>45755.0</v>
      </c>
      <c r="C2929" s="26" t="s">
        <v>5592</v>
      </c>
      <c r="D2929" s="125">
        <v>0.3333333333333333</v>
      </c>
      <c r="E2929" s="125">
        <v>0.6666666666666666</v>
      </c>
    </row>
    <row r="2930">
      <c r="A2930" s="26" t="s">
        <v>253</v>
      </c>
      <c r="B2930" s="124">
        <v>45755.0</v>
      </c>
      <c r="C2930" s="26" t="s">
        <v>5592</v>
      </c>
      <c r="D2930" s="125">
        <v>0.4166666666666667</v>
      </c>
      <c r="E2930" s="125">
        <v>0.75</v>
      </c>
    </row>
    <row r="2931">
      <c r="A2931" s="26" t="s">
        <v>258</v>
      </c>
      <c r="B2931" s="124">
        <v>45755.0</v>
      </c>
      <c r="C2931" s="26" t="s">
        <v>5592</v>
      </c>
      <c r="D2931" s="125">
        <v>0.3333333333333333</v>
      </c>
      <c r="E2931" s="125">
        <v>0.6666666666666666</v>
      </c>
    </row>
    <row r="2932">
      <c r="A2932" s="26" t="s">
        <v>261</v>
      </c>
      <c r="B2932" s="124">
        <v>45755.0</v>
      </c>
      <c r="C2932" s="26" t="s">
        <v>5592</v>
      </c>
      <c r="D2932" s="125">
        <v>0.4166666666666667</v>
      </c>
      <c r="E2932" s="125">
        <v>0.75</v>
      </c>
    </row>
    <row r="2933">
      <c r="A2933" s="26" t="s">
        <v>265</v>
      </c>
      <c r="B2933" s="124">
        <v>45755.0</v>
      </c>
      <c r="C2933" s="26" t="s">
        <v>5592</v>
      </c>
      <c r="D2933" s="125">
        <v>0.3333333333333333</v>
      </c>
      <c r="E2933" s="125">
        <v>0.6666666666666666</v>
      </c>
    </row>
    <row r="2934">
      <c r="A2934" s="26" t="s">
        <v>269</v>
      </c>
      <c r="B2934" s="124">
        <v>45755.0</v>
      </c>
      <c r="C2934" s="26" t="s">
        <v>5592</v>
      </c>
      <c r="D2934" s="125">
        <v>0.3333333333333333</v>
      </c>
      <c r="E2934" s="125">
        <v>0.6666666666666666</v>
      </c>
    </row>
    <row r="2935">
      <c r="A2935" s="26" t="s">
        <v>276</v>
      </c>
      <c r="B2935" s="124">
        <v>45755.0</v>
      </c>
      <c r="C2935" s="26" t="s">
        <v>5592</v>
      </c>
      <c r="D2935" s="125">
        <v>0.3333333333333333</v>
      </c>
      <c r="E2935" s="125">
        <v>0.6666666666666666</v>
      </c>
    </row>
    <row r="2936">
      <c r="A2936" s="26" t="s">
        <v>280</v>
      </c>
      <c r="B2936" s="124">
        <v>45755.0</v>
      </c>
      <c r="C2936" s="26" t="s">
        <v>5592</v>
      </c>
      <c r="D2936" s="125">
        <v>0.4166666666666667</v>
      </c>
      <c r="E2936" s="125">
        <v>0.75</v>
      </c>
    </row>
    <row r="2937">
      <c r="A2937" s="26" t="s">
        <v>248</v>
      </c>
      <c r="B2937" s="124">
        <v>45754.0</v>
      </c>
      <c r="C2937" s="26" t="s">
        <v>5592</v>
      </c>
      <c r="D2937" s="125">
        <v>0.3333333333333333</v>
      </c>
      <c r="E2937" s="125">
        <v>0.6666666666666666</v>
      </c>
    </row>
    <row r="2938">
      <c r="A2938" s="26" t="s">
        <v>253</v>
      </c>
      <c r="B2938" s="124">
        <v>45754.0</v>
      </c>
      <c r="C2938" s="26" t="s">
        <v>5592</v>
      </c>
      <c r="D2938" s="125">
        <v>0.4166666666666667</v>
      </c>
      <c r="E2938" s="125">
        <v>0.75</v>
      </c>
    </row>
    <row r="2939">
      <c r="A2939" s="26" t="s">
        <v>258</v>
      </c>
      <c r="B2939" s="124">
        <v>45754.0</v>
      </c>
      <c r="C2939" s="26" t="s">
        <v>5592</v>
      </c>
      <c r="D2939" s="125">
        <v>0.3333333333333333</v>
      </c>
      <c r="E2939" s="125">
        <v>0.6666666666666666</v>
      </c>
    </row>
    <row r="2940">
      <c r="A2940" s="26" t="s">
        <v>261</v>
      </c>
      <c r="B2940" s="124">
        <v>45754.0</v>
      </c>
      <c r="C2940" s="26" t="s">
        <v>5592</v>
      </c>
      <c r="D2940" s="125">
        <v>0.4166666666666667</v>
      </c>
      <c r="E2940" s="125">
        <v>0.75</v>
      </c>
    </row>
    <row r="2941">
      <c r="A2941" s="26" t="s">
        <v>265</v>
      </c>
      <c r="B2941" s="124">
        <v>45754.0</v>
      </c>
      <c r="C2941" s="26" t="s">
        <v>5592</v>
      </c>
      <c r="D2941" s="125">
        <v>0.3333333333333333</v>
      </c>
      <c r="E2941" s="125">
        <v>0.6666666666666666</v>
      </c>
    </row>
    <row r="2942">
      <c r="A2942" s="26" t="s">
        <v>269</v>
      </c>
      <c r="B2942" s="124">
        <v>45754.0</v>
      </c>
      <c r="C2942" s="26" t="s">
        <v>5592</v>
      </c>
      <c r="D2942" s="125">
        <v>0.3333333333333333</v>
      </c>
      <c r="E2942" s="125">
        <v>0.6666666666666666</v>
      </c>
    </row>
    <row r="2943">
      <c r="A2943" s="26" t="s">
        <v>276</v>
      </c>
      <c r="B2943" s="124">
        <v>45754.0</v>
      </c>
      <c r="C2943" s="26" t="s">
        <v>5592</v>
      </c>
      <c r="D2943" s="125">
        <v>0.3333333333333333</v>
      </c>
      <c r="E2943" s="125">
        <v>0.6666666666666666</v>
      </c>
    </row>
    <row r="2944">
      <c r="A2944" s="26" t="s">
        <v>280</v>
      </c>
      <c r="B2944" s="124">
        <v>45754.0</v>
      </c>
      <c r="C2944" s="26" t="s">
        <v>5592</v>
      </c>
      <c r="D2944" s="125">
        <v>0.4166666666666667</v>
      </c>
      <c r="E2944" s="125">
        <v>0.75</v>
      </c>
    </row>
    <row r="2945">
      <c r="A2945" s="26" t="s">
        <v>248</v>
      </c>
      <c r="B2945" s="124">
        <v>45752.0</v>
      </c>
      <c r="C2945" s="26" t="s">
        <v>5592</v>
      </c>
      <c r="D2945" s="125">
        <v>0.3333333333333333</v>
      </c>
      <c r="E2945" s="125">
        <v>0.6666666666666666</v>
      </c>
    </row>
    <row r="2946">
      <c r="A2946" s="26" t="s">
        <v>253</v>
      </c>
      <c r="B2946" s="124">
        <v>45752.0</v>
      </c>
      <c r="C2946" s="26" t="s">
        <v>5592</v>
      </c>
      <c r="D2946" s="125">
        <v>0.4166666666666667</v>
      </c>
      <c r="E2946" s="125">
        <v>0.75</v>
      </c>
    </row>
    <row r="2947">
      <c r="A2947" s="26" t="s">
        <v>258</v>
      </c>
      <c r="B2947" s="124">
        <v>45752.0</v>
      </c>
      <c r="C2947" s="26" t="s">
        <v>5592</v>
      </c>
      <c r="D2947" s="125">
        <v>0.3333333333333333</v>
      </c>
      <c r="E2947" s="125">
        <v>0.6666666666666666</v>
      </c>
    </row>
    <row r="2948">
      <c r="A2948" s="26" t="s">
        <v>261</v>
      </c>
      <c r="B2948" s="124">
        <v>45752.0</v>
      </c>
      <c r="C2948" s="26" t="s">
        <v>5592</v>
      </c>
      <c r="D2948" s="125">
        <v>0.4166666666666667</v>
      </c>
      <c r="E2948" s="125">
        <v>0.75</v>
      </c>
    </row>
    <row r="2949">
      <c r="A2949" s="26" t="s">
        <v>265</v>
      </c>
      <c r="B2949" s="124">
        <v>45752.0</v>
      </c>
      <c r="C2949" s="26" t="s">
        <v>5592</v>
      </c>
      <c r="D2949" s="125">
        <v>0.3333333333333333</v>
      </c>
      <c r="E2949" s="125">
        <v>0.6666666666666666</v>
      </c>
    </row>
    <row r="2950">
      <c r="A2950" s="26" t="s">
        <v>269</v>
      </c>
      <c r="B2950" s="124">
        <v>45752.0</v>
      </c>
      <c r="C2950" s="26" t="s">
        <v>5592</v>
      </c>
      <c r="D2950" s="125">
        <v>0.3333333333333333</v>
      </c>
      <c r="E2950" s="125">
        <v>0.6666666666666666</v>
      </c>
    </row>
    <row r="2951">
      <c r="A2951" s="26" t="s">
        <v>276</v>
      </c>
      <c r="B2951" s="124">
        <v>45752.0</v>
      </c>
      <c r="C2951" s="26" t="s">
        <v>5592</v>
      </c>
      <c r="D2951" s="125">
        <v>0.3333333333333333</v>
      </c>
      <c r="E2951" s="125">
        <v>0.6666666666666666</v>
      </c>
    </row>
    <row r="2952">
      <c r="A2952" s="26" t="s">
        <v>280</v>
      </c>
      <c r="B2952" s="124">
        <v>45752.0</v>
      </c>
      <c r="C2952" s="26" t="s">
        <v>5592</v>
      </c>
      <c r="D2952" s="125">
        <v>0.4166666666666667</v>
      </c>
      <c r="E2952" s="125">
        <v>0.75</v>
      </c>
    </row>
    <row r="2953">
      <c r="A2953" s="26" t="s">
        <v>248</v>
      </c>
      <c r="B2953" s="124">
        <v>45751.0</v>
      </c>
      <c r="C2953" s="26" t="s">
        <v>5592</v>
      </c>
      <c r="D2953" s="125">
        <v>0.3333333333333333</v>
      </c>
      <c r="E2953" s="125">
        <v>0.6666666666666666</v>
      </c>
    </row>
    <row r="2954">
      <c r="A2954" s="26" t="s">
        <v>253</v>
      </c>
      <c r="B2954" s="124">
        <v>45751.0</v>
      </c>
      <c r="C2954" s="26" t="s">
        <v>5592</v>
      </c>
      <c r="D2954" s="125">
        <v>0.4166666666666667</v>
      </c>
      <c r="E2954" s="125">
        <v>0.75</v>
      </c>
    </row>
    <row r="2955">
      <c r="A2955" s="26" t="s">
        <v>258</v>
      </c>
      <c r="B2955" s="124">
        <v>45751.0</v>
      </c>
      <c r="C2955" s="26" t="s">
        <v>5592</v>
      </c>
      <c r="D2955" s="125">
        <v>0.3333333333333333</v>
      </c>
      <c r="E2955" s="125">
        <v>0.6666666666666666</v>
      </c>
    </row>
    <row r="2956">
      <c r="A2956" s="26" t="s">
        <v>261</v>
      </c>
      <c r="B2956" s="124">
        <v>45751.0</v>
      </c>
      <c r="C2956" s="26" t="s">
        <v>5592</v>
      </c>
      <c r="D2956" s="125">
        <v>0.4166666666666667</v>
      </c>
      <c r="E2956" s="125">
        <v>0.75</v>
      </c>
    </row>
    <row r="2957">
      <c r="A2957" s="26" t="s">
        <v>265</v>
      </c>
      <c r="B2957" s="124">
        <v>45751.0</v>
      </c>
      <c r="C2957" s="26" t="s">
        <v>5592</v>
      </c>
      <c r="D2957" s="125">
        <v>0.3333333333333333</v>
      </c>
      <c r="E2957" s="125">
        <v>0.6666666666666666</v>
      </c>
    </row>
    <row r="2958">
      <c r="A2958" s="26" t="s">
        <v>269</v>
      </c>
      <c r="B2958" s="124">
        <v>45751.0</v>
      </c>
      <c r="C2958" s="26" t="s">
        <v>5592</v>
      </c>
      <c r="D2958" s="125">
        <v>0.3333333333333333</v>
      </c>
      <c r="E2958" s="125">
        <v>0.6666666666666666</v>
      </c>
    </row>
    <row r="2959">
      <c r="A2959" s="26" t="s">
        <v>276</v>
      </c>
      <c r="B2959" s="124">
        <v>45751.0</v>
      </c>
      <c r="C2959" s="26" t="s">
        <v>5592</v>
      </c>
      <c r="D2959" s="125">
        <v>0.3333333333333333</v>
      </c>
      <c r="E2959" s="125">
        <v>0.6666666666666666</v>
      </c>
    </row>
    <row r="2960">
      <c r="A2960" s="26" t="s">
        <v>280</v>
      </c>
      <c r="B2960" s="124">
        <v>45751.0</v>
      </c>
      <c r="C2960" s="26" t="s">
        <v>5592</v>
      </c>
      <c r="D2960" s="125">
        <v>0.4166666666666667</v>
      </c>
      <c r="E2960" s="125">
        <v>0.75</v>
      </c>
    </row>
    <row r="2961">
      <c r="A2961" s="26" t="s">
        <v>248</v>
      </c>
      <c r="B2961" s="124">
        <v>45750.0</v>
      </c>
      <c r="C2961" s="26" t="s">
        <v>5592</v>
      </c>
      <c r="D2961" s="125">
        <v>0.3333333333333333</v>
      </c>
      <c r="E2961" s="125">
        <v>0.6666666666666666</v>
      </c>
    </row>
    <row r="2962">
      <c r="A2962" s="26" t="s">
        <v>253</v>
      </c>
      <c r="B2962" s="124">
        <v>45750.0</v>
      </c>
      <c r="C2962" s="26" t="s">
        <v>5592</v>
      </c>
      <c r="D2962" s="125">
        <v>0.4166666666666667</v>
      </c>
      <c r="E2962" s="125">
        <v>0.75</v>
      </c>
    </row>
    <row r="2963">
      <c r="A2963" s="26" t="s">
        <v>258</v>
      </c>
      <c r="B2963" s="124">
        <v>45750.0</v>
      </c>
      <c r="C2963" s="26" t="s">
        <v>5592</v>
      </c>
      <c r="D2963" s="125">
        <v>0.3333333333333333</v>
      </c>
      <c r="E2963" s="125">
        <v>0.6666666666666666</v>
      </c>
    </row>
    <row r="2964">
      <c r="A2964" s="26" t="s">
        <v>261</v>
      </c>
      <c r="B2964" s="124">
        <v>45750.0</v>
      </c>
      <c r="C2964" s="26" t="s">
        <v>5592</v>
      </c>
      <c r="D2964" s="125">
        <v>0.4166666666666667</v>
      </c>
      <c r="E2964" s="125">
        <v>0.75</v>
      </c>
    </row>
    <row r="2965">
      <c r="A2965" s="26" t="s">
        <v>265</v>
      </c>
      <c r="B2965" s="124">
        <v>45750.0</v>
      </c>
      <c r="C2965" s="26" t="s">
        <v>5592</v>
      </c>
      <c r="D2965" s="125">
        <v>0.3333333333333333</v>
      </c>
      <c r="E2965" s="125">
        <v>0.6666666666666666</v>
      </c>
    </row>
    <row r="2966">
      <c r="A2966" s="26" t="s">
        <v>269</v>
      </c>
      <c r="B2966" s="124">
        <v>45750.0</v>
      </c>
      <c r="C2966" s="26" t="s">
        <v>5592</v>
      </c>
      <c r="D2966" s="125">
        <v>0.3333333333333333</v>
      </c>
      <c r="E2966" s="125">
        <v>0.6666666666666666</v>
      </c>
    </row>
    <row r="2967">
      <c r="A2967" s="26" t="s">
        <v>276</v>
      </c>
      <c r="B2967" s="124">
        <v>45750.0</v>
      </c>
      <c r="C2967" s="26" t="s">
        <v>5592</v>
      </c>
      <c r="D2967" s="125">
        <v>0.3333333333333333</v>
      </c>
      <c r="E2967" s="125">
        <v>0.6666666666666666</v>
      </c>
    </row>
    <row r="2968">
      <c r="A2968" s="26" t="s">
        <v>280</v>
      </c>
      <c r="B2968" s="124">
        <v>45750.0</v>
      </c>
      <c r="C2968" s="26" t="s">
        <v>5592</v>
      </c>
      <c r="D2968" s="125">
        <v>0.4166666666666667</v>
      </c>
      <c r="E2968" s="125">
        <v>0.75</v>
      </c>
    </row>
    <row r="2969">
      <c r="A2969" s="26" t="s">
        <v>248</v>
      </c>
      <c r="B2969" s="124">
        <v>45749.0</v>
      </c>
      <c r="C2969" s="26" t="s">
        <v>5592</v>
      </c>
      <c r="D2969" s="125">
        <v>0.3333333333333333</v>
      </c>
      <c r="E2969" s="125">
        <v>0.6666666666666666</v>
      </c>
    </row>
    <row r="2970">
      <c r="A2970" s="26" t="s">
        <v>253</v>
      </c>
      <c r="B2970" s="124">
        <v>45749.0</v>
      </c>
      <c r="C2970" s="26" t="s">
        <v>5592</v>
      </c>
      <c r="D2970" s="125">
        <v>0.3333333333333333</v>
      </c>
      <c r="E2970" s="125">
        <v>0.6666666666666666</v>
      </c>
    </row>
    <row r="2971">
      <c r="A2971" s="26" t="s">
        <v>258</v>
      </c>
      <c r="B2971" s="124">
        <v>45749.0</v>
      </c>
      <c r="C2971" s="26" t="s">
        <v>5592</v>
      </c>
      <c r="D2971" s="125">
        <v>0.3333333333333333</v>
      </c>
      <c r="E2971" s="125">
        <v>0.6666666666666666</v>
      </c>
    </row>
    <row r="2972">
      <c r="A2972" s="26" t="s">
        <v>261</v>
      </c>
      <c r="B2972" s="124">
        <v>45749.0</v>
      </c>
      <c r="C2972" s="26" t="s">
        <v>5592</v>
      </c>
      <c r="D2972" s="125">
        <v>0.4166666666666667</v>
      </c>
      <c r="E2972" s="125">
        <v>0.75</v>
      </c>
    </row>
    <row r="2973">
      <c r="A2973" s="26" t="s">
        <v>265</v>
      </c>
      <c r="B2973" s="124">
        <v>45749.0</v>
      </c>
      <c r="C2973" s="26" t="s">
        <v>5592</v>
      </c>
      <c r="D2973" s="125">
        <v>0.3333333333333333</v>
      </c>
      <c r="E2973" s="125">
        <v>0.6666666666666666</v>
      </c>
    </row>
    <row r="2974">
      <c r="A2974" s="26" t="s">
        <v>269</v>
      </c>
      <c r="B2974" s="124">
        <v>45749.0</v>
      </c>
      <c r="C2974" s="26" t="s">
        <v>5592</v>
      </c>
      <c r="D2974" s="125">
        <v>0.4166666666666667</v>
      </c>
      <c r="E2974" s="125">
        <v>0.75</v>
      </c>
    </row>
    <row r="2975">
      <c r="A2975" s="26" t="s">
        <v>276</v>
      </c>
      <c r="B2975" s="124">
        <v>45749.0</v>
      </c>
      <c r="C2975" s="26" t="s">
        <v>5592</v>
      </c>
      <c r="D2975" s="125">
        <v>0.3333333333333333</v>
      </c>
      <c r="E2975" s="125">
        <v>0.6666666666666666</v>
      </c>
    </row>
    <row r="2976">
      <c r="A2976" s="26" t="s">
        <v>280</v>
      </c>
      <c r="B2976" s="124">
        <v>45749.0</v>
      </c>
      <c r="C2976" s="26" t="s">
        <v>5592</v>
      </c>
      <c r="D2976" s="125">
        <v>0.4166666666666667</v>
      </c>
      <c r="E2976" s="125">
        <v>0.75</v>
      </c>
    </row>
    <row r="2977">
      <c r="A2977" s="26" t="s">
        <v>248</v>
      </c>
      <c r="B2977" s="124">
        <v>45748.0</v>
      </c>
      <c r="C2977" s="26" t="s">
        <v>5592</v>
      </c>
      <c r="D2977" s="125">
        <v>0.3333333333333333</v>
      </c>
      <c r="E2977" s="125">
        <v>0.6666666666666666</v>
      </c>
    </row>
    <row r="2978">
      <c r="A2978" s="26" t="s">
        <v>253</v>
      </c>
      <c r="B2978" s="124">
        <v>45748.0</v>
      </c>
      <c r="C2978" s="26" t="s">
        <v>5592</v>
      </c>
      <c r="D2978" s="125">
        <v>0.3333333333333333</v>
      </c>
      <c r="E2978" s="125">
        <v>0.6666666666666666</v>
      </c>
    </row>
    <row r="2979">
      <c r="A2979" s="26" t="s">
        <v>258</v>
      </c>
      <c r="B2979" s="124">
        <v>45748.0</v>
      </c>
      <c r="C2979" s="26" t="s">
        <v>5592</v>
      </c>
      <c r="D2979" s="125">
        <v>0.3333333333333333</v>
      </c>
      <c r="E2979" s="125">
        <v>0.6666666666666666</v>
      </c>
    </row>
    <row r="2980">
      <c r="A2980" s="26" t="s">
        <v>261</v>
      </c>
      <c r="B2980" s="124">
        <v>45748.0</v>
      </c>
      <c r="C2980" s="26" t="s">
        <v>5592</v>
      </c>
      <c r="D2980" s="125">
        <v>0.4166666666666667</v>
      </c>
      <c r="E2980" s="125">
        <v>0.75</v>
      </c>
    </row>
    <row r="2981">
      <c r="A2981" s="26" t="s">
        <v>265</v>
      </c>
      <c r="B2981" s="124">
        <v>45748.0</v>
      </c>
      <c r="C2981" s="26" t="s">
        <v>5592</v>
      </c>
      <c r="D2981" s="125">
        <v>0.3333333333333333</v>
      </c>
      <c r="E2981" s="125">
        <v>0.6666666666666666</v>
      </c>
    </row>
    <row r="2982">
      <c r="A2982" s="26" t="s">
        <v>269</v>
      </c>
      <c r="B2982" s="124">
        <v>45748.0</v>
      </c>
      <c r="C2982" s="26" t="s">
        <v>5592</v>
      </c>
      <c r="D2982" s="125">
        <v>0.4166666666666667</v>
      </c>
      <c r="E2982" s="125">
        <v>0.75</v>
      </c>
    </row>
    <row r="2983">
      <c r="A2983" s="26" t="s">
        <v>276</v>
      </c>
      <c r="B2983" s="124">
        <v>45748.0</v>
      </c>
      <c r="C2983" s="26" t="s">
        <v>5592</v>
      </c>
      <c r="D2983" s="125">
        <v>0.3333333333333333</v>
      </c>
      <c r="E2983" s="125">
        <v>0.6666666666666666</v>
      </c>
    </row>
    <row r="2984">
      <c r="A2984" s="26" t="s">
        <v>280</v>
      </c>
      <c r="B2984" s="124">
        <v>45748.0</v>
      </c>
      <c r="C2984" s="26" t="s">
        <v>5592</v>
      </c>
      <c r="D2984" s="125">
        <v>0.4166666666666667</v>
      </c>
      <c r="E2984" s="125">
        <v>0.75</v>
      </c>
    </row>
    <row r="2985">
      <c r="A2985" s="26" t="s">
        <v>248</v>
      </c>
      <c r="B2985" s="124">
        <v>45747.0</v>
      </c>
      <c r="C2985" s="26" t="s">
        <v>5592</v>
      </c>
      <c r="D2985" s="125">
        <v>0.3333333333333333</v>
      </c>
      <c r="E2985" s="125">
        <v>0.6666666666666666</v>
      </c>
    </row>
    <row r="2986">
      <c r="A2986" s="26" t="s">
        <v>253</v>
      </c>
      <c r="B2986" s="124">
        <v>45747.0</v>
      </c>
      <c r="C2986" s="26" t="s">
        <v>5592</v>
      </c>
      <c r="D2986" s="125">
        <v>0.3333333333333333</v>
      </c>
      <c r="E2986" s="125">
        <v>0.6666666666666666</v>
      </c>
    </row>
    <row r="2987">
      <c r="A2987" s="26" t="s">
        <v>258</v>
      </c>
      <c r="B2987" s="124">
        <v>45747.0</v>
      </c>
      <c r="C2987" s="26" t="s">
        <v>5592</v>
      </c>
      <c r="D2987" s="125">
        <v>0.3333333333333333</v>
      </c>
      <c r="E2987" s="125">
        <v>0.6666666666666666</v>
      </c>
    </row>
    <row r="2988">
      <c r="A2988" s="26" t="s">
        <v>261</v>
      </c>
      <c r="B2988" s="124">
        <v>45747.0</v>
      </c>
      <c r="C2988" s="26" t="s">
        <v>5592</v>
      </c>
      <c r="D2988" s="125">
        <v>0.4166666666666667</v>
      </c>
      <c r="E2988" s="125">
        <v>0.75</v>
      </c>
    </row>
    <row r="2989">
      <c r="A2989" s="26" t="s">
        <v>265</v>
      </c>
      <c r="B2989" s="124">
        <v>45747.0</v>
      </c>
      <c r="C2989" s="26" t="s">
        <v>5592</v>
      </c>
      <c r="D2989" s="125">
        <v>0.3333333333333333</v>
      </c>
      <c r="E2989" s="125">
        <v>0.6666666666666666</v>
      </c>
    </row>
    <row r="2990">
      <c r="A2990" s="26" t="s">
        <v>269</v>
      </c>
      <c r="B2990" s="124">
        <v>45747.0</v>
      </c>
      <c r="C2990" s="26" t="s">
        <v>5592</v>
      </c>
      <c r="D2990" s="125">
        <v>0.4166666666666667</v>
      </c>
      <c r="E2990" s="125">
        <v>0.75</v>
      </c>
    </row>
    <row r="2991">
      <c r="A2991" s="26" t="s">
        <v>276</v>
      </c>
      <c r="B2991" s="124">
        <v>45747.0</v>
      </c>
      <c r="C2991" s="26" t="s">
        <v>5592</v>
      </c>
      <c r="D2991" s="125">
        <v>0.3333333333333333</v>
      </c>
      <c r="E2991" s="125">
        <v>0.6666666666666666</v>
      </c>
    </row>
    <row r="2992">
      <c r="A2992" s="26" t="s">
        <v>280</v>
      </c>
      <c r="B2992" s="124">
        <v>45747.0</v>
      </c>
      <c r="C2992" s="26" t="s">
        <v>5592</v>
      </c>
      <c r="D2992" s="125">
        <v>0.4166666666666667</v>
      </c>
      <c r="E2992" s="125">
        <v>0.75</v>
      </c>
    </row>
    <row r="2993">
      <c r="A2993" s="26" t="s">
        <v>248</v>
      </c>
      <c r="B2993" s="124">
        <v>45745.0</v>
      </c>
      <c r="C2993" s="26" t="s">
        <v>5592</v>
      </c>
      <c r="D2993" s="125">
        <v>0.3333333333333333</v>
      </c>
      <c r="E2993" s="125">
        <v>0.6666666666666666</v>
      </c>
    </row>
    <row r="2994">
      <c r="A2994" s="26" t="s">
        <v>253</v>
      </c>
      <c r="B2994" s="124">
        <v>45745.0</v>
      </c>
      <c r="C2994" s="26" t="s">
        <v>5592</v>
      </c>
      <c r="D2994" s="125">
        <v>0.3333333333333333</v>
      </c>
      <c r="E2994" s="125">
        <v>0.6666666666666666</v>
      </c>
    </row>
    <row r="2995">
      <c r="A2995" s="26" t="s">
        <v>258</v>
      </c>
      <c r="B2995" s="124">
        <v>45745.0</v>
      </c>
      <c r="C2995" s="26" t="s">
        <v>5592</v>
      </c>
      <c r="D2995" s="125">
        <v>0.3333333333333333</v>
      </c>
      <c r="E2995" s="125">
        <v>0.6666666666666666</v>
      </c>
    </row>
    <row r="2996">
      <c r="A2996" s="26" t="s">
        <v>261</v>
      </c>
      <c r="B2996" s="124">
        <v>45745.0</v>
      </c>
      <c r="C2996" s="26" t="s">
        <v>5592</v>
      </c>
      <c r="D2996" s="125">
        <v>0.4166666666666667</v>
      </c>
      <c r="E2996" s="125">
        <v>0.75</v>
      </c>
    </row>
    <row r="2997">
      <c r="A2997" s="26" t="s">
        <v>265</v>
      </c>
      <c r="B2997" s="124">
        <v>45745.0</v>
      </c>
      <c r="C2997" s="26" t="s">
        <v>5592</v>
      </c>
      <c r="D2997" s="125">
        <v>0.3333333333333333</v>
      </c>
      <c r="E2997" s="125">
        <v>0.6666666666666666</v>
      </c>
    </row>
    <row r="2998">
      <c r="A2998" s="26" t="s">
        <v>269</v>
      </c>
      <c r="B2998" s="124">
        <v>45745.0</v>
      </c>
      <c r="C2998" s="26" t="s">
        <v>5592</v>
      </c>
      <c r="D2998" s="125">
        <v>0.4166666666666667</v>
      </c>
      <c r="E2998" s="125">
        <v>0.75</v>
      </c>
    </row>
    <row r="2999">
      <c r="A2999" s="26" t="s">
        <v>276</v>
      </c>
      <c r="B2999" s="124">
        <v>45745.0</v>
      </c>
      <c r="C2999" s="26" t="s">
        <v>5592</v>
      </c>
      <c r="D2999" s="125">
        <v>0.3333333333333333</v>
      </c>
      <c r="E2999" s="125">
        <v>0.6666666666666666</v>
      </c>
    </row>
    <row r="3000">
      <c r="A3000" s="26" t="s">
        <v>280</v>
      </c>
      <c r="B3000" s="124">
        <v>45745.0</v>
      </c>
      <c r="C3000" s="26" t="s">
        <v>5592</v>
      </c>
      <c r="D3000" s="125">
        <v>0.4166666666666667</v>
      </c>
      <c r="E3000" s="125">
        <v>0.75</v>
      </c>
    </row>
    <row r="3001">
      <c r="A3001" s="26" t="s">
        <v>248</v>
      </c>
      <c r="B3001" s="124">
        <v>45744.0</v>
      </c>
      <c r="C3001" s="26" t="s">
        <v>5592</v>
      </c>
      <c r="D3001" s="125">
        <v>0.3333333333333333</v>
      </c>
      <c r="E3001" s="125">
        <v>0.6666666666666666</v>
      </c>
    </row>
    <row r="3002">
      <c r="A3002" s="26" t="s">
        <v>253</v>
      </c>
      <c r="B3002" s="124">
        <v>45744.0</v>
      </c>
      <c r="C3002" s="26" t="s">
        <v>5592</v>
      </c>
      <c r="D3002" s="125">
        <v>0.3333333333333333</v>
      </c>
      <c r="E3002" s="125">
        <v>0.6666666666666666</v>
      </c>
    </row>
    <row r="3003">
      <c r="A3003" s="26" t="s">
        <v>258</v>
      </c>
      <c r="B3003" s="124">
        <v>45744.0</v>
      </c>
      <c r="C3003" s="26" t="s">
        <v>5592</v>
      </c>
      <c r="D3003" s="125">
        <v>0.3333333333333333</v>
      </c>
      <c r="E3003" s="125">
        <v>0.6666666666666666</v>
      </c>
    </row>
    <row r="3004">
      <c r="A3004" s="26" t="s">
        <v>261</v>
      </c>
      <c r="B3004" s="124">
        <v>45744.0</v>
      </c>
      <c r="C3004" s="26" t="s">
        <v>5592</v>
      </c>
      <c r="D3004" s="125">
        <v>0.4166666666666667</v>
      </c>
      <c r="E3004" s="125">
        <v>0.75</v>
      </c>
    </row>
    <row r="3005">
      <c r="A3005" s="26" t="s">
        <v>265</v>
      </c>
      <c r="B3005" s="124">
        <v>45744.0</v>
      </c>
      <c r="C3005" s="26" t="s">
        <v>5592</v>
      </c>
      <c r="D3005" s="125">
        <v>0.3333333333333333</v>
      </c>
      <c r="E3005" s="125">
        <v>0.6666666666666666</v>
      </c>
    </row>
    <row r="3006">
      <c r="A3006" s="26" t="s">
        <v>269</v>
      </c>
      <c r="B3006" s="124">
        <v>45744.0</v>
      </c>
      <c r="C3006" s="26" t="s">
        <v>5592</v>
      </c>
      <c r="D3006" s="125">
        <v>0.4166666666666667</v>
      </c>
      <c r="E3006" s="125">
        <v>0.75</v>
      </c>
    </row>
    <row r="3007">
      <c r="A3007" s="26" t="s">
        <v>276</v>
      </c>
      <c r="B3007" s="124">
        <v>45744.0</v>
      </c>
      <c r="C3007" s="26" t="s">
        <v>5592</v>
      </c>
      <c r="D3007" s="125">
        <v>0.3333333333333333</v>
      </c>
      <c r="E3007" s="125">
        <v>0.6666666666666666</v>
      </c>
    </row>
    <row r="3008">
      <c r="A3008" s="26" t="s">
        <v>280</v>
      </c>
      <c r="B3008" s="124">
        <v>45744.0</v>
      </c>
      <c r="C3008" s="26" t="s">
        <v>5592</v>
      </c>
      <c r="D3008" s="125">
        <v>0.4166666666666667</v>
      </c>
      <c r="E3008" s="125">
        <v>0.75</v>
      </c>
    </row>
    <row r="3009">
      <c r="A3009" s="26" t="s">
        <v>248</v>
      </c>
      <c r="B3009" s="124">
        <v>45743.0</v>
      </c>
      <c r="C3009" s="26" t="s">
        <v>5592</v>
      </c>
      <c r="D3009" s="125">
        <v>0.3333333333333333</v>
      </c>
      <c r="E3009" s="125">
        <v>0.6666666666666666</v>
      </c>
    </row>
    <row r="3010">
      <c r="A3010" s="26" t="s">
        <v>253</v>
      </c>
      <c r="B3010" s="124">
        <v>45743.0</v>
      </c>
      <c r="C3010" s="26" t="s">
        <v>5592</v>
      </c>
      <c r="D3010" s="125">
        <v>0.3333333333333333</v>
      </c>
      <c r="E3010" s="125">
        <v>0.6666666666666666</v>
      </c>
    </row>
    <row r="3011">
      <c r="A3011" s="26" t="s">
        <v>258</v>
      </c>
      <c r="B3011" s="124">
        <v>45743.0</v>
      </c>
      <c r="C3011" s="26" t="s">
        <v>5592</v>
      </c>
      <c r="D3011" s="125">
        <v>0.3333333333333333</v>
      </c>
      <c r="E3011" s="125">
        <v>0.6666666666666666</v>
      </c>
    </row>
    <row r="3012">
      <c r="A3012" s="26" t="s">
        <v>261</v>
      </c>
      <c r="B3012" s="124">
        <v>45743.0</v>
      </c>
      <c r="C3012" s="26" t="s">
        <v>5592</v>
      </c>
      <c r="D3012" s="125">
        <v>0.4166666666666667</v>
      </c>
      <c r="E3012" s="125">
        <v>0.75</v>
      </c>
    </row>
    <row r="3013">
      <c r="A3013" s="26" t="s">
        <v>265</v>
      </c>
      <c r="B3013" s="124">
        <v>45743.0</v>
      </c>
      <c r="C3013" s="26" t="s">
        <v>5592</v>
      </c>
      <c r="D3013" s="125">
        <v>0.3333333333333333</v>
      </c>
      <c r="E3013" s="125">
        <v>0.6666666666666666</v>
      </c>
    </row>
    <row r="3014">
      <c r="A3014" s="26" t="s">
        <v>269</v>
      </c>
      <c r="B3014" s="124">
        <v>45743.0</v>
      </c>
      <c r="C3014" s="26" t="s">
        <v>5592</v>
      </c>
      <c r="D3014" s="125">
        <v>0.4166666666666667</v>
      </c>
      <c r="E3014" s="125">
        <v>0.75</v>
      </c>
    </row>
    <row r="3015">
      <c r="A3015" s="26" t="s">
        <v>276</v>
      </c>
      <c r="B3015" s="124">
        <v>45743.0</v>
      </c>
      <c r="C3015" s="26" t="s">
        <v>5592</v>
      </c>
      <c r="D3015" s="125">
        <v>0.3333333333333333</v>
      </c>
      <c r="E3015" s="125">
        <v>0.6666666666666666</v>
      </c>
    </row>
    <row r="3016">
      <c r="A3016" s="26" t="s">
        <v>280</v>
      </c>
      <c r="B3016" s="124">
        <v>45743.0</v>
      </c>
      <c r="C3016" s="26" t="s">
        <v>5592</v>
      </c>
      <c r="D3016" s="125">
        <v>0.4166666666666667</v>
      </c>
      <c r="E3016" s="125">
        <v>0.75</v>
      </c>
    </row>
    <row r="3017">
      <c r="A3017" s="26" t="s">
        <v>248</v>
      </c>
      <c r="B3017" s="124">
        <v>45742.0</v>
      </c>
      <c r="C3017" s="26" t="s">
        <v>5592</v>
      </c>
      <c r="D3017" s="125">
        <v>0.3333333333333333</v>
      </c>
      <c r="E3017" s="125">
        <v>0.6666666666666666</v>
      </c>
    </row>
    <row r="3018">
      <c r="A3018" s="26" t="s">
        <v>253</v>
      </c>
      <c r="B3018" s="124">
        <v>45742.0</v>
      </c>
      <c r="C3018" s="26" t="s">
        <v>5592</v>
      </c>
      <c r="D3018" s="125">
        <v>0.3333333333333333</v>
      </c>
      <c r="E3018" s="125">
        <v>0.6666666666666666</v>
      </c>
    </row>
    <row r="3019">
      <c r="A3019" s="26" t="s">
        <v>258</v>
      </c>
      <c r="B3019" s="124">
        <v>45742.0</v>
      </c>
      <c r="C3019" s="26" t="s">
        <v>5592</v>
      </c>
      <c r="D3019" s="125">
        <v>0.3333333333333333</v>
      </c>
      <c r="E3019" s="125">
        <v>0.6666666666666666</v>
      </c>
    </row>
    <row r="3020">
      <c r="A3020" s="26" t="s">
        <v>261</v>
      </c>
      <c r="B3020" s="124">
        <v>45742.0</v>
      </c>
      <c r="C3020" s="26" t="s">
        <v>5592</v>
      </c>
      <c r="D3020" s="125">
        <v>0.4166666666666667</v>
      </c>
      <c r="E3020" s="125">
        <v>0.75</v>
      </c>
    </row>
    <row r="3021">
      <c r="A3021" s="26" t="s">
        <v>265</v>
      </c>
      <c r="B3021" s="124">
        <v>45742.0</v>
      </c>
      <c r="C3021" s="26" t="s">
        <v>5592</v>
      </c>
      <c r="D3021" s="125">
        <v>0.3333333333333333</v>
      </c>
      <c r="E3021" s="125">
        <v>0.6666666666666666</v>
      </c>
    </row>
    <row r="3022">
      <c r="A3022" s="26" t="s">
        <v>269</v>
      </c>
      <c r="B3022" s="124">
        <v>45742.0</v>
      </c>
      <c r="C3022" s="26" t="s">
        <v>5592</v>
      </c>
      <c r="D3022" s="125">
        <v>0.4166666666666667</v>
      </c>
      <c r="E3022" s="125">
        <v>0.75</v>
      </c>
    </row>
    <row r="3023">
      <c r="A3023" s="26" t="s">
        <v>276</v>
      </c>
      <c r="B3023" s="124">
        <v>45742.0</v>
      </c>
      <c r="C3023" s="26" t="s">
        <v>5592</v>
      </c>
      <c r="D3023" s="125">
        <v>0.3333333333333333</v>
      </c>
      <c r="E3023" s="125">
        <v>0.6666666666666666</v>
      </c>
    </row>
    <row r="3024">
      <c r="A3024" s="26" t="s">
        <v>280</v>
      </c>
      <c r="B3024" s="124">
        <v>45742.0</v>
      </c>
      <c r="C3024" s="26" t="s">
        <v>5592</v>
      </c>
      <c r="D3024" s="125">
        <v>0.4166666666666667</v>
      </c>
      <c r="E3024" s="125">
        <v>0.75</v>
      </c>
    </row>
    <row r="3025">
      <c r="A3025" s="26" t="s">
        <v>248</v>
      </c>
      <c r="B3025" s="124">
        <v>45741.0</v>
      </c>
      <c r="C3025" s="26" t="s">
        <v>5592</v>
      </c>
      <c r="D3025" s="125">
        <v>0.3333333333333333</v>
      </c>
      <c r="E3025" s="125">
        <v>0.6666666666666666</v>
      </c>
    </row>
    <row r="3026">
      <c r="A3026" s="26" t="s">
        <v>253</v>
      </c>
      <c r="B3026" s="124">
        <v>45741.0</v>
      </c>
      <c r="C3026" s="26" t="s">
        <v>5592</v>
      </c>
      <c r="D3026" s="125">
        <v>0.3333333333333333</v>
      </c>
      <c r="E3026" s="125">
        <v>0.6666666666666666</v>
      </c>
    </row>
    <row r="3027">
      <c r="A3027" s="26" t="s">
        <v>258</v>
      </c>
      <c r="B3027" s="124">
        <v>45741.0</v>
      </c>
      <c r="C3027" s="26" t="s">
        <v>5592</v>
      </c>
      <c r="D3027" s="125">
        <v>0.3333333333333333</v>
      </c>
      <c r="E3027" s="125">
        <v>0.6666666666666666</v>
      </c>
    </row>
    <row r="3028">
      <c r="A3028" s="26" t="s">
        <v>261</v>
      </c>
      <c r="B3028" s="124">
        <v>45741.0</v>
      </c>
      <c r="C3028" s="26" t="s">
        <v>5592</v>
      </c>
      <c r="D3028" s="125">
        <v>0.4166666666666667</v>
      </c>
      <c r="E3028" s="125">
        <v>0.75</v>
      </c>
    </row>
    <row r="3029">
      <c r="A3029" s="26" t="s">
        <v>265</v>
      </c>
      <c r="B3029" s="124">
        <v>45741.0</v>
      </c>
      <c r="C3029" s="26" t="s">
        <v>5592</v>
      </c>
      <c r="D3029" s="125">
        <v>0.3333333333333333</v>
      </c>
      <c r="E3029" s="125">
        <v>0.6666666666666666</v>
      </c>
    </row>
    <row r="3030">
      <c r="A3030" s="26" t="s">
        <v>269</v>
      </c>
      <c r="B3030" s="124">
        <v>45741.0</v>
      </c>
      <c r="C3030" s="26" t="s">
        <v>5592</v>
      </c>
      <c r="D3030" s="125">
        <v>0.4166666666666667</v>
      </c>
      <c r="E3030" s="125">
        <v>0.75</v>
      </c>
    </row>
    <row r="3031">
      <c r="A3031" s="26" t="s">
        <v>276</v>
      </c>
      <c r="B3031" s="124">
        <v>45741.0</v>
      </c>
      <c r="C3031" s="26" t="s">
        <v>5592</v>
      </c>
      <c r="D3031" s="125">
        <v>0.3333333333333333</v>
      </c>
      <c r="E3031" s="125">
        <v>0.6666666666666666</v>
      </c>
    </row>
    <row r="3032">
      <c r="A3032" s="26" t="s">
        <v>280</v>
      </c>
      <c r="B3032" s="124">
        <v>45741.0</v>
      </c>
      <c r="C3032" s="26" t="s">
        <v>5592</v>
      </c>
      <c r="D3032" s="125">
        <v>0.4166666666666667</v>
      </c>
      <c r="E3032" s="125">
        <v>0.75</v>
      </c>
    </row>
    <row r="3033">
      <c r="A3033" s="26" t="s">
        <v>248</v>
      </c>
      <c r="B3033" s="124">
        <v>45740.0</v>
      </c>
      <c r="C3033" s="26" t="s">
        <v>5592</v>
      </c>
      <c r="D3033" s="125">
        <v>0.3333333333333333</v>
      </c>
      <c r="E3033" s="125">
        <v>0.6666666666666666</v>
      </c>
    </row>
    <row r="3034">
      <c r="A3034" s="26" t="s">
        <v>253</v>
      </c>
      <c r="B3034" s="124">
        <v>45740.0</v>
      </c>
      <c r="C3034" s="26" t="s">
        <v>5592</v>
      </c>
      <c r="D3034" s="125">
        <v>0.3333333333333333</v>
      </c>
      <c r="E3034" s="125">
        <v>0.6666666666666666</v>
      </c>
    </row>
    <row r="3035">
      <c r="A3035" s="26" t="s">
        <v>258</v>
      </c>
      <c r="B3035" s="124">
        <v>45740.0</v>
      </c>
      <c r="C3035" s="26" t="s">
        <v>5592</v>
      </c>
      <c r="D3035" s="125">
        <v>0.3333333333333333</v>
      </c>
      <c r="E3035" s="125">
        <v>0.6666666666666666</v>
      </c>
    </row>
    <row r="3036">
      <c r="A3036" s="26" t="s">
        <v>261</v>
      </c>
      <c r="B3036" s="124">
        <v>45740.0</v>
      </c>
      <c r="C3036" s="26" t="s">
        <v>5592</v>
      </c>
      <c r="D3036" s="125">
        <v>0.4166666666666667</v>
      </c>
      <c r="E3036" s="125">
        <v>0.75</v>
      </c>
    </row>
    <row r="3037">
      <c r="A3037" s="26" t="s">
        <v>265</v>
      </c>
      <c r="B3037" s="124">
        <v>45740.0</v>
      </c>
      <c r="C3037" s="26" t="s">
        <v>5592</v>
      </c>
      <c r="D3037" s="125">
        <v>0.3333333333333333</v>
      </c>
      <c r="E3037" s="125">
        <v>0.6666666666666666</v>
      </c>
    </row>
    <row r="3038">
      <c r="A3038" s="26" t="s">
        <v>269</v>
      </c>
      <c r="B3038" s="124">
        <v>45740.0</v>
      </c>
      <c r="C3038" s="26" t="s">
        <v>5592</v>
      </c>
      <c r="D3038" s="125">
        <v>0.4166666666666667</v>
      </c>
      <c r="E3038" s="125">
        <v>0.75</v>
      </c>
    </row>
    <row r="3039">
      <c r="A3039" s="26" t="s">
        <v>276</v>
      </c>
      <c r="B3039" s="124">
        <v>45740.0</v>
      </c>
      <c r="C3039" s="26" t="s">
        <v>5592</v>
      </c>
      <c r="D3039" s="125">
        <v>0.3333333333333333</v>
      </c>
      <c r="E3039" s="125">
        <v>0.6666666666666666</v>
      </c>
    </row>
    <row r="3040">
      <c r="A3040" s="26" t="s">
        <v>280</v>
      </c>
      <c r="B3040" s="124">
        <v>45740.0</v>
      </c>
      <c r="C3040" s="26" t="s">
        <v>5592</v>
      </c>
      <c r="D3040" s="125">
        <v>0.4166666666666667</v>
      </c>
      <c r="E3040" s="125">
        <v>0.75</v>
      </c>
    </row>
    <row r="3041">
      <c r="A3041" s="26" t="s">
        <v>248</v>
      </c>
      <c r="B3041" s="124">
        <v>45738.0</v>
      </c>
      <c r="C3041" s="26" t="s">
        <v>5592</v>
      </c>
      <c r="D3041" s="125">
        <v>0.3333333333333333</v>
      </c>
      <c r="E3041" s="125">
        <v>0.6666666666666666</v>
      </c>
    </row>
    <row r="3042">
      <c r="A3042" s="26" t="s">
        <v>253</v>
      </c>
      <c r="B3042" s="124">
        <v>45738.0</v>
      </c>
      <c r="C3042" s="26" t="s">
        <v>5592</v>
      </c>
      <c r="D3042" s="125">
        <v>0.3333333333333333</v>
      </c>
      <c r="E3042" s="125">
        <v>0.6666666666666666</v>
      </c>
    </row>
    <row r="3043">
      <c r="A3043" s="26" t="s">
        <v>258</v>
      </c>
      <c r="B3043" s="124">
        <v>45738.0</v>
      </c>
      <c r="C3043" s="26" t="s">
        <v>5592</v>
      </c>
      <c r="D3043" s="125">
        <v>0.3333333333333333</v>
      </c>
      <c r="E3043" s="125">
        <v>0.6666666666666666</v>
      </c>
    </row>
    <row r="3044">
      <c r="A3044" s="26" t="s">
        <v>261</v>
      </c>
      <c r="B3044" s="124">
        <v>45738.0</v>
      </c>
      <c r="C3044" s="26" t="s">
        <v>5592</v>
      </c>
      <c r="D3044" s="125">
        <v>0.4166666666666667</v>
      </c>
      <c r="E3044" s="125">
        <v>0.75</v>
      </c>
    </row>
    <row r="3045">
      <c r="A3045" s="26" t="s">
        <v>265</v>
      </c>
      <c r="B3045" s="124">
        <v>45738.0</v>
      </c>
      <c r="C3045" s="26" t="s">
        <v>5592</v>
      </c>
      <c r="D3045" s="125">
        <v>0.3333333333333333</v>
      </c>
      <c r="E3045" s="125">
        <v>0.6666666666666666</v>
      </c>
    </row>
    <row r="3046">
      <c r="A3046" s="26" t="s">
        <v>269</v>
      </c>
      <c r="B3046" s="124">
        <v>45738.0</v>
      </c>
      <c r="C3046" s="26" t="s">
        <v>5592</v>
      </c>
      <c r="D3046" s="125">
        <v>0.4166666666666667</v>
      </c>
      <c r="E3046" s="125">
        <v>0.75</v>
      </c>
    </row>
    <row r="3047">
      <c r="A3047" s="26" t="s">
        <v>276</v>
      </c>
      <c r="B3047" s="124">
        <v>45738.0</v>
      </c>
      <c r="C3047" s="26" t="s">
        <v>5592</v>
      </c>
      <c r="D3047" s="125">
        <v>0.3333333333333333</v>
      </c>
      <c r="E3047" s="125">
        <v>0.6666666666666666</v>
      </c>
    </row>
    <row r="3048">
      <c r="A3048" s="26" t="s">
        <v>280</v>
      </c>
      <c r="B3048" s="124">
        <v>45738.0</v>
      </c>
      <c r="C3048" s="26" t="s">
        <v>5592</v>
      </c>
      <c r="D3048" s="125">
        <v>0.4166666666666667</v>
      </c>
      <c r="E3048" s="125">
        <v>0.75</v>
      </c>
    </row>
    <row r="3049">
      <c r="A3049" s="26" t="s">
        <v>248</v>
      </c>
      <c r="B3049" s="124">
        <v>45737.0</v>
      </c>
      <c r="C3049" s="26" t="s">
        <v>5592</v>
      </c>
      <c r="D3049" s="125">
        <v>0.3333333333333333</v>
      </c>
      <c r="E3049" s="125">
        <v>0.6666666666666666</v>
      </c>
    </row>
    <row r="3050">
      <c r="A3050" s="26" t="s">
        <v>253</v>
      </c>
      <c r="B3050" s="124">
        <v>45737.0</v>
      </c>
      <c r="C3050" s="26" t="s">
        <v>5592</v>
      </c>
      <c r="D3050" s="125">
        <v>0.3333333333333333</v>
      </c>
      <c r="E3050" s="125">
        <v>0.6666666666666666</v>
      </c>
    </row>
    <row r="3051">
      <c r="A3051" s="26" t="s">
        <v>258</v>
      </c>
      <c r="B3051" s="124">
        <v>45737.0</v>
      </c>
      <c r="C3051" s="26" t="s">
        <v>5592</v>
      </c>
      <c r="D3051" s="125">
        <v>0.3333333333333333</v>
      </c>
      <c r="E3051" s="125">
        <v>0.6666666666666666</v>
      </c>
    </row>
    <row r="3052">
      <c r="A3052" s="26" t="s">
        <v>261</v>
      </c>
      <c r="B3052" s="124">
        <v>45737.0</v>
      </c>
      <c r="C3052" s="26" t="s">
        <v>5592</v>
      </c>
      <c r="D3052" s="125">
        <v>0.4166666666666667</v>
      </c>
      <c r="E3052" s="125">
        <v>0.75</v>
      </c>
    </row>
    <row r="3053">
      <c r="A3053" s="26" t="s">
        <v>265</v>
      </c>
      <c r="B3053" s="124">
        <v>45737.0</v>
      </c>
      <c r="C3053" s="26" t="s">
        <v>5592</v>
      </c>
      <c r="D3053" s="125">
        <v>0.3333333333333333</v>
      </c>
      <c r="E3053" s="125">
        <v>0.6666666666666666</v>
      </c>
    </row>
    <row r="3054">
      <c r="A3054" s="26" t="s">
        <v>269</v>
      </c>
      <c r="B3054" s="124">
        <v>45737.0</v>
      </c>
      <c r="C3054" s="26" t="s">
        <v>5592</v>
      </c>
      <c r="D3054" s="125">
        <v>0.4166666666666667</v>
      </c>
      <c r="E3054" s="125">
        <v>0.75</v>
      </c>
    </row>
    <row r="3055">
      <c r="A3055" s="26" t="s">
        <v>276</v>
      </c>
      <c r="B3055" s="124">
        <v>45737.0</v>
      </c>
      <c r="C3055" s="26" t="s">
        <v>5592</v>
      </c>
      <c r="D3055" s="125">
        <v>0.3333333333333333</v>
      </c>
      <c r="E3055" s="125">
        <v>0.6666666666666666</v>
      </c>
    </row>
    <row r="3056">
      <c r="A3056" s="26" t="s">
        <v>280</v>
      </c>
      <c r="B3056" s="124">
        <v>45737.0</v>
      </c>
      <c r="C3056" s="26" t="s">
        <v>5592</v>
      </c>
      <c r="D3056" s="125">
        <v>0.4166666666666667</v>
      </c>
      <c r="E3056" s="125">
        <v>0.75</v>
      </c>
    </row>
    <row r="3057">
      <c r="A3057" s="26" t="s">
        <v>248</v>
      </c>
      <c r="B3057" s="124">
        <v>45736.0</v>
      </c>
      <c r="C3057" s="26" t="s">
        <v>5592</v>
      </c>
      <c r="D3057" s="125">
        <v>0.3333333333333333</v>
      </c>
      <c r="E3057" s="125">
        <v>0.6666666666666666</v>
      </c>
    </row>
    <row r="3058">
      <c r="A3058" s="26" t="s">
        <v>253</v>
      </c>
      <c r="B3058" s="124">
        <v>45736.0</v>
      </c>
      <c r="C3058" s="26" t="s">
        <v>5592</v>
      </c>
      <c r="D3058" s="125">
        <v>0.3333333333333333</v>
      </c>
      <c r="E3058" s="125">
        <v>0.6666666666666666</v>
      </c>
    </row>
    <row r="3059">
      <c r="A3059" s="26" t="s">
        <v>258</v>
      </c>
      <c r="B3059" s="124">
        <v>45736.0</v>
      </c>
      <c r="C3059" s="26" t="s">
        <v>5592</v>
      </c>
      <c r="D3059" s="125">
        <v>0.3333333333333333</v>
      </c>
      <c r="E3059" s="125">
        <v>0.6666666666666666</v>
      </c>
    </row>
    <row r="3060">
      <c r="A3060" s="26" t="s">
        <v>261</v>
      </c>
      <c r="B3060" s="124">
        <v>45736.0</v>
      </c>
      <c r="C3060" s="26" t="s">
        <v>5592</v>
      </c>
      <c r="D3060" s="125">
        <v>0.4166666666666667</v>
      </c>
      <c r="E3060" s="125">
        <v>0.75</v>
      </c>
    </row>
    <row r="3061">
      <c r="A3061" s="26" t="s">
        <v>265</v>
      </c>
      <c r="B3061" s="124">
        <v>45736.0</v>
      </c>
      <c r="C3061" s="26" t="s">
        <v>5592</v>
      </c>
      <c r="D3061" s="125">
        <v>0.3333333333333333</v>
      </c>
      <c r="E3061" s="125">
        <v>0.6666666666666666</v>
      </c>
    </row>
    <row r="3062">
      <c r="A3062" s="26" t="s">
        <v>269</v>
      </c>
      <c r="B3062" s="124">
        <v>45736.0</v>
      </c>
      <c r="C3062" s="26" t="s">
        <v>5592</v>
      </c>
      <c r="D3062" s="125">
        <v>0.4166666666666667</v>
      </c>
      <c r="E3062" s="125">
        <v>0.75</v>
      </c>
    </row>
    <row r="3063">
      <c r="A3063" s="26" t="s">
        <v>276</v>
      </c>
      <c r="B3063" s="124">
        <v>45736.0</v>
      </c>
      <c r="C3063" s="26" t="s">
        <v>5592</v>
      </c>
      <c r="D3063" s="125">
        <v>0.3333333333333333</v>
      </c>
      <c r="E3063" s="125">
        <v>0.6666666666666666</v>
      </c>
    </row>
    <row r="3064">
      <c r="A3064" s="26" t="s">
        <v>280</v>
      </c>
      <c r="B3064" s="124">
        <v>45736.0</v>
      </c>
      <c r="C3064" s="26" t="s">
        <v>5592</v>
      </c>
      <c r="D3064" s="125">
        <v>0.4166666666666667</v>
      </c>
      <c r="E3064" s="125">
        <v>0.75</v>
      </c>
    </row>
    <row r="3065">
      <c r="A3065" s="26" t="s">
        <v>248</v>
      </c>
      <c r="B3065" s="124">
        <v>45735.0</v>
      </c>
      <c r="C3065" s="26" t="s">
        <v>5592</v>
      </c>
      <c r="D3065" s="125">
        <v>0.3333333333333333</v>
      </c>
      <c r="E3065" s="125">
        <v>0.6666666666666666</v>
      </c>
    </row>
    <row r="3066">
      <c r="A3066" s="26" t="s">
        <v>253</v>
      </c>
      <c r="B3066" s="124">
        <v>45735.0</v>
      </c>
      <c r="C3066" s="26" t="s">
        <v>5592</v>
      </c>
      <c r="D3066" s="125">
        <v>0.3333333333333333</v>
      </c>
      <c r="E3066" s="125">
        <v>0.6666666666666666</v>
      </c>
    </row>
    <row r="3067">
      <c r="A3067" s="26" t="s">
        <v>258</v>
      </c>
      <c r="B3067" s="124">
        <v>45735.0</v>
      </c>
      <c r="C3067" s="26" t="s">
        <v>5592</v>
      </c>
      <c r="D3067" s="125">
        <v>0.3333333333333333</v>
      </c>
      <c r="E3067" s="125">
        <v>0.6666666666666666</v>
      </c>
    </row>
    <row r="3068">
      <c r="A3068" s="26" t="s">
        <v>261</v>
      </c>
      <c r="B3068" s="124">
        <v>45735.0</v>
      </c>
      <c r="C3068" s="26" t="s">
        <v>5592</v>
      </c>
      <c r="D3068" s="125">
        <v>0.4166666666666667</v>
      </c>
      <c r="E3068" s="125">
        <v>0.75</v>
      </c>
    </row>
    <row r="3069">
      <c r="A3069" s="26" t="s">
        <v>265</v>
      </c>
      <c r="B3069" s="124">
        <v>45735.0</v>
      </c>
      <c r="C3069" s="26" t="s">
        <v>5592</v>
      </c>
      <c r="D3069" s="125">
        <v>0.3333333333333333</v>
      </c>
      <c r="E3069" s="125">
        <v>0.6666666666666666</v>
      </c>
    </row>
    <row r="3070">
      <c r="A3070" s="26" t="s">
        <v>269</v>
      </c>
      <c r="B3070" s="124">
        <v>45735.0</v>
      </c>
      <c r="C3070" s="26" t="s">
        <v>5592</v>
      </c>
      <c r="D3070" s="125">
        <v>0.4166666666666667</v>
      </c>
      <c r="E3070" s="125">
        <v>0.75</v>
      </c>
    </row>
    <row r="3071">
      <c r="A3071" s="26" t="s">
        <v>276</v>
      </c>
      <c r="B3071" s="124">
        <v>45735.0</v>
      </c>
      <c r="C3071" s="26" t="s">
        <v>5592</v>
      </c>
      <c r="D3071" s="125">
        <v>0.3333333333333333</v>
      </c>
      <c r="E3071" s="125">
        <v>0.6666666666666666</v>
      </c>
    </row>
    <row r="3072">
      <c r="A3072" s="26" t="s">
        <v>280</v>
      </c>
      <c r="B3072" s="124">
        <v>45735.0</v>
      </c>
      <c r="C3072" s="26" t="s">
        <v>5592</v>
      </c>
      <c r="D3072" s="125">
        <v>0.4166666666666667</v>
      </c>
      <c r="E3072" s="125">
        <v>0.75</v>
      </c>
    </row>
    <row r="3073">
      <c r="A3073" s="26" t="s">
        <v>248</v>
      </c>
      <c r="B3073" s="124">
        <v>45734.0</v>
      </c>
      <c r="C3073" s="26" t="s">
        <v>5592</v>
      </c>
      <c r="D3073" s="125">
        <v>0.3333333333333333</v>
      </c>
      <c r="E3073" s="125">
        <v>0.6666666666666666</v>
      </c>
    </row>
    <row r="3074">
      <c r="A3074" s="26" t="s">
        <v>253</v>
      </c>
      <c r="B3074" s="124">
        <v>45734.0</v>
      </c>
      <c r="C3074" s="26" t="s">
        <v>5592</v>
      </c>
      <c r="D3074" s="125">
        <v>0.4166666666666667</v>
      </c>
      <c r="E3074" s="125">
        <v>0.75</v>
      </c>
    </row>
    <row r="3075">
      <c r="A3075" s="26" t="s">
        <v>258</v>
      </c>
      <c r="B3075" s="124">
        <v>45734.0</v>
      </c>
      <c r="C3075" s="26" t="s">
        <v>5592</v>
      </c>
      <c r="D3075" s="125">
        <v>0.3333333333333333</v>
      </c>
      <c r="E3075" s="125">
        <v>0.6666666666666666</v>
      </c>
    </row>
    <row r="3076">
      <c r="A3076" s="26" t="s">
        <v>261</v>
      </c>
      <c r="B3076" s="124">
        <v>45734.0</v>
      </c>
      <c r="C3076" s="26" t="s">
        <v>5592</v>
      </c>
      <c r="D3076" s="125">
        <v>0.4166666666666667</v>
      </c>
      <c r="E3076" s="125">
        <v>0.75</v>
      </c>
    </row>
    <row r="3077">
      <c r="A3077" s="26" t="s">
        <v>265</v>
      </c>
      <c r="B3077" s="124">
        <v>45734.0</v>
      </c>
      <c r="C3077" s="26" t="s">
        <v>5592</v>
      </c>
      <c r="D3077" s="125">
        <v>0.3333333333333333</v>
      </c>
      <c r="E3077" s="125">
        <v>0.6666666666666666</v>
      </c>
    </row>
    <row r="3078">
      <c r="A3078" s="26" t="s">
        <v>269</v>
      </c>
      <c r="B3078" s="124">
        <v>45734.0</v>
      </c>
      <c r="C3078" s="26" t="s">
        <v>5592</v>
      </c>
      <c r="D3078" s="125">
        <v>0.4166666666666667</v>
      </c>
      <c r="E3078" s="125">
        <v>0.75</v>
      </c>
    </row>
    <row r="3079">
      <c r="A3079" s="26" t="s">
        <v>276</v>
      </c>
      <c r="B3079" s="124">
        <v>45734.0</v>
      </c>
      <c r="C3079" s="26" t="s">
        <v>5592</v>
      </c>
      <c r="D3079" s="125">
        <v>0.3333333333333333</v>
      </c>
      <c r="E3079" s="125">
        <v>0.6666666666666666</v>
      </c>
    </row>
    <row r="3080">
      <c r="A3080" s="26" t="s">
        <v>280</v>
      </c>
      <c r="B3080" s="124">
        <v>45734.0</v>
      </c>
      <c r="C3080" s="26" t="s">
        <v>5592</v>
      </c>
      <c r="D3080" s="125">
        <v>0.4166666666666667</v>
      </c>
      <c r="E3080" s="125">
        <v>0.75</v>
      </c>
    </row>
    <row r="3081">
      <c r="A3081" s="26" t="s">
        <v>248</v>
      </c>
      <c r="B3081" s="124">
        <v>45733.0</v>
      </c>
      <c r="C3081" s="26" t="s">
        <v>5592</v>
      </c>
      <c r="D3081" s="125">
        <v>0.3333333333333333</v>
      </c>
      <c r="E3081" s="125">
        <v>0.6666666666666666</v>
      </c>
    </row>
    <row r="3082">
      <c r="A3082" s="26" t="s">
        <v>253</v>
      </c>
      <c r="B3082" s="124">
        <v>45733.0</v>
      </c>
      <c r="C3082" s="26" t="s">
        <v>5592</v>
      </c>
      <c r="D3082" s="125">
        <v>0.4166666666666667</v>
      </c>
      <c r="E3082" s="125">
        <v>0.75</v>
      </c>
    </row>
    <row r="3083">
      <c r="A3083" s="26" t="s">
        <v>258</v>
      </c>
      <c r="B3083" s="124">
        <v>45733.0</v>
      </c>
      <c r="C3083" s="26" t="s">
        <v>5592</v>
      </c>
      <c r="D3083" s="125">
        <v>0.3333333333333333</v>
      </c>
      <c r="E3083" s="125">
        <v>0.6666666666666666</v>
      </c>
    </row>
    <row r="3084">
      <c r="A3084" s="26" t="s">
        <v>261</v>
      </c>
      <c r="B3084" s="124">
        <v>45733.0</v>
      </c>
      <c r="C3084" s="26" t="s">
        <v>5592</v>
      </c>
      <c r="D3084" s="125">
        <v>0.4166666666666667</v>
      </c>
      <c r="E3084" s="125">
        <v>0.75</v>
      </c>
    </row>
    <row r="3085">
      <c r="A3085" s="26" t="s">
        <v>265</v>
      </c>
      <c r="B3085" s="124">
        <v>45733.0</v>
      </c>
      <c r="C3085" s="26" t="s">
        <v>5592</v>
      </c>
      <c r="D3085" s="125">
        <v>0.3333333333333333</v>
      </c>
      <c r="E3085" s="125">
        <v>0.6666666666666666</v>
      </c>
    </row>
    <row r="3086">
      <c r="A3086" s="26" t="s">
        <v>269</v>
      </c>
      <c r="B3086" s="124">
        <v>45733.0</v>
      </c>
      <c r="C3086" s="26" t="s">
        <v>5592</v>
      </c>
      <c r="D3086" s="125">
        <v>0.3333333333333333</v>
      </c>
      <c r="E3086" s="125">
        <v>0.6666666666666666</v>
      </c>
    </row>
    <row r="3087">
      <c r="A3087" s="26" t="s">
        <v>276</v>
      </c>
      <c r="B3087" s="124">
        <v>45733.0</v>
      </c>
      <c r="C3087" s="26" t="s">
        <v>5592</v>
      </c>
      <c r="D3087" s="125">
        <v>0.3333333333333333</v>
      </c>
      <c r="E3087" s="125">
        <v>0.6666666666666666</v>
      </c>
    </row>
    <row r="3088">
      <c r="A3088" s="26" t="s">
        <v>280</v>
      </c>
      <c r="B3088" s="124">
        <v>45733.0</v>
      </c>
      <c r="C3088" s="26" t="s">
        <v>5592</v>
      </c>
      <c r="D3088" s="125">
        <v>0.4166666666666667</v>
      </c>
      <c r="E3088" s="125">
        <v>0.75</v>
      </c>
    </row>
    <row r="3089">
      <c r="A3089" s="26" t="s">
        <v>248</v>
      </c>
      <c r="B3089" s="124">
        <v>45731.0</v>
      </c>
      <c r="C3089" s="26" t="s">
        <v>5592</v>
      </c>
      <c r="D3089" s="125">
        <v>0.3333333333333333</v>
      </c>
      <c r="E3089" s="125">
        <v>0.6666666666666666</v>
      </c>
    </row>
    <row r="3090">
      <c r="A3090" s="26" t="s">
        <v>253</v>
      </c>
      <c r="B3090" s="124">
        <v>45731.0</v>
      </c>
      <c r="C3090" s="26" t="s">
        <v>5592</v>
      </c>
      <c r="D3090" s="125">
        <v>0.4166666666666667</v>
      </c>
      <c r="E3090" s="125">
        <v>0.75</v>
      </c>
    </row>
    <row r="3091">
      <c r="A3091" s="26" t="s">
        <v>258</v>
      </c>
      <c r="B3091" s="124">
        <v>45731.0</v>
      </c>
      <c r="C3091" s="26" t="s">
        <v>5592</v>
      </c>
      <c r="D3091" s="125">
        <v>0.3333333333333333</v>
      </c>
      <c r="E3091" s="125">
        <v>0.6666666666666666</v>
      </c>
    </row>
    <row r="3092">
      <c r="A3092" s="26" t="s">
        <v>261</v>
      </c>
      <c r="B3092" s="124">
        <v>45731.0</v>
      </c>
      <c r="C3092" s="26" t="s">
        <v>5592</v>
      </c>
      <c r="D3092" s="125">
        <v>0.4166666666666667</v>
      </c>
      <c r="E3092" s="125">
        <v>0.75</v>
      </c>
    </row>
    <row r="3093">
      <c r="A3093" s="26" t="s">
        <v>265</v>
      </c>
      <c r="B3093" s="124">
        <v>45731.0</v>
      </c>
      <c r="C3093" s="26" t="s">
        <v>5592</v>
      </c>
      <c r="D3093" s="125">
        <v>0.3333333333333333</v>
      </c>
      <c r="E3093" s="125">
        <v>0.6666666666666666</v>
      </c>
    </row>
    <row r="3094">
      <c r="A3094" s="26" t="s">
        <v>269</v>
      </c>
      <c r="B3094" s="124">
        <v>45731.0</v>
      </c>
      <c r="C3094" s="26" t="s">
        <v>5592</v>
      </c>
      <c r="D3094" s="125">
        <v>0.3333333333333333</v>
      </c>
      <c r="E3094" s="125">
        <v>0.6666666666666666</v>
      </c>
    </row>
    <row r="3095">
      <c r="A3095" s="26" t="s">
        <v>276</v>
      </c>
      <c r="B3095" s="124">
        <v>45731.0</v>
      </c>
      <c r="C3095" s="26" t="s">
        <v>5592</v>
      </c>
      <c r="D3095" s="125">
        <v>0.3333333333333333</v>
      </c>
      <c r="E3095" s="125">
        <v>0.6666666666666666</v>
      </c>
    </row>
    <row r="3096">
      <c r="A3096" s="26" t="s">
        <v>280</v>
      </c>
      <c r="B3096" s="124">
        <v>45731.0</v>
      </c>
      <c r="C3096" s="26" t="s">
        <v>5592</v>
      </c>
      <c r="D3096" s="125">
        <v>0.4166666666666667</v>
      </c>
      <c r="E3096" s="125">
        <v>0.75</v>
      </c>
    </row>
    <row r="3097">
      <c r="A3097" s="26" t="s">
        <v>248</v>
      </c>
      <c r="B3097" s="124">
        <v>45730.0</v>
      </c>
      <c r="C3097" s="26" t="s">
        <v>5592</v>
      </c>
      <c r="D3097" s="125">
        <v>0.3333333333333333</v>
      </c>
      <c r="E3097" s="125">
        <v>0.6666666666666666</v>
      </c>
    </row>
    <row r="3098">
      <c r="A3098" s="26" t="s">
        <v>253</v>
      </c>
      <c r="B3098" s="124">
        <v>45730.0</v>
      </c>
      <c r="C3098" s="26" t="s">
        <v>5592</v>
      </c>
      <c r="D3098" s="125">
        <v>0.4166666666666667</v>
      </c>
      <c r="E3098" s="125">
        <v>0.75</v>
      </c>
    </row>
    <row r="3099">
      <c r="A3099" s="26" t="s">
        <v>258</v>
      </c>
      <c r="B3099" s="124">
        <v>45730.0</v>
      </c>
      <c r="C3099" s="26" t="s">
        <v>5592</v>
      </c>
      <c r="D3099" s="125">
        <v>0.3333333333333333</v>
      </c>
      <c r="E3099" s="125">
        <v>0.6666666666666666</v>
      </c>
    </row>
    <row r="3100">
      <c r="A3100" s="26" t="s">
        <v>261</v>
      </c>
      <c r="B3100" s="124">
        <v>45730.0</v>
      </c>
      <c r="C3100" s="26" t="s">
        <v>5592</v>
      </c>
      <c r="D3100" s="125">
        <v>0.4166666666666667</v>
      </c>
      <c r="E3100" s="125">
        <v>0.75</v>
      </c>
    </row>
    <row r="3101">
      <c r="A3101" s="26" t="s">
        <v>265</v>
      </c>
      <c r="B3101" s="124">
        <v>45730.0</v>
      </c>
      <c r="C3101" s="26" t="s">
        <v>5592</v>
      </c>
      <c r="D3101" s="125">
        <v>0.3333333333333333</v>
      </c>
      <c r="E3101" s="125">
        <v>0.6666666666666666</v>
      </c>
    </row>
    <row r="3102">
      <c r="A3102" s="26" t="s">
        <v>269</v>
      </c>
      <c r="B3102" s="124">
        <v>45730.0</v>
      </c>
      <c r="C3102" s="26" t="s">
        <v>5592</v>
      </c>
      <c r="D3102" s="125">
        <v>0.3333333333333333</v>
      </c>
      <c r="E3102" s="125">
        <v>0.6666666666666666</v>
      </c>
    </row>
    <row r="3103">
      <c r="A3103" s="26" t="s">
        <v>276</v>
      </c>
      <c r="B3103" s="124">
        <v>45730.0</v>
      </c>
      <c r="C3103" s="26" t="s">
        <v>5592</v>
      </c>
      <c r="D3103" s="125">
        <v>0.3333333333333333</v>
      </c>
      <c r="E3103" s="125">
        <v>0.6666666666666666</v>
      </c>
    </row>
    <row r="3104">
      <c r="A3104" s="26" t="s">
        <v>280</v>
      </c>
      <c r="B3104" s="124">
        <v>45730.0</v>
      </c>
      <c r="C3104" s="26" t="s">
        <v>5592</v>
      </c>
      <c r="D3104" s="125">
        <v>0.4166666666666667</v>
      </c>
      <c r="E3104" s="125">
        <v>0.75</v>
      </c>
    </row>
    <row r="3105">
      <c r="A3105" s="26" t="s">
        <v>248</v>
      </c>
      <c r="B3105" s="124">
        <v>45729.0</v>
      </c>
      <c r="C3105" s="26" t="s">
        <v>5592</v>
      </c>
      <c r="D3105" s="125">
        <v>0.3333333333333333</v>
      </c>
      <c r="E3105" s="125">
        <v>0.6666666666666666</v>
      </c>
    </row>
    <row r="3106">
      <c r="A3106" s="26" t="s">
        <v>253</v>
      </c>
      <c r="B3106" s="124">
        <v>45729.0</v>
      </c>
      <c r="C3106" s="26" t="s">
        <v>5592</v>
      </c>
      <c r="D3106" s="125">
        <v>0.4166666666666667</v>
      </c>
      <c r="E3106" s="125">
        <v>0.75</v>
      </c>
    </row>
    <row r="3107">
      <c r="A3107" s="26" t="s">
        <v>258</v>
      </c>
      <c r="B3107" s="124">
        <v>45729.0</v>
      </c>
      <c r="C3107" s="26" t="s">
        <v>5592</v>
      </c>
      <c r="D3107" s="125">
        <v>0.3333333333333333</v>
      </c>
      <c r="E3107" s="125">
        <v>0.6666666666666666</v>
      </c>
    </row>
    <row r="3108">
      <c r="A3108" s="26" t="s">
        <v>261</v>
      </c>
      <c r="B3108" s="124">
        <v>45729.0</v>
      </c>
      <c r="C3108" s="26" t="s">
        <v>5592</v>
      </c>
      <c r="D3108" s="125">
        <v>0.4166666666666667</v>
      </c>
      <c r="E3108" s="125">
        <v>0.75</v>
      </c>
    </row>
    <row r="3109">
      <c r="A3109" s="26" t="s">
        <v>265</v>
      </c>
      <c r="B3109" s="124">
        <v>45729.0</v>
      </c>
      <c r="C3109" s="26" t="s">
        <v>5592</v>
      </c>
      <c r="D3109" s="125">
        <v>0.3333333333333333</v>
      </c>
      <c r="E3109" s="125">
        <v>0.6666666666666666</v>
      </c>
    </row>
    <row r="3110">
      <c r="A3110" s="26" t="s">
        <v>269</v>
      </c>
      <c r="B3110" s="124">
        <v>45729.0</v>
      </c>
      <c r="C3110" s="26" t="s">
        <v>5592</v>
      </c>
      <c r="D3110" s="125">
        <v>0.3333333333333333</v>
      </c>
      <c r="E3110" s="125">
        <v>0.6666666666666666</v>
      </c>
    </row>
    <row r="3111">
      <c r="A3111" s="26" t="s">
        <v>276</v>
      </c>
      <c r="B3111" s="124">
        <v>45729.0</v>
      </c>
      <c r="C3111" s="26" t="s">
        <v>5592</v>
      </c>
      <c r="D3111" s="125">
        <v>0.3333333333333333</v>
      </c>
      <c r="E3111" s="125">
        <v>0.6666666666666666</v>
      </c>
    </row>
    <row r="3112">
      <c r="A3112" s="26" t="s">
        <v>280</v>
      </c>
      <c r="B3112" s="124">
        <v>45729.0</v>
      </c>
      <c r="C3112" s="26" t="s">
        <v>5592</v>
      </c>
      <c r="D3112" s="125">
        <v>0.4166666666666667</v>
      </c>
      <c r="E3112" s="125">
        <v>0.75</v>
      </c>
    </row>
    <row r="3113">
      <c r="A3113" s="26" t="s">
        <v>248</v>
      </c>
      <c r="B3113" s="124">
        <v>45728.0</v>
      </c>
      <c r="C3113" s="26" t="s">
        <v>5592</v>
      </c>
      <c r="D3113" s="125">
        <v>0.3333333333333333</v>
      </c>
      <c r="E3113" s="125">
        <v>0.6666666666666666</v>
      </c>
    </row>
    <row r="3114">
      <c r="A3114" s="26" t="s">
        <v>253</v>
      </c>
      <c r="B3114" s="124">
        <v>45728.0</v>
      </c>
      <c r="C3114" s="26" t="s">
        <v>5592</v>
      </c>
      <c r="D3114" s="125">
        <v>0.4166666666666667</v>
      </c>
      <c r="E3114" s="125">
        <v>0.75</v>
      </c>
    </row>
    <row r="3115">
      <c r="A3115" s="26" t="s">
        <v>258</v>
      </c>
      <c r="B3115" s="124">
        <v>45728.0</v>
      </c>
      <c r="C3115" s="26" t="s">
        <v>5592</v>
      </c>
      <c r="D3115" s="125">
        <v>0.3333333333333333</v>
      </c>
      <c r="E3115" s="125">
        <v>0.6666666666666666</v>
      </c>
    </row>
    <row r="3116">
      <c r="A3116" s="26" t="s">
        <v>261</v>
      </c>
      <c r="B3116" s="124">
        <v>45728.0</v>
      </c>
      <c r="C3116" s="26" t="s">
        <v>5592</v>
      </c>
      <c r="D3116" s="125">
        <v>0.4166666666666667</v>
      </c>
      <c r="E3116" s="125">
        <v>0.75</v>
      </c>
    </row>
    <row r="3117">
      <c r="A3117" s="26" t="s">
        <v>265</v>
      </c>
      <c r="B3117" s="124">
        <v>45728.0</v>
      </c>
      <c r="C3117" s="26" t="s">
        <v>5592</v>
      </c>
      <c r="D3117" s="125">
        <v>0.3333333333333333</v>
      </c>
      <c r="E3117" s="125">
        <v>0.6666666666666666</v>
      </c>
    </row>
    <row r="3118">
      <c r="A3118" s="26" t="s">
        <v>269</v>
      </c>
      <c r="B3118" s="124">
        <v>45728.0</v>
      </c>
      <c r="C3118" s="26" t="s">
        <v>5592</v>
      </c>
      <c r="D3118" s="125">
        <v>0.3333333333333333</v>
      </c>
      <c r="E3118" s="125">
        <v>0.6666666666666666</v>
      </c>
    </row>
    <row r="3119">
      <c r="A3119" s="26" t="s">
        <v>276</v>
      </c>
      <c r="B3119" s="124">
        <v>45728.0</v>
      </c>
      <c r="C3119" s="26" t="s">
        <v>5592</v>
      </c>
      <c r="D3119" s="125">
        <v>0.3333333333333333</v>
      </c>
      <c r="E3119" s="125">
        <v>0.6666666666666666</v>
      </c>
    </row>
    <row r="3120">
      <c r="A3120" s="26" t="s">
        <v>280</v>
      </c>
      <c r="B3120" s="124">
        <v>45728.0</v>
      </c>
      <c r="C3120" s="26" t="s">
        <v>5592</v>
      </c>
      <c r="D3120" s="125">
        <v>0.4166666666666667</v>
      </c>
      <c r="E3120" s="125">
        <v>0.75</v>
      </c>
    </row>
    <row r="3121">
      <c r="A3121" s="26" t="s">
        <v>248</v>
      </c>
      <c r="B3121" s="124">
        <v>45727.0</v>
      </c>
      <c r="C3121" s="26" t="s">
        <v>5592</v>
      </c>
      <c r="D3121" s="125">
        <v>0.3333333333333333</v>
      </c>
      <c r="E3121" s="125">
        <v>0.6666666666666666</v>
      </c>
    </row>
    <row r="3122">
      <c r="A3122" s="26" t="s">
        <v>253</v>
      </c>
      <c r="B3122" s="124">
        <v>45727.0</v>
      </c>
      <c r="C3122" s="26" t="s">
        <v>5592</v>
      </c>
      <c r="D3122" s="125">
        <v>0.4166666666666667</v>
      </c>
      <c r="E3122" s="125">
        <v>0.75</v>
      </c>
    </row>
    <row r="3123">
      <c r="A3123" s="26" t="s">
        <v>258</v>
      </c>
      <c r="B3123" s="124">
        <v>45727.0</v>
      </c>
      <c r="C3123" s="26" t="s">
        <v>5592</v>
      </c>
      <c r="D3123" s="125">
        <v>0.3333333333333333</v>
      </c>
      <c r="E3123" s="125">
        <v>0.6666666666666666</v>
      </c>
    </row>
    <row r="3124" ht="15.0" customHeight="1">
      <c r="A3124" s="26" t="s">
        <v>261</v>
      </c>
      <c r="B3124" s="124">
        <v>45727.0</v>
      </c>
      <c r="C3124" s="26" t="s">
        <v>5592</v>
      </c>
      <c r="D3124" s="125">
        <v>0.4166666666666667</v>
      </c>
      <c r="E3124" s="125">
        <v>0.75</v>
      </c>
    </row>
    <row r="3125" ht="15.0" customHeight="1">
      <c r="A3125" s="26" t="s">
        <v>265</v>
      </c>
      <c r="B3125" s="124">
        <v>45727.0</v>
      </c>
      <c r="C3125" s="26" t="s">
        <v>5592</v>
      </c>
      <c r="D3125" s="125">
        <v>0.3333333333333333</v>
      </c>
      <c r="E3125" s="125">
        <v>0.6666666666666666</v>
      </c>
    </row>
    <row r="3126" ht="15.0" customHeight="1">
      <c r="A3126" s="26" t="s">
        <v>269</v>
      </c>
      <c r="B3126" s="124">
        <v>45727.0</v>
      </c>
      <c r="C3126" s="26" t="s">
        <v>5592</v>
      </c>
      <c r="D3126" s="125">
        <v>0.3333333333333333</v>
      </c>
      <c r="E3126" s="125">
        <v>0.6666666666666666</v>
      </c>
    </row>
    <row r="3127" ht="15.0" customHeight="1">
      <c r="A3127" s="26" t="s">
        <v>276</v>
      </c>
      <c r="B3127" s="124">
        <v>45727.0</v>
      </c>
      <c r="C3127" s="26" t="s">
        <v>5592</v>
      </c>
      <c r="D3127" s="125">
        <v>0.3333333333333333</v>
      </c>
      <c r="E3127" s="125">
        <v>0.6666666666666666</v>
      </c>
    </row>
    <row r="3128" ht="15.0" customHeight="1">
      <c r="A3128" s="26" t="s">
        <v>280</v>
      </c>
      <c r="B3128" s="124">
        <v>45727.0</v>
      </c>
      <c r="C3128" s="26" t="s">
        <v>5592</v>
      </c>
      <c r="D3128" s="125">
        <v>0.4166666666666667</v>
      </c>
      <c r="E3128" s="125">
        <v>0.75</v>
      </c>
    </row>
    <row r="3129" ht="15.0" customHeight="1">
      <c r="A3129" s="26" t="s">
        <v>248</v>
      </c>
      <c r="B3129" s="124">
        <v>45726.0</v>
      </c>
      <c r="C3129" s="26" t="s">
        <v>5592</v>
      </c>
      <c r="D3129" s="125">
        <v>0.3333333333333333</v>
      </c>
      <c r="E3129" s="125">
        <v>0.6666666666666666</v>
      </c>
    </row>
    <row r="3130" ht="15.0" customHeight="1">
      <c r="A3130" s="26" t="s">
        <v>253</v>
      </c>
      <c r="B3130" s="124">
        <v>45726.0</v>
      </c>
      <c r="C3130" s="26" t="s">
        <v>5592</v>
      </c>
      <c r="D3130" s="125">
        <v>0.4166666666666667</v>
      </c>
      <c r="E3130" s="125">
        <v>0.75</v>
      </c>
    </row>
    <row r="3131" ht="15.0" customHeight="1">
      <c r="A3131" s="26" t="s">
        <v>258</v>
      </c>
      <c r="B3131" s="124">
        <v>45726.0</v>
      </c>
      <c r="C3131" s="26" t="s">
        <v>5592</v>
      </c>
      <c r="D3131" s="125">
        <v>0.3333333333333333</v>
      </c>
      <c r="E3131" s="125">
        <v>0.6666666666666666</v>
      </c>
    </row>
    <row r="3132">
      <c r="A3132" s="26" t="s">
        <v>261</v>
      </c>
      <c r="B3132" s="124">
        <v>45726.0</v>
      </c>
      <c r="C3132" s="26" t="s">
        <v>5592</v>
      </c>
      <c r="D3132" s="125">
        <v>0.4166666666666667</v>
      </c>
      <c r="E3132" s="125">
        <v>0.75</v>
      </c>
    </row>
    <row r="3133">
      <c r="A3133" s="26" t="s">
        <v>265</v>
      </c>
      <c r="B3133" s="124">
        <v>45726.0</v>
      </c>
      <c r="C3133" s="26" t="s">
        <v>5592</v>
      </c>
      <c r="D3133" s="125">
        <v>0.3333333333333333</v>
      </c>
      <c r="E3133" s="125">
        <v>0.6666666666666666</v>
      </c>
    </row>
    <row r="3134">
      <c r="A3134" s="26" t="s">
        <v>269</v>
      </c>
      <c r="B3134" s="124">
        <v>45726.0</v>
      </c>
      <c r="C3134" s="26" t="s">
        <v>5592</v>
      </c>
      <c r="D3134" s="125">
        <v>0.3333333333333333</v>
      </c>
      <c r="E3134" s="125">
        <v>0.6666666666666666</v>
      </c>
    </row>
    <row r="3135">
      <c r="A3135" s="26" t="s">
        <v>276</v>
      </c>
      <c r="B3135" s="124">
        <v>45726.0</v>
      </c>
      <c r="C3135" s="26" t="s">
        <v>5592</v>
      </c>
      <c r="D3135" s="125">
        <v>0.3333333333333333</v>
      </c>
      <c r="E3135" s="125">
        <v>0.6666666666666666</v>
      </c>
    </row>
    <row r="3136">
      <c r="A3136" s="26" t="s">
        <v>280</v>
      </c>
      <c r="B3136" s="124">
        <v>45726.0</v>
      </c>
      <c r="C3136" s="26" t="s">
        <v>5592</v>
      </c>
      <c r="D3136" s="125">
        <v>0.4166666666666667</v>
      </c>
      <c r="E3136" s="125">
        <v>0.75</v>
      </c>
    </row>
    <row r="3137">
      <c r="A3137" s="26" t="s">
        <v>248</v>
      </c>
      <c r="B3137" s="124">
        <v>45724.0</v>
      </c>
      <c r="C3137" s="26" t="s">
        <v>5592</v>
      </c>
      <c r="D3137" s="125">
        <v>0.3333333333333333</v>
      </c>
      <c r="E3137" s="125">
        <v>0.6666666666666666</v>
      </c>
    </row>
    <row r="3138">
      <c r="A3138" s="26" t="s">
        <v>253</v>
      </c>
      <c r="B3138" s="124">
        <v>45724.0</v>
      </c>
      <c r="C3138" s="26" t="s">
        <v>5592</v>
      </c>
      <c r="D3138" s="125">
        <v>0.4166666666666667</v>
      </c>
      <c r="E3138" s="125">
        <v>0.75</v>
      </c>
    </row>
    <row r="3139">
      <c r="A3139" s="26" t="s">
        <v>258</v>
      </c>
      <c r="B3139" s="124">
        <v>45724.0</v>
      </c>
      <c r="C3139" s="26" t="s">
        <v>5592</v>
      </c>
      <c r="D3139" s="125">
        <v>0.3333333333333333</v>
      </c>
      <c r="E3139" s="125">
        <v>0.6666666666666666</v>
      </c>
    </row>
    <row r="3140">
      <c r="A3140" s="26" t="s">
        <v>261</v>
      </c>
      <c r="B3140" s="124">
        <v>45724.0</v>
      </c>
      <c r="C3140" s="26" t="s">
        <v>5592</v>
      </c>
      <c r="D3140" s="125">
        <v>0.4166666666666667</v>
      </c>
      <c r="E3140" s="125">
        <v>0.75</v>
      </c>
    </row>
    <row r="3141">
      <c r="A3141" s="26" t="s">
        <v>265</v>
      </c>
      <c r="B3141" s="124">
        <v>45724.0</v>
      </c>
      <c r="C3141" s="26" t="s">
        <v>5592</v>
      </c>
      <c r="D3141" s="125">
        <v>0.3333333333333333</v>
      </c>
      <c r="E3141" s="125">
        <v>0.6666666666666666</v>
      </c>
    </row>
    <row r="3142">
      <c r="A3142" s="26" t="s">
        <v>269</v>
      </c>
      <c r="B3142" s="124">
        <v>45724.0</v>
      </c>
      <c r="C3142" s="26" t="s">
        <v>5592</v>
      </c>
      <c r="D3142" s="125">
        <v>0.3333333333333333</v>
      </c>
      <c r="E3142" s="125">
        <v>0.6666666666666666</v>
      </c>
    </row>
    <row r="3143">
      <c r="A3143" s="26" t="s">
        <v>276</v>
      </c>
      <c r="B3143" s="124">
        <v>45724.0</v>
      </c>
      <c r="C3143" s="26" t="s">
        <v>5592</v>
      </c>
      <c r="D3143" s="125">
        <v>0.3333333333333333</v>
      </c>
      <c r="E3143" s="125">
        <v>0.6666666666666666</v>
      </c>
    </row>
    <row r="3144">
      <c r="A3144" s="26" t="s">
        <v>280</v>
      </c>
      <c r="B3144" s="124">
        <v>45724.0</v>
      </c>
      <c r="C3144" s="26" t="s">
        <v>5592</v>
      </c>
      <c r="D3144" s="125">
        <v>0.4166666666666667</v>
      </c>
      <c r="E3144" s="125">
        <v>0.75</v>
      </c>
    </row>
    <row r="3145">
      <c r="A3145" s="26" t="s">
        <v>248</v>
      </c>
      <c r="B3145" s="124">
        <v>45723.0</v>
      </c>
      <c r="C3145" s="26" t="s">
        <v>5592</v>
      </c>
      <c r="D3145" s="125">
        <v>0.3333333333333333</v>
      </c>
      <c r="E3145" s="125">
        <v>0.6666666666666666</v>
      </c>
    </row>
    <row r="3146">
      <c r="A3146" s="26" t="s">
        <v>253</v>
      </c>
      <c r="B3146" s="124">
        <v>45723.0</v>
      </c>
      <c r="C3146" s="26" t="s">
        <v>5592</v>
      </c>
      <c r="D3146" s="125">
        <v>0.4166666666666667</v>
      </c>
      <c r="E3146" s="125">
        <v>0.75</v>
      </c>
    </row>
    <row r="3147">
      <c r="A3147" s="26" t="s">
        <v>258</v>
      </c>
      <c r="B3147" s="124">
        <v>45723.0</v>
      </c>
      <c r="C3147" s="26" t="s">
        <v>5592</v>
      </c>
      <c r="D3147" s="125">
        <v>0.3333333333333333</v>
      </c>
      <c r="E3147" s="125">
        <v>0.6666666666666666</v>
      </c>
    </row>
    <row r="3148">
      <c r="A3148" s="26" t="s">
        <v>261</v>
      </c>
      <c r="B3148" s="124">
        <v>45723.0</v>
      </c>
      <c r="C3148" s="26" t="s">
        <v>5592</v>
      </c>
      <c r="D3148" s="125">
        <v>0.4166666666666667</v>
      </c>
      <c r="E3148" s="125">
        <v>0.75</v>
      </c>
    </row>
    <row r="3149">
      <c r="A3149" s="26" t="s">
        <v>265</v>
      </c>
      <c r="B3149" s="124">
        <v>45723.0</v>
      </c>
      <c r="C3149" s="26" t="s">
        <v>5592</v>
      </c>
      <c r="D3149" s="125">
        <v>0.3333333333333333</v>
      </c>
      <c r="E3149" s="125">
        <v>0.6666666666666666</v>
      </c>
    </row>
    <row r="3150">
      <c r="A3150" s="26" t="s">
        <v>269</v>
      </c>
      <c r="B3150" s="124">
        <v>45723.0</v>
      </c>
      <c r="C3150" s="26" t="s">
        <v>5592</v>
      </c>
      <c r="D3150" s="125">
        <v>0.3333333333333333</v>
      </c>
      <c r="E3150" s="125">
        <v>0.6666666666666666</v>
      </c>
    </row>
    <row r="3151">
      <c r="A3151" s="26" t="s">
        <v>276</v>
      </c>
      <c r="B3151" s="124">
        <v>45723.0</v>
      </c>
      <c r="C3151" s="26" t="s">
        <v>5592</v>
      </c>
      <c r="D3151" s="125">
        <v>0.3333333333333333</v>
      </c>
      <c r="E3151" s="125">
        <v>0.6666666666666666</v>
      </c>
    </row>
    <row r="3152">
      <c r="A3152" s="26" t="s">
        <v>280</v>
      </c>
      <c r="B3152" s="124">
        <v>45723.0</v>
      </c>
      <c r="C3152" s="26" t="s">
        <v>5592</v>
      </c>
      <c r="D3152" s="125">
        <v>0.4166666666666667</v>
      </c>
      <c r="E3152" s="125">
        <v>0.75</v>
      </c>
    </row>
    <row r="3153">
      <c r="A3153" s="26" t="s">
        <v>248</v>
      </c>
      <c r="B3153" s="124">
        <v>45722.0</v>
      </c>
      <c r="C3153" s="26" t="s">
        <v>5592</v>
      </c>
      <c r="D3153" s="125">
        <v>0.3333333333333333</v>
      </c>
      <c r="E3153" s="125">
        <v>0.6666666666666666</v>
      </c>
    </row>
    <row r="3154">
      <c r="A3154" s="26" t="s">
        <v>253</v>
      </c>
      <c r="B3154" s="124">
        <v>45722.0</v>
      </c>
      <c r="C3154" s="26" t="s">
        <v>5592</v>
      </c>
      <c r="D3154" s="125">
        <v>0.4166666666666667</v>
      </c>
      <c r="E3154" s="125">
        <v>0.75</v>
      </c>
    </row>
    <row r="3155">
      <c r="A3155" s="26" t="s">
        <v>258</v>
      </c>
      <c r="B3155" s="124">
        <v>45722.0</v>
      </c>
      <c r="C3155" s="26" t="s">
        <v>5592</v>
      </c>
      <c r="D3155" s="125">
        <v>0.3333333333333333</v>
      </c>
      <c r="E3155" s="125">
        <v>0.6666666666666666</v>
      </c>
    </row>
    <row r="3156">
      <c r="A3156" s="26" t="s">
        <v>261</v>
      </c>
      <c r="B3156" s="124">
        <v>45722.0</v>
      </c>
      <c r="C3156" s="26" t="s">
        <v>5592</v>
      </c>
      <c r="D3156" s="125">
        <v>0.4166666666666667</v>
      </c>
      <c r="E3156" s="125">
        <v>0.75</v>
      </c>
    </row>
    <row r="3157">
      <c r="A3157" s="26" t="s">
        <v>265</v>
      </c>
      <c r="B3157" s="124">
        <v>45722.0</v>
      </c>
      <c r="C3157" s="26" t="s">
        <v>5592</v>
      </c>
      <c r="D3157" s="125">
        <v>0.3333333333333333</v>
      </c>
      <c r="E3157" s="125">
        <v>0.6666666666666666</v>
      </c>
    </row>
    <row r="3158">
      <c r="A3158" s="26" t="s">
        <v>269</v>
      </c>
      <c r="B3158" s="124">
        <v>45722.0</v>
      </c>
      <c r="C3158" s="26" t="s">
        <v>5592</v>
      </c>
      <c r="D3158" s="125">
        <v>0.3333333333333333</v>
      </c>
      <c r="E3158" s="125">
        <v>0.6666666666666666</v>
      </c>
    </row>
    <row r="3159">
      <c r="A3159" s="26" t="s">
        <v>276</v>
      </c>
      <c r="B3159" s="124">
        <v>45722.0</v>
      </c>
      <c r="C3159" s="26" t="s">
        <v>5592</v>
      </c>
      <c r="D3159" s="125">
        <v>0.3333333333333333</v>
      </c>
      <c r="E3159" s="125">
        <v>0.6666666666666666</v>
      </c>
    </row>
    <row r="3160">
      <c r="A3160" s="26" t="s">
        <v>280</v>
      </c>
      <c r="B3160" s="124">
        <v>45722.0</v>
      </c>
      <c r="C3160" s="26" t="s">
        <v>5592</v>
      </c>
      <c r="D3160" s="125">
        <v>0.4166666666666667</v>
      </c>
      <c r="E3160" s="125">
        <v>0.75</v>
      </c>
    </row>
    <row r="3161">
      <c r="A3161" s="26" t="s">
        <v>248</v>
      </c>
      <c r="B3161" s="124">
        <v>45721.0</v>
      </c>
      <c r="C3161" s="26" t="s">
        <v>5592</v>
      </c>
      <c r="D3161" s="125">
        <v>0.3333333333333333</v>
      </c>
      <c r="E3161" s="125">
        <v>0.6666666666666666</v>
      </c>
    </row>
    <row r="3162">
      <c r="A3162" s="26" t="s">
        <v>253</v>
      </c>
      <c r="B3162" s="124">
        <v>45721.0</v>
      </c>
      <c r="C3162" s="26" t="s">
        <v>5592</v>
      </c>
      <c r="D3162" s="125">
        <v>0.4166666666666667</v>
      </c>
      <c r="E3162" s="125">
        <v>0.75</v>
      </c>
    </row>
    <row r="3163">
      <c r="A3163" s="26" t="s">
        <v>258</v>
      </c>
      <c r="B3163" s="124">
        <v>45721.0</v>
      </c>
      <c r="C3163" s="26" t="s">
        <v>5592</v>
      </c>
      <c r="D3163" s="125">
        <v>0.3333333333333333</v>
      </c>
      <c r="E3163" s="125">
        <v>0.6666666666666666</v>
      </c>
    </row>
    <row r="3164">
      <c r="A3164" s="26" t="s">
        <v>261</v>
      </c>
      <c r="B3164" s="124">
        <v>45721.0</v>
      </c>
      <c r="C3164" s="26" t="s">
        <v>5592</v>
      </c>
      <c r="D3164" s="125">
        <v>0.4166666666666667</v>
      </c>
      <c r="E3164" s="125">
        <v>0.75</v>
      </c>
    </row>
    <row r="3165">
      <c r="A3165" s="26" t="s">
        <v>265</v>
      </c>
      <c r="B3165" s="124">
        <v>45721.0</v>
      </c>
      <c r="C3165" s="26" t="s">
        <v>5592</v>
      </c>
      <c r="D3165" s="125">
        <v>0.3333333333333333</v>
      </c>
      <c r="E3165" s="125">
        <v>0.6666666666666666</v>
      </c>
    </row>
    <row r="3166">
      <c r="A3166" s="26" t="s">
        <v>269</v>
      </c>
      <c r="B3166" s="124">
        <v>45721.0</v>
      </c>
      <c r="C3166" s="26" t="s">
        <v>5592</v>
      </c>
      <c r="D3166" s="125">
        <v>0.3333333333333333</v>
      </c>
      <c r="E3166" s="125">
        <v>0.6666666666666666</v>
      </c>
    </row>
    <row r="3167">
      <c r="A3167" s="26" t="s">
        <v>276</v>
      </c>
      <c r="B3167" s="124">
        <v>45721.0</v>
      </c>
      <c r="C3167" s="26" t="s">
        <v>5592</v>
      </c>
      <c r="D3167" s="125">
        <v>0.3333333333333333</v>
      </c>
      <c r="E3167" s="125">
        <v>0.6666666666666666</v>
      </c>
    </row>
    <row r="3168">
      <c r="A3168" s="26" t="s">
        <v>280</v>
      </c>
      <c r="B3168" s="124">
        <v>45721.0</v>
      </c>
      <c r="C3168" s="26" t="s">
        <v>5592</v>
      </c>
      <c r="D3168" s="125">
        <v>0.4166666666666667</v>
      </c>
      <c r="E3168" s="125">
        <v>0.75</v>
      </c>
    </row>
    <row r="3169">
      <c r="A3169" s="26" t="s">
        <v>248</v>
      </c>
      <c r="B3169" s="124">
        <v>45720.0</v>
      </c>
      <c r="C3169" s="26" t="s">
        <v>5592</v>
      </c>
      <c r="D3169" s="125">
        <v>0.3333333333333333</v>
      </c>
      <c r="E3169" s="125">
        <v>0.6666666666666666</v>
      </c>
    </row>
    <row r="3170">
      <c r="A3170" s="26" t="s">
        <v>253</v>
      </c>
      <c r="B3170" s="124">
        <v>45720.0</v>
      </c>
      <c r="C3170" s="26" t="s">
        <v>5592</v>
      </c>
      <c r="D3170" s="125">
        <v>0.4166666666666667</v>
      </c>
      <c r="E3170" s="125">
        <v>0.75</v>
      </c>
    </row>
    <row r="3171">
      <c r="A3171" s="26" t="s">
        <v>258</v>
      </c>
      <c r="B3171" s="124">
        <v>45720.0</v>
      </c>
      <c r="C3171" s="26" t="s">
        <v>5592</v>
      </c>
      <c r="D3171" s="125">
        <v>0.3333333333333333</v>
      </c>
      <c r="E3171" s="125">
        <v>0.6666666666666666</v>
      </c>
    </row>
    <row r="3172">
      <c r="A3172" s="26" t="s">
        <v>261</v>
      </c>
      <c r="B3172" s="124">
        <v>45720.0</v>
      </c>
      <c r="C3172" s="26" t="s">
        <v>5592</v>
      </c>
      <c r="D3172" s="125">
        <v>0.4166666666666667</v>
      </c>
      <c r="E3172" s="125">
        <v>0.75</v>
      </c>
    </row>
    <row r="3173">
      <c r="A3173" s="26" t="s">
        <v>265</v>
      </c>
      <c r="B3173" s="124">
        <v>45720.0</v>
      </c>
      <c r="C3173" s="26" t="s">
        <v>5592</v>
      </c>
      <c r="D3173" s="125">
        <v>0.3333333333333333</v>
      </c>
      <c r="E3173" s="125">
        <v>0.6666666666666666</v>
      </c>
    </row>
    <row r="3174">
      <c r="A3174" s="26" t="s">
        <v>269</v>
      </c>
      <c r="B3174" s="124">
        <v>45720.0</v>
      </c>
      <c r="C3174" s="26" t="s">
        <v>5592</v>
      </c>
      <c r="D3174" s="125">
        <v>0.3333333333333333</v>
      </c>
      <c r="E3174" s="125">
        <v>0.6666666666666666</v>
      </c>
    </row>
    <row r="3175">
      <c r="A3175" s="26" t="s">
        <v>276</v>
      </c>
      <c r="B3175" s="124">
        <v>45720.0</v>
      </c>
      <c r="C3175" s="26" t="s">
        <v>5592</v>
      </c>
      <c r="D3175" s="125">
        <v>0.3333333333333333</v>
      </c>
      <c r="E3175" s="125">
        <v>0.6666666666666666</v>
      </c>
    </row>
    <row r="3176">
      <c r="A3176" s="26" t="s">
        <v>280</v>
      </c>
      <c r="B3176" s="124">
        <v>45720.0</v>
      </c>
      <c r="C3176" s="26" t="s">
        <v>5592</v>
      </c>
      <c r="D3176" s="125">
        <v>0.4166666666666667</v>
      </c>
      <c r="E3176" s="125">
        <v>0.75</v>
      </c>
    </row>
    <row r="3177">
      <c r="A3177" s="26" t="s">
        <v>248</v>
      </c>
      <c r="B3177" s="124">
        <v>45719.0</v>
      </c>
      <c r="C3177" s="26" t="s">
        <v>5592</v>
      </c>
      <c r="D3177" s="125">
        <v>0.3333333333333333</v>
      </c>
      <c r="E3177" s="125">
        <v>0.6666666666666666</v>
      </c>
    </row>
    <row r="3178">
      <c r="A3178" s="26" t="s">
        <v>253</v>
      </c>
      <c r="B3178" s="124">
        <v>45719.0</v>
      </c>
      <c r="C3178" s="26" t="s">
        <v>5592</v>
      </c>
      <c r="D3178" s="125">
        <v>0.4166666666666667</v>
      </c>
      <c r="E3178" s="125">
        <v>0.75</v>
      </c>
    </row>
    <row r="3179">
      <c r="A3179" s="26" t="s">
        <v>258</v>
      </c>
      <c r="B3179" s="124">
        <v>45719.0</v>
      </c>
      <c r="C3179" s="26" t="s">
        <v>5592</v>
      </c>
      <c r="D3179" s="125">
        <v>0.3333333333333333</v>
      </c>
      <c r="E3179" s="125">
        <v>0.6666666666666666</v>
      </c>
    </row>
    <row r="3180">
      <c r="A3180" s="26" t="s">
        <v>261</v>
      </c>
      <c r="B3180" s="124">
        <v>45719.0</v>
      </c>
      <c r="C3180" s="26" t="s">
        <v>5592</v>
      </c>
      <c r="D3180" s="125">
        <v>0.4166666666666667</v>
      </c>
      <c r="E3180" s="125">
        <v>0.75</v>
      </c>
    </row>
    <row r="3181">
      <c r="A3181" s="26" t="s">
        <v>265</v>
      </c>
      <c r="B3181" s="124">
        <v>45719.0</v>
      </c>
      <c r="C3181" s="26" t="s">
        <v>5592</v>
      </c>
      <c r="D3181" s="125">
        <v>0.3333333333333333</v>
      </c>
      <c r="E3181" s="125">
        <v>0.6666666666666666</v>
      </c>
    </row>
    <row r="3182">
      <c r="A3182" s="26" t="s">
        <v>269</v>
      </c>
      <c r="B3182" s="124">
        <v>45719.0</v>
      </c>
      <c r="C3182" s="26" t="s">
        <v>5592</v>
      </c>
      <c r="D3182" s="125">
        <v>0.3333333333333333</v>
      </c>
      <c r="E3182" s="125">
        <v>0.6666666666666666</v>
      </c>
    </row>
    <row r="3183">
      <c r="A3183" s="26" t="s">
        <v>276</v>
      </c>
      <c r="B3183" s="124">
        <v>45719.0</v>
      </c>
      <c r="C3183" s="26" t="s">
        <v>5592</v>
      </c>
      <c r="D3183" s="125">
        <v>0.3333333333333333</v>
      </c>
      <c r="E3183" s="125">
        <v>0.6666666666666666</v>
      </c>
    </row>
    <row r="3184">
      <c r="A3184" s="26" t="s">
        <v>280</v>
      </c>
      <c r="B3184" s="124">
        <v>45719.0</v>
      </c>
      <c r="C3184" s="26" t="s">
        <v>5592</v>
      </c>
      <c r="D3184" s="125">
        <v>0.4166666666666667</v>
      </c>
      <c r="E3184" s="125">
        <v>0.75</v>
      </c>
    </row>
  </sheetData>
  <mergeCells count="1">
    <mergeCell ref="A1:F1"/>
  </mergeCells>
  <dataValidations>
    <dataValidation type="list" allowBlank="1" sqref="C5:C3184">
      <formula1>"morning,afternoon,evening,night,full_day"</formula1>
    </dataValidation>
  </dataValidation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36.13"/>
    <col customWidth="1" min="2" max="2" width="24.38"/>
    <col customWidth="1" min="3" max="3" width="18.88"/>
    <col customWidth="1" min="4" max="4" width="7.13"/>
    <col customWidth="1" min="5" max="5" width="13.0"/>
    <col customWidth="1" min="6" max="6" width="30.25"/>
    <col customWidth="1" min="7" max="7" width="5.5"/>
  </cols>
  <sheetData>
    <row r="1">
      <c r="A1" s="21" t="s">
        <v>5593</v>
      </c>
    </row>
    <row r="2">
      <c r="A2" s="22" t="s">
        <v>5586</v>
      </c>
      <c r="B2" s="22" t="s">
        <v>5594</v>
      </c>
      <c r="C2" s="22" t="s">
        <v>5595</v>
      </c>
      <c r="D2" s="22" t="s">
        <v>5596</v>
      </c>
      <c r="E2" s="22" t="s">
        <v>5597</v>
      </c>
      <c r="F2" s="22" t="s">
        <v>5598</v>
      </c>
      <c r="G2" s="22" t="s">
        <v>98</v>
      </c>
    </row>
    <row r="3">
      <c r="A3" s="23" t="s">
        <v>49</v>
      </c>
      <c r="B3" s="23" t="s">
        <v>49</v>
      </c>
      <c r="C3" s="23" t="s">
        <v>49</v>
      </c>
      <c r="D3" s="24"/>
      <c r="E3" s="24"/>
      <c r="F3" s="24"/>
      <c r="G3" s="24"/>
    </row>
    <row r="4">
      <c r="A4" s="25" t="s">
        <v>50</v>
      </c>
      <c r="B4" s="25" t="s">
        <v>102</v>
      </c>
      <c r="C4" s="25" t="s">
        <v>50</v>
      </c>
      <c r="D4" s="25" t="s">
        <v>50</v>
      </c>
      <c r="E4" s="25" t="s">
        <v>50</v>
      </c>
      <c r="F4" s="25" t="s">
        <v>5599</v>
      </c>
      <c r="G4" s="25" t="s">
        <v>50</v>
      </c>
    </row>
    <row r="5">
      <c r="A5" s="26" t="s">
        <v>5600</v>
      </c>
      <c r="B5" s="27">
        <v>45780.0</v>
      </c>
      <c r="C5" s="26" t="s">
        <v>5601</v>
      </c>
      <c r="D5" s="26" t="s">
        <v>5602</v>
      </c>
      <c r="E5" s="26">
        <v>3.0</v>
      </c>
      <c r="F5" s="26" t="s">
        <v>5603</v>
      </c>
    </row>
    <row r="6">
      <c r="A6" s="26" t="s">
        <v>5600</v>
      </c>
      <c r="B6" s="27">
        <v>45815.0</v>
      </c>
      <c r="C6" s="26" t="s">
        <v>5604</v>
      </c>
      <c r="D6" s="26" t="s">
        <v>5602</v>
      </c>
      <c r="E6" s="26">
        <v>3.0</v>
      </c>
      <c r="F6" s="26" t="s">
        <v>5603</v>
      </c>
    </row>
    <row r="7">
      <c r="A7" s="26" t="s">
        <v>5600</v>
      </c>
      <c r="B7" s="27">
        <v>45842.0</v>
      </c>
      <c r="C7" s="26" t="s">
        <v>5605</v>
      </c>
      <c r="D7" s="26" t="s">
        <v>5602</v>
      </c>
      <c r="E7" s="26">
        <v>3.0</v>
      </c>
      <c r="F7" s="26" t="s">
        <v>5603</v>
      </c>
    </row>
    <row r="8">
      <c r="A8" s="26" t="s">
        <v>5600</v>
      </c>
      <c r="B8" s="27">
        <v>45871.0</v>
      </c>
      <c r="C8" s="26" t="s">
        <v>5606</v>
      </c>
      <c r="D8" s="26" t="s">
        <v>5602</v>
      </c>
      <c r="E8" s="26">
        <v>3.0</v>
      </c>
      <c r="F8" s="26" t="s">
        <v>5603</v>
      </c>
    </row>
    <row r="9">
      <c r="A9" s="26" t="s">
        <v>5600</v>
      </c>
      <c r="B9" s="27">
        <v>45906.0</v>
      </c>
      <c r="C9" s="26" t="s">
        <v>5607</v>
      </c>
      <c r="D9" s="26" t="s">
        <v>5602</v>
      </c>
      <c r="E9" s="26">
        <v>3.0</v>
      </c>
      <c r="F9" s="26" t="s">
        <v>5603</v>
      </c>
    </row>
    <row r="10">
      <c r="A10" s="26" t="s">
        <v>5600</v>
      </c>
      <c r="B10" s="27">
        <v>45934.0</v>
      </c>
      <c r="C10" s="26" t="s">
        <v>5608</v>
      </c>
      <c r="D10" s="26" t="s">
        <v>5602</v>
      </c>
      <c r="E10" s="26">
        <v>3.0</v>
      </c>
      <c r="F10" s="26" t="s">
        <v>5603</v>
      </c>
    </row>
    <row r="11">
      <c r="A11" s="26" t="s">
        <v>5609</v>
      </c>
      <c r="B11" s="27">
        <v>45782.0</v>
      </c>
      <c r="C11" s="26" t="s">
        <v>5601</v>
      </c>
      <c r="D11" s="26" t="s">
        <v>5602</v>
      </c>
      <c r="E11" s="26">
        <v>3.0</v>
      </c>
      <c r="F11" s="26" t="s">
        <v>5603</v>
      </c>
    </row>
    <row r="12">
      <c r="A12" s="26" t="s">
        <v>5609</v>
      </c>
      <c r="B12" s="27">
        <v>45810.0</v>
      </c>
      <c r="C12" s="26" t="s">
        <v>5604</v>
      </c>
      <c r="D12" s="26" t="s">
        <v>5602</v>
      </c>
      <c r="E12" s="26">
        <v>3.0</v>
      </c>
      <c r="F12" s="26" t="s">
        <v>5603</v>
      </c>
    </row>
    <row r="13">
      <c r="A13" s="26" t="s">
        <v>5609</v>
      </c>
      <c r="B13" s="27">
        <v>45845.0</v>
      </c>
      <c r="C13" s="26" t="s">
        <v>5605</v>
      </c>
      <c r="D13" s="26" t="s">
        <v>5602</v>
      </c>
      <c r="E13" s="26">
        <v>3.0</v>
      </c>
      <c r="F13" s="26" t="s">
        <v>5603</v>
      </c>
    </row>
    <row r="14">
      <c r="A14" s="26" t="s">
        <v>5609</v>
      </c>
      <c r="B14" s="27">
        <v>45873.0</v>
      </c>
      <c r="C14" s="26" t="s">
        <v>5606</v>
      </c>
      <c r="D14" s="26" t="s">
        <v>5602</v>
      </c>
      <c r="E14" s="26">
        <v>3.0</v>
      </c>
      <c r="F14" s="26" t="s">
        <v>5603</v>
      </c>
    </row>
    <row r="15">
      <c r="A15" s="26" t="s">
        <v>5609</v>
      </c>
      <c r="B15" s="27">
        <v>45908.0</v>
      </c>
      <c r="C15" s="26" t="s">
        <v>5607</v>
      </c>
      <c r="D15" s="26" t="s">
        <v>5602</v>
      </c>
      <c r="E15" s="26">
        <v>3.0</v>
      </c>
      <c r="F15" s="26" t="s">
        <v>5603</v>
      </c>
    </row>
    <row r="16">
      <c r="A16" s="26" t="s">
        <v>5609</v>
      </c>
      <c r="B16" s="27">
        <v>45936.0</v>
      </c>
      <c r="C16" s="26" t="s">
        <v>5608</v>
      </c>
      <c r="D16" s="26" t="s">
        <v>5602</v>
      </c>
      <c r="E16" s="26">
        <v>3.0</v>
      </c>
      <c r="F16" s="26" t="s">
        <v>5603</v>
      </c>
    </row>
    <row r="17">
      <c r="A17" s="26" t="s">
        <v>5609</v>
      </c>
      <c r="B17" s="27">
        <v>45964.0</v>
      </c>
      <c r="C17" s="26" t="s">
        <v>5610</v>
      </c>
      <c r="D17" s="26" t="s">
        <v>5602</v>
      </c>
      <c r="E17" s="26">
        <v>3.0</v>
      </c>
      <c r="F17" s="26" t="s">
        <v>5603</v>
      </c>
    </row>
    <row r="18">
      <c r="A18" s="26" t="s">
        <v>5609</v>
      </c>
      <c r="B18" s="27">
        <v>45999.0</v>
      </c>
      <c r="C18" s="26" t="s">
        <v>5611</v>
      </c>
      <c r="D18" s="26" t="s">
        <v>5602</v>
      </c>
      <c r="E18" s="26">
        <v>3.0</v>
      </c>
      <c r="F18" s="26" t="s">
        <v>5603</v>
      </c>
    </row>
    <row r="19">
      <c r="A19" s="26" t="s">
        <v>5609</v>
      </c>
      <c r="B19" s="27">
        <v>46027.0</v>
      </c>
      <c r="C19" s="26" t="s">
        <v>5612</v>
      </c>
      <c r="D19" s="26" t="s">
        <v>5602</v>
      </c>
      <c r="E19" s="26">
        <v>3.0</v>
      </c>
      <c r="F19" s="26" t="s">
        <v>5603</v>
      </c>
    </row>
    <row r="20">
      <c r="A20" s="26" t="s">
        <v>5609</v>
      </c>
      <c r="B20" s="27">
        <v>46062.0</v>
      </c>
      <c r="C20" s="26" t="s">
        <v>5613</v>
      </c>
      <c r="D20" s="26" t="s">
        <v>5602</v>
      </c>
      <c r="E20" s="26">
        <v>3.0</v>
      </c>
      <c r="F20" s="26" t="s">
        <v>5603</v>
      </c>
    </row>
    <row r="21">
      <c r="A21" s="26" t="s">
        <v>5614</v>
      </c>
      <c r="B21" s="27">
        <v>45783.0</v>
      </c>
      <c r="C21" s="26" t="s">
        <v>5601</v>
      </c>
      <c r="D21" s="26" t="s">
        <v>5602</v>
      </c>
      <c r="E21" s="26">
        <v>3.0</v>
      </c>
      <c r="F21" s="26" t="s">
        <v>5603</v>
      </c>
    </row>
    <row r="22">
      <c r="A22" s="26" t="s">
        <v>5614</v>
      </c>
      <c r="B22" s="27">
        <v>45818.0</v>
      </c>
      <c r="C22" s="26" t="s">
        <v>5604</v>
      </c>
      <c r="D22" s="26" t="s">
        <v>5602</v>
      </c>
      <c r="E22" s="26">
        <v>3.0</v>
      </c>
      <c r="F22" s="26" t="s">
        <v>5603</v>
      </c>
    </row>
    <row r="23">
      <c r="A23" s="26" t="s">
        <v>5614</v>
      </c>
      <c r="B23" s="27">
        <v>45846.0</v>
      </c>
      <c r="C23" s="26" t="s">
        <v>5607</v>
      </c>
      <c r="D23" s="26" t="s">
        <v>5602</v>
      </c>
      <c r="E23" s="26">
        <v>3.0</v>
      </c>
      <c r="F23" s="26" t="s">
        <v>5603</v>
      </c>
    </row>
    <row r="24">
      <c r="A24" s="26" t="s">
        <v>5614</v>
      </c>
      <c r="B24" s="27">
        <v>45874.0</v>
      </c>
      <c r="C24" s="26" t="s">
        <v>5608</v>
      </c>
      <c r="D24" s="26" t="s">
        <v>5602</v>
      </c>
      <c r="E24" s="26">
        <v>3.0</v>
      </c>
      <c r="F24" s="26" t="s">
        <v>5603</v>
      </c>
    </row>
  </sheetData>
  <mergeCells count="1">
    <mergeCell ref="A1:G1"/>
  </mergeCells>
  <dataValidations>
    <dataValidation type="list" allowBlank="1" sqref="F5:F24">
      <formula1>"passed,excellent,failed,in_progress"</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0.63"/>
    <col customWidth="1" min="2" max="2" width="21.75"/>
    <col customWidth="1" min="3" max="3" width="43.25"/>
    <col customWidth="1" min="4" max="4" width="13.5"/>
    <col customWidth="1" min="5" max="5" width="21.13"/>
    <col customWidth="1" min="6" max="6" width="13.63"/>
    <col customWidth="1" min="7" max="7" width="40.63"/>
    <col customWidth="1" min="8" max="8" width="23.38"/>
    <col customWidth="1" min="9" max="9" width="20.25"/>
    <col customWidth="1" min="10" max="10" width="26.13"/>
    <col customWidth="1" min="11" max="11" width="15.25"/>
    <col customWidth="1" min="12" max="12" width="30.38"/>
  </cols>
  <sheetData>
    <row r="1">
      <c r="A1" s="21" t="s">
        <v>5615</v>
      </c>
    </row>
    <row r="2">
      <c r="A2" s="22" t="s">
        <v>5616</v>
      </c>
      <c r="B2" s="22" t="s">
        <v>5617</v>
      </c>
      <c r="C2" s="22" t="s">
        <v>5618</v>
      </c>
      <c r="D2" s="22" t="s">
        <v>5619</v>
      </c>
      <c r="E2" s="126" t="s">
        <v>5620</v>
      </c>
      <c r="F2" s="22" t="s">
        <v>5621</v>
      </c>
      <c r="G2" s="22" t="s">
        <v>803</v>
      </c>
      <c r="H2" s="22" t="s">
        <v>5622</v>
      </c>
      <c r="I2" s="22" t="s">
        <v>5623</v>
      </c>
      <c r="J2" s="126" t="s">
        <v>5624</v>
      </c>
      <c r="K2" s="22" t="s">
        <v>5625</v>
      </c>
      <c r="L2" s="22" t="s">
        <v>98</v>
      </c>
    </row>
    <row r="3">
      <c r="A3" s="23" t="s">
        <v>49</v>
      </c>
      <c r="B3" s="23" t="s">
        <v>49</v>
      </c>
      <c r="C3" s="23" t="s">
        <v>49</v>
      </c>
      <c r="D3" s="23" t="s">
        <v>49</v>
      </c>
      <c r="E3" s="127"/>
      <c r="F3" s="24"/>
      <c r="G3" s="24"/>
      <c r="H3" s="24"/>
      <c r="I3" s="24"/>
      <c r="J3" s="127"/>
      <c r="K3" s="24"/>
      <c r="L3" s="24"/>
    </row>
    <row r="4">
      <c r="A4" s="25" t="s">
        <v>50</v>
      </c>
      <c r="B4" s="25" t="s">
        <v>50</v>
      </c>
      <c r="C4" s="25" t="s">
        <v>5626</v>
      </c>
      <c r="D4" s="25" t="s">
        <v>50</v>
      </c>
      <c r="E4" s="128" t="s">
        <v>50</v>
      </c>
      <c r="F4" s="25" t="s">
        <v>50</v>
      </c>
      <c r="G4" s="25" t="s">
        <v>5627</v>
      </c>
      <c r="H4" s="25" t="s">
        <v>5628</v>
      </c>
      <c r="I4" s="25" t="s">
        <v>50</v>
      </c>
      <c r="J4" s="128" t="s">
        <v>50</v>
      </c>
      <c r="K4" s="25" t="s">
        <v>50</v>
      </c>
      <c r="L4" s="25" t="s">
        <v>50</v>
      </c>
    </row>
    <row r="5">
      <c r="A5" s="129" t="s">
        <v>840</v>
      </c>
      <c r="B5" s="130" t="s">
        <v>5629</v>
      </c>
      <c r="C5" s="26" t="s">
        <v>179</v>
      </c>
      <c r="D5" s="26">
        <v>180.0</v>
      </c>
      <c r="E5" s="131">
        <v>46202.0</v>
      </c>
      <c r="F5" s="26" t="s">
        <v>5630</v>
      </c>
      <c r="G5" s="26" t="s">
        <v>5631</v>
      </c>
      <c r="H5" s="26" t="s">
        <v>5632</v>
      </c>
      <c r="I5" s="26">
        <v>180.0</v>
      </c>
      <c r="J5" s="131"/>
      <c r="L5" s="26" t="s">
        <v>5633</v>
      </c>
    </row>
    <row r="6">
      <c r="A6" s="129" t="s">
        <v>839</v>
      </c>
      <c r="B6" s="130" t="s">
        <v>5629</v>
      </c>
      <c r="C6" s="26" t="s">
        <v>179</v>
      </c>
      <c r="D6" s="26">
        <v>180.0</v>
      </c>
      <c r="E6" s="131">
        <v>46202.0</v>
      </c>
      <c r="F6" s="26" t="s">
        <v>5630</v>
      </c>
      <c r="G6" s="26" t="s">
        <v>5631</v>
      </c>
      <c r="H6" s="26" t="s">
        <v>5632</v>
      </c>
      <c r="I6" s="26">
        <v>180.0</v>
      </c>
      <c r="J6" s="131"/>
      <c r="L6" s="26" t="s">
        <v>5633</v>
      </c>
    </row>
    <row r="7">
      <c r="A7" s="129" t="s">
        <v>831</v>
      </c>
      <c r="B7" s="132" t="s">
        <v>5634</v>
      </c>
      <c r="C7" s="26" t="s">
        <v>179</v>
      </c>
      <c r="D7" s="102">
        <v>30.0</v>
      </c>
      <c r="E7" s="131">
        <v>46172.0</v>
      </c>
      <c r="F7" s="26" t="s">
        <v>5635</v>
      </c>
      <c r="G7" s="26" t="s">
        <v>5631</v>
      </c>
      <c r="H7" s="26" t="s">
        <v>5632</v>
      </c>
      <c r="I7" s="26">
        <v>180.0</v>
      </c>
      <c r="J7" s="133">
        <v>45662.0</v>
      </c>
      <c r="L7" s="26" t="s">
        <v>5636</v>
      </c>
    </row>
    <row r="8">
      <c r="A8" s="129" t="s">
        <v>838</v>
      </c>
      <c r="B8" s="130" t="s">
        <v>5637</v>
      </c>
      <c r="C8" s="26" t="s">
        <v>5638</v>
      </c>
      <c r="D8" s="102">
        <v>30.0</v>
      </c>
      <c r="E8" s="131">
        <v>46172.0</v>
      </c>
      <c r="F8" s="26" t="s">
        <v>5639</v>
      </c>
      <c r="G8" s="26" t="s">
        <v>5631</v>
      </c>
      <c r="H8" s="26" t="s">
        <v>5632</v>
      </c>
      <c r="I8" s="26">
        <v>15.0</v>
      </c>
      <c r="J8" s="131"/>
      <c r="L8" s="26" t="s">
        <v>5640</v>
      </c>
    </row>
    <row r="9">
      <c r="A9" s="129" t="s">
        <v>837</v>
      </c>
      <c r="B9" s="26" t="s">
        <v>5641</v>
      </c>
      <c r="C9" s="26" t="s">
        <v>179</v>
      </c>
      <c r="D9" s="26">
        <v>14.0</v>
      </c>
      <c r="E9" s="133">
        <v>46150.0</v>
      </c>
      <c r="F9" s="26" t="s">
        <v>5642</v>
      </c>
      <c r="G9" s="26" t="s">
        <v>1037</v>
      </c>
      <c r="H9" s="110" t="s">
        <v>5632</v>
      </c>
      <c r="I9" s="102">
        <v>180.0</v>
      </c>
      <c r="J9" s="133">
        <v>46150.0</v>
      </c>
    </row>
    <row r="10">
      <c r="A10" s="129" t="s">
        <v>840</v>
      </c>
      <c r="B10" s="132" t="s">
        <v>5634</v>
      </c>
      <c r="C10" s="26" t="s">
        <v>179</v>
      </c>
      <c r="D10" s="28">
        <v>47.0</v>
      </c>
      <c r="E10" s="131">
        <v>46147.0</v>
      </c>
      <c r="F10" s="26" t="s">
        <v>5643</v>
      </c>
      <c r="G10" s="26" t="s">
        <v>1037</v>
      </c>
      <c r="H10" s="26" t="s">
        <v>5632</v>
      </c>
      <c r="I10" s="26">
        <v>180.0</v>
      </c>
      <c r="J10" s="134">
        <v>46148.0</v>
      </c>
      <c r="L10" s="26" t="s">
        <v>5636</v>
      </c>
    </row>
    <row r="11">
      <c r="A11" s="135" t="s">
        <v>839</v>
      </c>
      <c r="B11" s="132" t="s">
        <v>5634</v>
      </c>
      <c r="C11" s="26" t="s">
        <v>179</v>
      </c>
      <c r="D11" s="28">
        <v>39.0</v>
      </c>
      <c r="E11" s="133">
        <v>46144.0</v>
      </c>
      <c r="F11" s="26" t="s">
        <v>5643</v>
      </c>
      <c r="G11" s="26" t="s">
        <v>1037</v>
      </c>
      <c r="H11" s="26" t="s">
        <v>5632</v>
      </c>
      <c r="I11" s="26">
        <v>180.0</v>
      </c>
      <c r="J11" s="134">
        <v>46146.0</v>
      </c>
      <c r="L11" s="26" t="s">
        <v>5636</v>
      </c>
    </row>
    <row r="12">
      <c r="A12" s="135" t="s">
        <v>833</v>
      </c>
      <c r="B12" s="130" t="s">
        <v>5644</v>
      </c>
      <c r="C12" s="26" t="s">
        <v>179</v>
      </c>
      <c r="D12" s="28">
        <v>1.0</v>
      </c>
      <c r="E12" s="133">
        <v>46141.0</v>
      </c>
      <c r="F12" s="26" t="s">
        <v>5635</v>
      </c>
      <c r="G12" s="26" t="s">
        <v>1037</v>
      </c>
      <c r="H12" s="26" t="s">
        <v>5632</v>
      </c>
      <c r="I12" s="26">
        <v>45.0</v>
      </c>
      <c r="J12" s="133">
        <v>46141.0</v>
      </c>
      <c r="L12" s="26" t="s">
        <v>5645</v>
      </c>
    </row>
    <row r="13">
      <c r="A13" s="129" t="s">
        <v>838</v>
      </c>
      <c r="B13" s="130" t="s">
        <v>5644</v>
      </c>
      <c r="C13" s="26" t="s">
        <v>179</v>
      </c>
      <c r="D13" s="26">
        <v>60.0</v>
      </c>
      <c r="E13" s="133">
        <v>46140.0</v>
      </c>
      <c r="F13" s="26" t="s">
        <v>5635</v>
      </c>
      <c r="G13" s="26" t="s">
        <v>1037</v>
      </c>
      <c r="H13" s="26" t="s">
        <v>5632</v>
      </c>
      <c r="I13" s="26">
        <v>45.0</v>
      </c>
      <c r="J13" s="133">
        <v>46140.0</v>
      </c>
      <c r="L13" s="26" t="s">
        <v>5645</v>
      </c>
    </row>
    <row r="14">
      <c r="A14" s="129" t="s">
        <v>834</v>
      </c>
      <c r="B14" s="26" t="s">
        <v>5641</v>
      </c>
      <c r="C14" s="26" t="s">
        <v>179</v>
      </c>
      <c r="D14" s="26">
        <v>7.0</v>
      </c>
      <c r="E14" s="131">
        <v>46136.0</v>
      </c>
      <c r="F14" s="26" t="s">
        <v>5642</v>
      </c>
      <c r="G14" s="26" t="s">
        <v>1037</v>
      </c>
      <c r="H14" s="110" t="s">
        <v>5632</v>
      </c>
      <c r="I14" s="102">
        <v>180.0</v>
      </c>
      <c r="J14" s="131">
        <v>46136.0</v>
      </c>
    </row>
    <row r="15">
      <c r="A15" s="129" t="s">
        <v>837</v>
      </c>
      <c r="B15" s="130" t="s">
        <v>5644</v>
      </c>
      <c r="C15" s="26" t="s">
        <v>179</v>
      </c>
      <c r="D15" s="26">
        <v>59.0</v>
      </c>
      <c r="E15" s="133">
        <v>46132.0</v>
      </c>
      <c r="F15" s="26" t="s">
        <v>5635</v>
      </c>
      <c r="G15" s="26" t="s">
        <v>1037</v>
      </c>
      <c r="H15" s="26" t="s">
        <v>5632</v>
      </c>
      <c r="I15" s="26">
        <v>45.0</v>
      </c>
      <c r="J15" s="133">
        <v>46132.0</v>
      </c>
      <c r="L15" s="26" t="s">
        <v>5645</v>
      </c>
    </row>
    <row r="16">
      <c r="A16" s="129" t="s">
        <v>835</v>
      </c>
      <c r="B16" s="26" t="s">
        <v>5641</v>
      </c>
      <c r="C16" s="26" t="s">
        <v>179</v>
      </c>
      <c r="D16" s="26">
        <v>7.0</v>
      </c>
      <c r="E16" s="131">
        <v>46129.0</v>
      </c>
      <c r="F16" s="26" t="s">
        <v>5642</v>
      </c>
      <c r="G16" s="26" t="s">
        <v>1037</v>
      </c>
      <c r="H16" s="110" t="s">
        <v>5632</v>
      </c>
      <c r="I16" s="102">
        <v>180.0</v>
      </c>
      <c r="J16" s="131">
        <v>46129.0</v>
      </c>
    </row>
    <row r="17">
      <c r="A17" s="129" t="s">
        <v>836</v>
      </c>
      <c r="B17" s="132" t="s">
        <v>5634</v>
      </c>
      <c r="C17" s="26" t="s">
        <v>179</v>
      </c>
      <c r="D17" s="28">
        <v>37.0</v>
      </c>
      <c r="E17" s="131">
        <v>46127.0</v>
      </c>
      <c r="F17" s="26" t="s">
        <v>5643</v>
      </c>
      <c r="G17" s="26" t="s">
        <v>1037</v>
      </c>
      <c r="H17" s="26" t="s">
        <v>5632</v>
      </c>
      <c r="I17" s="26">
        <v>180.0</v>
      </c>
      <c r="J17" s="134">
        <v>46128.0</v>
      </c>
      <c r="L17" s="26" t="s">
        <v>5636</v>
      </c>
    </row>
    <row r="18">
      <c r="A18" s="129" t="s">
        <v>831</v>
      </c>
      <c r="B18" s="130" t="s">
        <v>5644</v>
      </c>
      <c r="C18" s="26" t="s">
        <v>179</v>
      </c>
      <c r="D18" s="28">
        <v>6.0</v>
      </c>
      <c r="E18" s="131">
        <v>46126.0</v>
      </c>
      <c r="F18" s="26" t="s">
        <v>5635</v>
      </c>
      <c r="G18" s="26" t="s">
        <v>1037</v>
      </c>
      <c r="H18" s="26" t="s">
        <v>5632</v>
      </c>
      <c r="I18" s="26">
        <v>45.0</v>
      </c>
      <c r="J18" s="131">
        <v>46126.0</v>
      </c>
      <c r="L18" s="26" t="s">
        <v>5645</v>
      </c>
    </row>
    <row r="19">
      <c r="A19" s="129" t="s">
        <v>840</v>
      </c>
      <c r="B19" s="26" t="s">
        <v>5641</v>
      </c>
      <c r="C19" s="26" t="s">
        <v>179</v>
      </c>
      <c r="D19" s="26">
        <v>7.0</v>
      </c>
      <c r="E19" s="131">
        <v>46122.0</v>
      </c>
      <c r="F19" s="26" t="s">
        <v>5642</v>
      </c>
      <c r="G19" s="26" t="s">
        <v>1037</v>
      </c>
      <c r="H19" s="110" t="s">
        <v>5632</v>
      </c>
      <c r="I19" s="102">
        <v>180.0</v>
      </c>
      <c r="J19" s="131">
        <v>46122.0</v>
      </c>
    </row>
    <row r="20">
      <c r="A20" s="129" t="s">
        <v>839</v>
      </c>
      <c r="B20" s="132" t="s">
        <v>5634</v>
      </c>
      <c r="C20" s="26" t="s">
        <v>179</v>
      </c>
      <c r="D20" s="28">
        <v>71.0</v>
      </c>
      <c r="E20" s="131">
        <v>46120.0</v>
      </c>
      <c r="F20" s="26" t="s">
        <v>5643</v>
      </c>
      <c r="G20" s="26" t="s">
        <v>1037</v>
      </c>
      <c r="H20" s="26" t="s">
        <v>5632</v>
      </c>
      <c r="I20" s="26">
        <v>180.0</v>
      </c>
      <c r="J20" s="134">
        <v>46121.0</v>
      </c>
      <c r="L20" s="26" t="s">
        <v>5636</v>
      </c>
    </row>
    <row r="21">
      <c r="A21" s="129" t="s">
        <v>838</v>
      </c>
      <c r="B21" s="130" t="s">
        <v>5644</v>
      </c>
      <c r="C21" s="26" t="s">
        <v>179</v>
      </c>
      <c r="D21" s="26">
        <v>58.0</v>
      </c>
      <c r="E21" s="131">
        <v>46120.0</v>
      </c>
      <c r="F21" s="26" t="s">
        <v>5635</v>
      </c>
      <c r="G21" s="26" t="s">
        <v>1037</v>
      </c>
      <c r="H21" s="26" t="s">
        <v>5632</v>
      </c>
      <c r="I21" s="26">
        <v>45.0</v>
      </c>
      <c r="J21" s="131">
        <v>46120.0</v>
      </c>
      <c r="L21" s="26" t="s">
        <v>5645</v>
      </c>
    </row>
    <row r="22">
      <c r="A22" s="129" t="s">
        <v>833</v>
      </c>
      <c r="B22" s="130" t="s">
        <v>5644</v>
      </c>
      <c r="C22" s="26" t="s">
        <v>179</v>
      </c>
      <c r="D22" s="28">
        <v>1.0</v>
      </c>
      <c r="E22" s="131">
        <v>46119.0</v>
      </c>
      <c r="F22" s="26" t="s">
        <v>5635</v>
      </c>
      <c r="G22" s="26" t="s">
        <v>1037</v>
      </c>
      <c r="H22" s="26" t="s">
        <v>5632</v>
      </c>
      <c r="I22" s="26">
        <v>45.0</v>
      </c>
      <c r="J22" s="131">
        <v>46119.0</v>
      </c>
      <c r="L22" s="26" t="s">
        <v>5645</v>
      </c>
    </row>
    <row r="23">
      <c r="A23" s="129" t="s">
        <v>834</v>
      </c>
      <c r="B23" s="130" t="s">
        <v>5644</v>
      </c>
      <c r="C23" s="26" t="s">
        <v>179</v>
      </c>
      <c r="D23" s="26">
        <v>57.0</v>
      </c>
      <c r="E23" s="131">
        <v>46118.0</v>
      </c>
      <c r="F23" s="26" t="s">
        <v>5635</v>
      </c>
      <c r="G23" s="26" t="s">
        <v>1037</v>
      </c>
      <c r="H23" s="26" t="s">
        <v>5632</v>
      </c>
      <c r="I23" s="26">
        <v>45.0</v>
      </c>
      <c r="J23" s="131">
        <v>46118.0</v>
      </c>
      <c r="L23" s="26" t="s">
        <v>5645</v>
      </c>
    </row>
    <row r="24">
      <c r="A24" s="129" t="s">
        <v>835</v>
      </c>
      <c r="B24" s="130" t="s">
        <v>5646</v>
      </c>
      <c r="C24" s="26" t="s">
        <v>5638</v>
      </c>
      <c r="D24" s="26">
        <v>365.0</v>
      </c>
      <c r="E24" s="133">
        <v>46116.0</v>
      </c>
      <c r="F24" s="26" t="s">
        <v>5647</v>
      </c>
      <c r="G24" s="26" t="s">
        <v>5631</v>
      </c>
      <c r="H24" s="26" t="s">
        <v>5632</v>
      </c>
      <c r="I24" s="26">
        <v>240.0</v>
      </c>
      <c r="J24" s="131"/>
      <c r="L24" s="26" t="s">
        <v>5648</v>
      </c>
    </row>
    <row r="25">
      <c r="A25" s="129" t="s">
        <v>837</v>
      </c>
      <c r="B25" s="105" t="s">
        <v>5649</v>
      </c>
      <c r="C25" s="105" t="s">
        <v>5650</v>
      </c>
      <c r="D25" s="109">
        <v>365.0</v>
      </c>
      <c r="E25" s="136">
        <v>46116.0</v>
      </c>
      <c r="F25" s="105" t="s">
        <v>5651</v>
      </c>
      <c r="G25" s="110" t="s">
        <v>5631</v>
      </c>
      <c r="H25" s="110" t="s">
        <v>5632</v>
      </c>
      <c r="I25" s="102">
        <v>180.0</v>
      </c>
      <c r="J25" s="137"/>
      <c r="K25" s="110"/>
      <c r="L25" s="110" t="s">
        <v>5648</v>
      </c>
    </row>
    <row r="26">
      <c r="A26" s="129" t="s">
        <v>840</v>
      </c>
      <c r="B26" s="132" t="s">
        <v>5634</v>
      </c>
      <c r="C26" s="26" t="s">
        <v>179</v>
      </c>
      <c r="D26" s="28">
        <v>30.0</v>
      </c>
      <c r="E26" s="131">
        <v>46115.0</v>
      </c>
      <c r="F26" s="26" t="s">
        <v>5643</v>
      </c>
      <c r="G26" s="26" t="s">
        <v>1037</v>
      </c>
      <c r="H26" s="26" t="s">
        <v>5632</v>
      </c>
      <c r="I26" s="26">
        <v>180.0</v>
      </c>
      <c r="J26" s="134">
        <v>46116.0</v>
      </c>
      <c r="L26" s="26" t="s">
        <v>5636</v>
      </c>
    </row>
    <row r="27">
      <c r="A27" s="129" t="s">
        <v>836</v>
      </c>
      <c r="B27" s="26" t="s">
        <v>5641</v>
      </c>
      <c r="C27" s="26" t="s">
        <v>179</v>
      </c>
      <c r="D27" s="26">
        <v>7.0</v>
      </c>
      <c r="E27" s="131">
        <v>46115.0</v>
      </c>
      <c r="F27" s="26" t="s">
        <v>5642</v>
      </c>
      <c r="G27" s="26" t="s">
        <v>1037</v>
      </c>
      <c r="H27" s="110" t="s">
        <v>5632</v>
      </c>
      <c r="I27" s="102">
        <v>180.0</v>
      </c>
      <c r="J27" s="131">
        <v>46115.0</v>
      </c>
    </row>
    <row r="28">
      <c r="A28" s="129" t="s">
        <v>840</v>
      </c>
      <c r="B28" s="130" t="s">
        <v>5644</v>
      </c>
      <c r="C28" s="26" t="s">
        <v>179</v>
      </c>
      <c r="D28" s="28">
        <v>6.0</v>
      </c>
      <c r="E28" s="131">
        <v>46113.0</v>
      </c>
      <c r="F28" s="26" t="s">
        <v>5635</v>
      </c>
      <c r="G28" s="26" t="s">
        <v>1037</v>
      </c>
      <c r="H28" s="26" t="s">
        <v>5632</v>
      </c>
      <c r="I28" s="26">
        <v>45.0</v>
      </c>
      <c r="J28" s="131">
        <v>46113.0</v>
      </c>
      <c r="L28" s="26" t="s">
        <v>5645</v>
      </c>
    </row>
    <row r="29">
      <c r="A29" s="129" t="s">
        <v>839</v>
      </c>
      <c r="B29" s="132" t="s">
        <v>5634</v>
      </c>
      <c r="C29" s="26" t="s">
        <v>179</v>
      </c>
      <c r="D29" s="102">
        <v>30.0</v>
      </c>
      <c r="E29" s="131">
        <v>46112.0</v>
      </c>
      <c r="F29" s="26" t="s">
        <v>5635</v>
      </c>
      <c r="G29" s="26" t="s">
        <v>1037</v>
      </c>
      <c r="H29" s="26" t="s">
        <v>5632</v>
      </c>
      <c r="I29" s="26">
        <v>180.0</v>
      </c>
      <c r="J29" s="131">
        <v>46112.0</v>
      </c>
      <c r="L29" s="26" t="s">
        <v>5636</v>
      </c>
    </row>
    <row r="30">
      <c r="A30" s="129" t="s">
        <v>831</v>
      </c>
      <c r="B30" s="130" t="s">
        <v>5637</v>
      </c>
      <c r="C30" s="26" t="s">
        <v>5638</v>
      </c>
      <c r="D30" s="102">
        <v>30.0</v>
      </c>
      <c r="E30" s="131">
        <v>46112.0</v>
      </c>
      <c r="F30" s="26" t="s">
        <v>5639</v>
      </c>
      <c r="G30" s="26" t="s">
        <v>1037</v>
      </c>
      <c r="H30" s="26" t="s">
        <v>5632</v>
      </c>
      <c r="I30" s="26">
        <v>15.0</v>
      </c>
      <c r="J30" s="131">
        <v>46112.0</v>
      </c>
      <c r="L30" s="26" t="s">
        <v>5640</v>
      </c>
    </row>
    <row r="31">
      <c r="A31" s="129" t="s">
        <v>833</v>
      </c>
      <c r="B31" s="132" t="s">
        <v>5634</v>
      </c>
      <c r="C31" s="26" t="s">
        <v>179</v>
      </c>
      <c r="D31" s="109">
        <v>204.0</v>
      </c>
      <c r="E31" s="131">
        <v>46111.0</v>
      </c>
      <c r="F31" s="26" t="s">
        <v>5643</v>
      </c>
      <c r="G31" s="26" t="s">
        <v>1037</v>
      </c>
      <c r="H31" s="26" t="s">
        <v>5632</v>
      </c>
      <c r="I31" s="26">
        <v>180.0</v>
      </c>
      <c r="J31" s="134">
        <v>46112.0</v>
      </c>
      <c r="L31" s="26" t="s">
        <v>5636</v>
      </c>
    </row>
    <row r="32">
      <c r="A32" s="129" t="s">
        <v>834</v>
      </c>
      <c r="B32" s="132" t="s">
        <v>5634</v>
      </c>
      <c r="C32" s="26" t="s">
        <v>179</v>
      </c>
      <c r="D32" s="28">
        <v>66.0</v>
      </c>
      <c r="E32" s="131">
        <v>46111.0</v>
      </c>
      <c r="F32" s="26" t="s">
        <v>5643</v>
      </c>
      <c r="G32" s="26" t="s">
        <v>1037</v>
      </c>
      <c r="H32" s="26" t="s">
        <v>5632</v>
      </c>
      <c r="I32" s="26">
        <v>180.0</v>
      </c>
      <c r="J32" s="134">
        <v>46112.0</v>
      </c>
      <c r="L32" s="26" t="s">
        <v>5636</v>
      </c>
    </row>
    <row r="33">
      <c r="A33" s="129" t="s">
        <v>835</v>
      </c>
      <c r="B33" s="26" t="s">
        <v>5641</v>
      </c>
      <c r="C33" s="26" t="s">
        <v>179</v>
      </c>
      <c r="D33" s="26">
        <v>7.0</v>
      </c>
      <c r="E33" s="131">
        <v>46108.0</v>
      </c>
      <c r="F33" s="26" t="s">
        <v>5642</v>
      </c>
      <c r="G33" s="26" t="s">
        <v>1037</v>
      </c>
      <c r="H33" s="110" t="s">
        <v>5632</v>
      </c>
      <c r="I33" s="102">
        <v>180.0</v>
      </c>
      <c r="J33" s="131">
        <v>46108.0</v>
      </c>
    </row>
    <row r="34">
      <c r="A34" s="129" t="s">
        <v>838</v>
      </c>
      <c r="B34" s="130" t="s">
        <v>5644</v>
      </c>
      <c r="C34" s="26" t="s">
        <v>179</v>
      </c>
      <c r="D34" s="26">
        <v>56.0</v>
      </c>
      <c r="E34" s="131">
        <v>46107.0</v>
      </c>
      <c r="F34" s="26" t="s">
        <v>5635</v>
      </c>
      <c r="G34" s="26" t="s">
        <v>1037</v>
      </c>
      <c r="H34" s="26" t="s">
        <v>5632</v>
      </c>
      <c r="I34" s="26">
        <v>45.0</v>
      </c>
      <c r="J34" s="131">
        <v>46107.0</v>
      </c>
      <c r="L34" s="26" t="s">
        <v>5645</v>
      </c>
    </row>
    <row r="35">
      <c r="A35" s="129" t="s">
        <v>837</v>
      </c>
      <c r="B35" s="132" t="s">
        <v>5634</v>
      </c>
      <c r="C35" s="26" t="s">
        <v>179</v>
      </c>
      <c r="D35" s="28">
        <v>69.0</v>
      </c>
      <c r="E35" s="131">
        <v>46106.0</v>
      </c>
      <c r="F35" s="26" t="s">
        <v>5643</v>
      </c>
      <c r="G35" s="26" t="s">
        <v>1037</v>
      </c>
      <c r="H35" s="26" t="s">
        <v>5632</v>
      </c>
      <c r="I35" s="26">
        <v>180.0</v>
      </c>
      <c r="J35" s="134">
        <v>46107.0</v>
      </c>
      <c r="L35" s="26" t="s">
        <v>5636</v>
      </c>
    </row>
    <row r="36">
      <c r="A36" s="129" t="s">
        <v>836</v>
      </c>
      <c r="B36" s="132" t="s">
        <v>5634</v>
      </c>
      <c r="C36" s="26" t="s">
        <v>179</v>
      </c>
      <c r="D36" s="28">
        <v>56.0</v>
      </c>
      <c r="E36" s="131">
        <v>46104.0</v>
      </c>
      <c r="F36" s="26" t="s">
        <v>5643</v>
      </c>
      <c r="G36" s="26" t="s">
        <v>1037</v>
      </c>
      <c r="H36" s="26" t="s">
        <v>5632</v>
      </c>
      <c r="I36" s="26">
        <v>180.0</v>
      </c>
      <c r="J36" s="138">
        <v>46105.0</v>
      </c>
      <c r="L36" s="26" t="s">
        <v>5636</v>
      </c>
    </row>
    <row r="37">
      <c r="A37" s="129" t="s">
        <v>831</v>
      </c>
      <c r="B37" s="26" t="s">
        <v>5641</v>
      </c>
      <c r="C37" s="26" t="s">
        <v>179</v>
      </c>
      <c r="D37" s="26">
        <v>7.0</v>
      </c>
      <c r="E37" s="131">
        <v>46101.0</v>
      </c>
      <c r="F37" s="26" t="s">
        <v>5642</v>
      </c>
      <c r="G37" s="26" t="s">
        <v>1037</v>
      </c>
      <c r="H37" s="110" t="s">
        <v>5632</v>
      </c>
      <c r="I37" s="102">
        <v>180.0</v>
      </c>
      <c r="J37" s="131">
        <v>46101.0</v>
      </c>
    </row>
    <row r="38">
      <c r="A38" s="129" t="s">
        <v>833</v>
      </c>
      <c r="B38" s="132" t="s">
        <v>5634</v>
      </c>
      <c r="C38" s="26" t="s">
        <v>179</v>
      </c>
      <c r="D38" s="28">
        <v>58.0</v>
      </c>
      <c r="E38" s="131">
        <v>46100.0</v>
      </c>
      <c r="F38" s="26" t="s">
        <v>5643</v>
      </c>
      <c r="G38" s="26" t="s">
        <v>1037</v>
      </c>
      <c r="H38" s="26" t="s">
        <v>5632</v>
      </c>
      <c r="I38" s="26">
        <v>180.0</v>
      </c>
      <c r="J38" s="134">
        <v>46101.0</v>
      </c>
      <c r="L38" s="26" t="s">
        <v>5636</v>
      </c>
    </row>
    <row r="39">
      <c r="A39" s="129" t="s">
        <v>834</v>
      </c>
      <c r="B39" s="132" t="s">
        <v>5634</v>
      </c>
      <c r="C39" s="26" t="s">
        <v>179</v>
      </c>
      <c r="D39" s="28">
        <v>114.0</v>
      </c>
      <c r="E39" s="131">
        <v>46100.0</v>
      </c>
      <c r="F39" s="26" t="s">
        <v>5643</v>
      </c>
      <c r="G39" s="26" t="s">
        <v>1037</v>
      </c>
      <c r="H39" s="26" t="s">
        <v>5632</v>
      </c>
      <c r="I39" s="26">
        <v>180.0</v>
      </c>
      <c r="J39" s="134">
        <v>46101.0</v>
      </c>
      <c r="L39" s="26" t="s">
        <v>5636</v>
      </c>
    </row>
    <row r="40">
      <c r="A40" s="129" t="s">
        <v>840</v>
      </c>
      <c r="B40" s="26" t="s">
        <v>5641</v>
      </c>
      <c r="C40" s="26" t="s">
        <v>179</v>
      </c>
      <c r="D40" s="26">
        <v>7.0</v>
      </c>
      <c r="E40" s="131">
        <v>46094.0</v>
      </c>
      <c r="F40" s="26" t="s">
        <v>5642</v>
      </c>
      <c r="G40" s="26" t="s">
        <v>1037</v>
      </c>
      <c r="H40" s="110" t="s">
        <v>5632</v>
      </c>
      <c r="I40" s="102">
        <v>180.0</v>
      </c>
      <c r="J40" s="131">
        <v>46094.0</v>
      </c>
    </row>
    <row r="41">
      <c r="A41" s="129" t="s">
        <v>835</v>
      </c>
      <c r="B41" s="132" t="s">
        <v>5634</v>
      </c>
      <c r="C41" s="26" t="s">
        <v>179</v>
      </c>
      <c r="D41" s="28">
        <v>55.0</v>
      </c>
      <c r="E41" s="131">
        <v>46090.0</v>
      </c>
      <c r="F41" s="26" t="s">
        <v>5643</v>
      </c>
      <c r="G41" s="26" t="s">
        <v>1037</v>
      </c>
      <c r="H41" s="26" t="s">
        <v>5632</v>
      </c>
      <c r="I41" s="26">
        <v>180.0</v>
      </c>
      <c r="J41" s="134">
        <v>46091.0</v>
      </c>
      <c r="L41" s="26" t="s">
        <v>5636</v>
      </c>
    </row>
    <row r="42">
      <c r="A42" s="129" t="s">
        <v>836</v>
      </c>
      <c r="B42" s="26" t="s">
        <v>5641</v>
      </c>
      <c r="C42" s="26" t="s">
        <v>179</v>
      </c>
      <c r="D42" s="26">
        <v>7.0</v>
      </c>
      <c r="E42" s="131">
        <v>46087.0</v>
      </c>
      <c r="F42" s="26" t="s">
        <v>5642</v>
      </c>
      <c r="G42" s="26" t="s">
        <v>1037</v>
      </c>
      <c r="H42" s="110" t="s">
        <v>5632</v>
      </c>
      <c r="I42" s="102">
        <v>180.0</v>
      </c>
      <c r="J42" s="131">
        <v>46087.0</v>
      </c>
    </row>
    <row r="43">
      <c r="A43" s="129" t="s">
        <v>839</v>
      </c>
      <c r="B43" s="132" t="s">
        <v>5634</v>
      </c>
      <c r="C43" s="26" t="s">
        <v>179</v>
      </c>
      <c r="D43" s="28">
        <v>142.0</v>
      </c>
      <c r="E43" s="131">
        <v>46085.0</v>
      </c>
      <c r="F43" s="26" t="s">
        <v>5643</v>
      </c>
      <c r="G43" s="26" t="s">
        <v>1037</v>
      </c>
      <c r="H43" s="26" t="s">
        <v>5632</v>
      </c>
      <c r="I43" s="26">
        <v>180.0</v>
      </c>
      <c r="J43" s="134">
        <v>46086.0</v>
      </c>
      <c r="L43" s="26" t="s">
        <v>5636</v>
      </c>
    </row>
    <row r="44">
      <c r="A44" s="129" t="s">
        <v>831</v>
      </c>
      <c r="B44" s="132" t="s">
        <v>5634</v>
      </c>
      <c r="C44" s="26" t="s">
        <v>179</v>
      </c>
      <c r="D44" s="102">
        <v>30.0</v>
      </c>
      <c r="E44" s="133">
        <v>46081.0</v>
      </c>
      <c r="F44" s="26" t="s">
        <v>5635</v>
      </c>
      <c r="G44" s="26" t="s">
        <v>1037</v>
      </c>
      <c r="H44" s="26" t="s">
        <v>5632</v>
      </c>
      <c r="I44" s="26">
        <v>180.0</v>
      </c>
      <c r="J44" s="131">
        <v>46082.0</v>
      </c>
      <c r="L44" s="26" t="s">
        <v>5636</v>
      </c>
    </row>
    <row r="45">
      <c r="A45" s="129" t="s">
        <v>838</v>
      </c>
      <c r="B45" s="130" t="s">
        <v>5637</v>
      </c>
      <c r="C45" s="26" t="s">
        <v>5638</v>
      </c>
      <c r="D45" s="102">
        <v>30.0</v>
      </c>
      <c r="E45" s="133">
        <v>46081.0</v>
      </c>
      <c r="F45" s="26" t="s">
        <v>5639</v>
      </c>
      <c r="G45" s="26" t="s">
        <v>1037</v>
      </c>
      <c r="H45" s="26" t="s">
        <v>5632</v>
      </c>
      <c r="I45" s="26">
        <v>15.0</v>
      </c>
      <c r="J45" s="131">
        <v>46082.0</v>
      </c>
      <c r="L45" s="26" t="s">
        <v>5640</v>
      </c>
    </row>
    <row r="46">
      <c r="A46" s="129" t="s">
        <v>833</v>
      </c>
      <c r="B46" s="26" t="s">
        <v>5641</v>
      </c>
      <c r="C46" s="26" t="s">
        <v>179</v>
      </c>
      <c r="D46" s="26">
        <v>14.0</v>
      </c>
      <c r="E46" s="131">
        <v>46080.0</v>
      </c>
      <c r="F46" s="26" t="s">
        <v>5642</v>
      </c>
      <c r="G46" s="26" t="s">
        <v>1037</v>
      </c>
      <c r="H46" s="110" t="s">
        <v>5632</v>
      </c>
      <c r="I46" s="102">
        <v>180.0</v>
      </c>
      <c r="J46" s="131">
        <v>46080.0</v>
      </c>
    </row>
    <row r="47">
      <c r="A47" s="129" t="s">
        <v>837</v>
      </c>
      <c r="B47" s="130" t="s">
        <v>5644</v>
      </c>
      <c r="C47" s="26" t="s">
        <v>179</v>
      </c>
      <c r="D47" s="28">
        <v>13.0</v>
      </c>
      <c r="E47" s="131">
        <v>46077.0</v>
      </c>
      <c r="F47" s="26" t="s">
        <v>5635</v>
      </c>
      <c r="G47" s="26" t="s">
        <v>1037</v>
      </c>
      <c r="H47" s="26" t="s">
        <v>5632</v>
      </c>
      <c r="I47" s="26">
        <v>45.0</v>
      </c>
      <c r="J47" s="131">
        <v>46077.0</v>
      </c>
      <c r="L47" s="26" t="s">
        <v>5645</v>
      </c>
    </row>
    <row r="48">
      <c r="A48" s="129" t="s">
        <v>834</v>
      </c>
      <c r="B48" s="26" t="s">
        <v>5641</v>
      </c>
      <c r="C48" s="26" t="s">
        <v>179</v>
      </c>
      <c r="D48" s="26">
        <v>7.0</v>
      </c>
      <c r="E48" s="131">
        <v>46066.0</v>
      </c>
      <c r="F48" s="26" t="s">
        <v>5642</v>
      </c>
      <c r="G48" s="26" t="s">
        <v>1037</v>
      </c>
      <c r="H48" s="110" t="s">
        <v>5632</v>
      </c>
      <c r="I48" s="102">
        <v>180.0</v>
      </c>
      <c r="J48" s="131">
        <v>46066.0</v>
      </c>
    </row>
    <row r="49">
      <c r="A49" s="129" t="s">
        <v>840</v>
      </c>
      <c r="B49" s="130" t="s">
        <v>5644</v>
      </c>
      <c r="C49" s="26" t="s">
        <v>179</v>
      </c>
      <c r="D49" s="26">
        <v>55.0</v>
      </c>
      <c r="E49" s="131">
        <v>46064.0</v>
      </c>
      <c r="F49" s="26" t="s">
        <v>5635</v>
      </c>
      <c r="G49" s="26" t="s">
        <v>1037</v>
      </c>
      <c r="H49" s="26" t="s">
        <v>5632</v>
      </c>
      <c r="I49" s="26">
        <v>45.0</v>
      </c>
      <c r="J49" s="131">
        <v>46064.0</v>
      </c>
      <c r="L49" s="26" t="s">
        <v>5645</v>
      </c>
    </row>
    <row r="50">
      <c r="A50" s="129" t="s">
        <v>835</v>
      </c>
      <c r="B50" s="26" t="s">
        <v>5641</v>
      </c>
      <c r="C50" s="26" t="s">
        <v>179</v>
      </c>
      <c r="D50" s="26">
        <v>7.0</v>
      </c>
      <c r="E50" s="131">
        <v>46059.0</v>
      </c>
      <c r="F50" s="26" t="s">
        <v>5642</v>
      </c>
      <c r="G50" s="26" t="s">
        <v>1037</v>
      </c>
      <c r="H50" s="110" t="s">
        <v>5632</v>
      </c>
      <c r="I50" s="102">
        <v>180.0</v>
      </c>
      <c r="J50" s="131">
        <v>46059.0</v>
      </c>
    </row>
    <row r="51">
      <c r="A51" s="129" t="s">
        <v>836</v>
      </c>
      <c r="B51" s="130" t="s">
        <v>5644</v>
      </c>
      <c r="C51" s="26" t="s">
        <v>179</v>
      </c>
      <c r="D51" s="28">
        <v>1.0</v>
      </c>
      <c r="E51" s="131">
        <v>46058.0</v>
      </c>
      <c r="F51" s="26" t="s">
        <v>5635</v>
      </c>
      <c r="G51" s="26" t="s">
        <v>1037</v>
      </c>
      <c r="H51" s="26" t="s">
        <v>5632</v>
      </c>
      <c r="I51" s="26">
        <v>45.0</v>
      </c>
      <c r="J51" s="131">
        <v>46058.0</v>
      </c>
      <c r="L51" s="26" t="s">
        <v>5645</v>
      </c>
    </row>
    <row r="52">
      <c r="A52" s="129" t="s">
        <v>831</v>
      </c>
      <c r="B52" s="130" t="s">
        <v>5644</v>
      </c>
      <c r="C52" s="26" t="s">
        <v>179</v>
      </c>
      <c r="D52" s="26">
        <v>54.0</v>
      </c>
      <c r="E52" s="131">
        <v>46057.0</v>
      </c>
      <c r="F52" s="26" t="s">
        <v>5635</v>
      </c>
      <c r="G52" s="26" t="s">
        <v>1037</v>
      </c>
      <c r="H52" s="26" t="s">
        <v>5632</v>
      </c>
      <c r="I52" s="26">
        <v>45.0</v>
      </c>
      <c r="J52" s="131">
        <v>46057.0</v>
      </c>
      <c r="L52" s="26" t="s">
        <v>5645</v>
      </c>
    </row>
    <row r="53">
      <c r="A53" s="129" t="s">
        <v>833</v>
      </c>
      <c r="B53" s="130" t="s">
        <v>5644</v>
      </c>
      <c r="C53" s="26" t="s">
        <v>179</v>
      </c>
      <c r="D53" s="28">
        <v>8.0</v>
      </c>
      <c r="E53" s="131">
        <v>46056.0</v>
      </c>
      <c r="F53" s="26" t="s">
        <v>5635</v>
      </c>
      <c r="G53" s="26" t="s">
        <v>1037</v>
      </c>
      <c r="H53" s="26" t="s">
        <v>5632</v>
      </c>
      <c r="I53" s="26">
        <v>45.0</v>
      </c>
      <c r="J53" s="131">
        <v>46056.0</v>
      </c>
      <c r="L53" s="26" t="s">
        <v>5645</v>
      </c>
    </row>
    <row r="54">
      <c r="A54" s="129" t="s">
        <v>834</v>
      </c>
      <c r="B54" s="132" t="s">
        <v>5634</v>
      </c>
      <c r="C54" s="26" t="s">
        <v>179</v>
      </c>
      <c r="D54" s="102">
        <v>30.0</v>
      </c>
      <c r="E54" s="131">
        <v>46052.0</v>
      </c>
      <c r="F54" s="26" t="s">
        <v>5635</v>
      </c>
      <c r="G54" s="26" t="s">
        <v>1037</v>
      </c>
      <c r="H54" s="26" t="s">
        <v>5632</v>
      </c>
      <c r="I54" s="26">
        <v>180.0</v>
      </c>
      <c r="J54" s="131">
        <v>46052.0</v>
      </c>
      <c r="L54" s="26" t="s">
        <v>5636</v>
      </c>
    </row>
    <row r="55">
      <c r="A55" s="129" t="s">
        <v>839</v>
      </c>
      <c r="B55" s="130" t="s">
        <v>5637</v>
      </c>
      <c r="C55" s="26" t="s">
        <v>5638</v>
      </c>
      <c r="D55" s="102">
        <v>30.0</v>
      </c>
      <c r="E55" s="131">
        <v>46052.0</v>
      </c>
      <c r="F55" s="26" t="s">
        <v>5639</v>
      </c>
      <c r="G55" s="26" t="s">
        <v>1037</v>
      </c>
      <c r="H55" s="26" t="s">
        <v>5632</v>
      </c>
      <c r="I55" s="26">
        <v>15.0</v>
      </c>
      <c r="J55" s="131">
        <v>46052.0</v>
      </c>
      <c r="L55" s="26" t="s">
        <v>5640</v>
      </c>
    </row>
    <row r="56">
      <c r="A56" s="129" t="s">
        <v>835</v>
      </c>
      <c r="B56" s="26" t="s">
        <v>5641</v>
      </c>
      <c r="C56" s="26" t="s">
        <v>179</v>
      </c>
      <c r="D56" s="26">
        <v>7.0</v>
      </c>
      <c r="E56" s="131">
        <v>46052.0</v>
      </c>
      <c r="F56" s="26" t="s">
        <v>5642</v>
      </c>
      <c r="G56" s="26" t="s">
        <v>1037</v>
      </c>
      <c r="H56" s="110" t="s">
        <v>5632</v>
      </c>
      <c r="I56" s="102">
        <v>180.0</v>
      </c>
      <c r="J56" s="131">
        <v>46052.0</v>
      </c>
    </row>
    <row r="57">
      <c r="A57" s="129" t="s">
        <v>836</v>
      </c>
      <c r="B57" s="132" t="s">
        <v>5634</v>
      </c>
      <c r="C57" s="26" t="s">
        <v>179</v>
      </c>
      <c r="D57" s="28">
        <v>21.0</v>
      </c>
      <c r="E57" s="131">
        <v>46049.0</v>
      </c>
      <c r="F57" s="26" t="s">
        <v>5643</v>
      </c>
      <c r="G57" s="26" t="s">
        <v>1037</v>
      </c>
      <c r="H57" s="26" t="s">
        <v>5632</v>
      </c>
      <c r="I57" s="26">
        <v>180.0</v>
      </c>
      <c r="J57" s="134">
        <v>46050.0</v>
      </c>
      <c r="L57" s="26" t="s">
        <v>5636</v>
      </c>
    </row>
    <row r="58">
      <c r="A58" s="129" t="s">
        <v>838</v>
      </c>
      <c r="B58" s="132" t="s">
        <v>5634</v>
      </c>
      <c r="C58" s="26" t="s">
        <v>179</v>
      </c>
      <c r="D58" s="28">
        <v>53.0</v>
      </c>
      <c r="E58" s="131">
        <v>46048.0</v>
      </c>
      <c r="F58" s="26" t="s">
        <v>5643</v>
      </c>
      <c r="G58" s="26" t="s">
        <v>1037</v>
      </c>
      <c r="H58" s="26" t="s">
        <v>5632</v>
      </c>
      <c r="I58" s="26">
        <v>180.0</v>
      </c>
      <c r="J58" s="134">
        <v>46049.0</v>
      </c>
      <c r="L58" s="26" t="s">
        <v>5636</v>
      </c>
    </row>
    <row r="59">
      <c r="A59" s="129" t="s">
        <v>831</v>
      </c>
      <c r="B59" s="130" t="s">
        <v>5644</v>
      </c>
      <c r="C59" s="26" t="s">
        <v>179</v>
      </c>
      <c r="D59" s="26">
        <v>53.0</v>
      </c>
      <c r="E59" s="131">
        <v>46048.0</v>
      </c>
      <c r="F59" s="26" t="s">
        <v>5635</v>
      </c>
      <c r="G59" s="26" t="s">
        <v>1037</v>
      </c>
      <c r="H59" s="26" t="s">
        <v>5632</v>
      </c>
      <c r="I59" s="26">
        <v>45.0</v>
      </c>
      <c r="J59" s="131">
        <v>46048.0</v>
      </c>
      <c r="L59" s="26" t="s">
        <v>5645</v>
      </c>
    </row>
    <row r="60">
      <c r="A60" s="129" t="s">
        <v>833</v>
      </c>
      <c r="B60" s="132" t="s">
        <v>5634</v>
      </c>
      <c r="C60" s="26" t="s">
        <v>179</v>
      </c>
      <c r="D60" s="28">
        <v>128.0</v>
      </c>
      <c r="E60" s="131">
        <v>46045.0</v>
      </c>
      <c r="F60" s="26" t="s">
        <v>5643</v>
      </c>
      <c r="G60" s="26" t="s">
        <v>1037</v>
      </c>
      <c r="H60" s="26" t="s">
        <v>5632</v>
      </c>
      <c r="I60" s="26">
        <v>180.0</v>
      </c>
      <c r="J60" s="134">
        <v>46046.0</v>
      </c>
      <c r="L60" s="26" t="s">
        <v>5636</v>
      </c>
    </row>
    <row r="61">
      <c r="A61" s="129" t="s">
        <v>834</v>
      </c>
      <c r="B61" s="130" t="s">
        <v>5644</v>
      </c>
      <c r="C61" s="26" t="s">
        <v>179</v>
      </c>
      <c r="D61" s="28">
        <v>30.0</v>
      </c>
      <c r="E61" s="131">
        <v>46045.0</v>
      </c>
      <c r="F61" s="26" t="s">
        <v>5635</v>
      </c>
      <c r="G61" s="26" t="s">
        <v>1037</v>
      </c>
      <c r="H61" s="26" t="s">
        <v>5632</v>
      </c>
      <c r="I61" s="26">
        <v>45.0</v>
      </c>
      <c r="J61" s="131">
        <v>46045.0</v>
      </c>
      <c r="L61" s="26" t="s">
        <v>5645</v>
      </c>
    </row>
    <row r="62">
      <c r="A62" s="129" t="s">
        <v>835</v>
      </c>
      <c r="B62" s="26" t="s">
        <v>5641</v>
      </c>
      <c r="C62" s="26" t="s">
        <v>179</v>
      </c>
      <c r="D62" s="26">
        <v>7.0</v>
      </c>
      <c r="E62" s="131">
        <v>46045.0</v>
      </c>
      <c r="F62" s="26" t="s">
        <v>5642</v>
      </c>
      <c r="G62" s="26" t="s">
        <v>1037</v>
      </c>
      <c r="H62" s="110" t="s">
        <v>5632</v>
      </c>
      <c r="I62" s="102">
        <v>180.0</v>
      </c>
      <c r="J62" s="131">
        <v>46045.0</v>
      </c>
    </row>
    <row r="63">
      <c r="A63" s="129" t="s">
        <v>837</v>
      </c>
      <c r="B63" s="132" t="s">
        <v>5634</v>
      </c>
      <c r="C63" s="26" t="s">
        <v>179</v>
      </c>
      <c r="D63" s="28">
        <v>55.0</v>
      </c>
      <c r="E63" s="131">
        <v>46042.0</v>
      </c>
      <c r="F63" s="26" t="s">
        <v>5643</v>
      </c>
      <c r="G63" s="26" t="s">
        <v>1037</v>
      </c>
      <c r="H63" s="26" t="s">
        <v>5632</v>
      </c>
      <c r="I63" s="26">
        <v>180.0</v>
      </c>
      <c r="J63" s="134">
        <v>46043.0</v>
      </c>
      <c r="L63" s="26" t="s">
        <v>5636</v>
      </c>
    </row>
    <row r="64">
      <c r="A64" s="129" t="s">
        <v>840</v>
      </c>
      <c r="B64" s="26" t="s">
        <v>5641</v>
      </c>
      <c r="C64" s="26" t="s">
        <v>179</v>
      </c>
      <c r="D64" s="26">
        <v>7.0</v>
      </c>
      <c r="E64" s="131">
        <v>46038.0</v>
      </c>
      <c r="F64" s="26" t="s">
        <v>5642</v>
      </c>
      <c r="G64" s="26" t="s">
        <v>1037</v>
      </c>
      <c r="H64" s="110" t="s">
        <v>5632</v>
      </c>
      <c r="I64" s="102">
        <v>180.0</v>
      </c>
      <c r="J64" s="131">
        <v>46038.0</v>
      </c>
    </row>
    <row r="65">
      <c r="A65" s="129" t="s">
        <v>839</v>
      </c>
      <c r="B65" s="132" t="s">
        <v>5634</v>
      </c>
      <c r="C65" s="26" t="s">
        <v>179</v>
      </c>
      <c r="D65" s="28">
        <v>93.0</v>
      </c>
      <c r="E65" s="131">
        <v>46037.0</v>
      </c>
      <c r="F65" s="26" t="s">
        <v>5643</v>
      </c>
      <c r="G65" s="26" t="s">
        <v>1037</v>
      </c>
      <c r="H65" s="26" t="s">
        <v>5632</v>
      </c>
      <c r="I65" s="26">
        <v>180.0</v>
      </c>
      <c r="J65" s="134">
        <v>46038.0</v>
      </c>
      <c r="L65" s="26" t="s">
        <v>5636</v>
      </c>
    </row>
    <row r="66">
      <c r="A66" s="129" t="s">
        <v>838</v>
      </c>
      <c r="B66" s="132" t="s">
        <v>5634</v>
      </c>
      <c r="C66" s="26" t="s">
        <v>179</v>
      </c>
      <c r="D66" s="26">
        <v>110.0</v>
      </c>
      <c r="E66" s="131">
        <v>46035.0</v>
      </c>
      <c r="F66" s="26" t="s">
        <v>5643</v>
      </c>
      <c r="G66" s="26" t="s">
        <v>1037</v>
      </c>
      <c r="H66" s="26" t="s">
        <v>5632</v>
      </c>
      <c r="I66" s="26">
        <v>180.0</v>
      </c>
      <c r="J66" s="134">
        <v>46036.0</v>
      </c>
      <c r="L66" s="26" t="s">
        <v>5636</v>
      </c>
    </row>
    <row r="67">
      <c r="A67" s="129" t="s">
        <v>836</v>
      </c>
      <c r="B67" s="26" t="s">
        <v>5641</v>
      </c>
      <c r="C67" s="26" t="s">
        <v>179</v>
      </c>
      <c r="D67" s="26">
        <v>7.0</v>
      </c>
      <c r="E67" s="131">
        <v>46031.0</v>
      </c>
      <c r="F67" s="26" t="s">
        <v>5642</v>
      </c>
      <c r="G67" s="26" t="s">
        <v>1037</v>
      </c>
      <c r="H67" s="110" t="s">
        <v>5632</v>
      </c>
      <c r="I67" s="102">
        <v>180.0</v>
      </c>
      <c r="J67" s="131">
        <v>46031.0</v>
      </c>
    </row>
    <row r="68">
      <c r="A68" s="129" t="s">
        <v>831</v>
      </c>
      <c r="B68" s="132" t="s">
        <v>5634</v>
      </c>
      <c r="C68" s="26" t="s">
        <v>179</v>
      </c>
      <c r="D68" s="28">
        <v>112.0</v>
      </c>
      <c r="E68" s="131">
        <v>46028.0</v>
      </c>
      <c r="F68" s="26" t="s">
        <v>5643</v>
      </c>
      <c r="G68" s="26" t="s">
        <v>1037</v>
      </c>
      <c r="H68" s="26" t="s">
        <v>5632</v>
      </c>
      <c r="I68" s="26">
        <v>180.0</v>
      </c>
      <c r="J68" s="138">
        <v>46029.0</v>
      </c>
      <c r="L68" s="26" t="s">
        <v>5636</v>
      </c>
    </row>
    <row r="69">
      <c r="A69" s="129" t="s">
        <v>833</v>
      </c>
      <c r="B69" s="26" t="s">
        <v>5641</v>
      </c>
      <c r="C69" s="26" t="s">
        <v>179</v>
      </c>
      <c r="D69" s="26">
        <v>7.0</v>
      </c>
      <c r="E69" s="131">
        <v>46024.0</v>
      </c>
      <c r="F69" s="26" t="s">
        <v>5642</v>
      </c>
      <c r="G69" s="26" t="s">
        <v>1037</v>
      </c>
      <c r="H69" s="110" t="s">
        <v>5632</v>
      </c>
      <c r="I69" s="102">
        <v>180.0</v>
      </c>
      <c r="J69" s="131">
        <v>46024.0</v>
      </c>
    </row>
    <row r="70">
      <c r="A70" s="129" t="s">
        <v>834</v>
      </c>
      <c r="B70" s="132" t="s">
        <v>5634</v>
      </c>
      <c r="C70" s="26" t="s">
        <v>179</v>
      </c>
      <c r="D70" s="102">
        <v>30.0</v>
      </c>
      <c r="E70" s="131">
        <v>46022.0</v>
      </c>
      <c r="F70" s="26" t="s">
        <v>5635</v>
      </c>
      <c r="G70" s="26" t="s">
        <v>1037</v>
      </c>
      <c r="H70" s="26" t="s">
        <v>5632</v>
      </c>
      <c r="I70" s="26">
        <v>180.0</v>
      </c>
      <c r="J70" s="131">
        <v>46022.0</v>
      </c>
      <c r="L70" s="26" t="s">
        <v>5636</v>
      </c>
    </row>
    <row r="71">
      <c r="A71" s="130" t="s">
        <v>5652</v>
      </c>
      <c r="B71" s="130" t="s">
        <v>5637</v>
      </c>
      <c r="C71" s="26" t="s">
        <v>5638</v>
      </c>
      <c r="D71" s="102">
        <v>30.0</v>
      </c>
      <c r="E71" s="131">
        <v>46022.0</v>
      </c>
      <c r="F71" s="26" t="s">
        <v>5639</v>
      </c>
      <c r="G71" s="26" t="s">
        <v>1037</v>
      </c>
      <c r="H71" s="26" t="s">
        <v>5632</v>
      </c>
      <c r="I71" s="26">
        <v>15.0</v>
      </c>
      <c r="J71" s="131">
        <v>46022.0</v>
      </c>
      <c r="L71" s="26" t="s">
        <v>5640</v>
      </c>
    </row>
    <row r="72">
      <c r="A72" s="130" t="s">
        <v>5652</v>
      </c>
      <c r="B72" s="130" t="s">
        <v>5629</v>
      </c>
      <c r="C72" s="26" t="s">
        <v>179</v>
      </c>
      <c r="D72" s="26">
        <v>180.0</v>
      </c>
      <c r="E72" s="131">
        <v>46022.0</v>
      </c>
      <c r="F72" s="26" t="s">
        <v>5630</v>
      </c>
      <c r="G72" s="26" t="s">
        <v>1037</v>
      </c>
      <c r="H72" s="26" t="s">
        <v>5632</v>
      </c>
      <c r="I72" s="26">
        <v>180.0</v>
      </c>
      <c r="J72" s="131">
        <v>46022.0</v>
      </c>
      <c r="L72" s="26" t="s">
        <v>5633</v>
      </c>
    </row>
    <row r="73">
      <c r="A73" s="130" t="s">
        <v>5652</v>
      </c>
      <c r="B73" s="130" t="s">
        <v>5629</v>
      </c>
      <c r="C73" s="26" t="s">
        <v>179</v>
      </c>
      <c r="D73" s="26">
        <v>180.0</v>
      </c>
      <c r="E73" s="131">
        <v>46022.0</v>
      </c>
      <c r="F73" s="26" t="s">
        <v>5630</v>
      </c>
      <c r="G73" s="26" t="s">
        <v>1037</v>
      </c>
      <c r="H73" s="26" t="s">
        <v>5632</v>
      </c>
      <c r="I73" s="26">
        <v>180.0</v>
      </c>
      <c r="J73" s="131">
        <v>46022.0</v>
      </c>
      <c r="L73" s="26" t="s">
        <v>5633</v>
      </c>
    </row>
    <row r="74">
      <c r="A74" s="130" t="s">
        <v>5652</v>
      </c>
      <c r="B74" s="26" t="s">
        <v>5641</v>
      </c>
      <c r="C74" s="26" t="s">
        <v>179</v>
      </c>
      <c r="D74" s="26">
        <v>7.0</v>
      </c>
      <c r="E74" s="131">
        <v>46017.0</v>
      </c>
      <c r="F74" s="26" t="s">
        <v>5642</v>
      </c>
      <c r="G74" s="26" t="s">
        <v>1037</v>
      </c>
      <c r="H74" s="110" t="s">
        <v>5632</v>
      </c>
      <c r="I74" s="102">
        <v>180.0</v>
      </c>
      <c r="J74" s="131">
        <v>46017.0</v>
      </c>
    </row>
    <row r="75">
      <c r="A75" s="130" t="s">
        <v>5652</v>
      </c>
      <c r="B75" s="130" t="s">
        <v>5644</v>
      </c>
      <c r="C75" s="26" t="s">
        <v>179</v>
      </c>
      <c r="D75" s="26">
        <v>52.0</v>
      </c>
      <c r="E75" s="131">
        <v>46015.0</v>
      </c>
      <c r="F75" s="26" t="s">
        <v>5635</v>
      </c>
      <c r="G75" s="26" t="s">
        <v>1037</v>
      </c>
      <c r="H75" s="26" t="s">
        <v>5632</v>
      </c>
      <c r="I75" s="26">
        <v>45.0</v>
      </c>
      <c r="J75" s="131">
        <v>46015.0</v>
      </c>
      <c r="L75" s="26" t="s">
        <v>5645</v>
      </c>
    </row>
    <row r="76">
      <c r="A76" s="130" t="s">
        <v>5652</v>
      </c>
      <c r="B76" s="130" t="s">
        <v>5644</v>
      </c>
      <c r="C76" s="26" t="s">
        <v>179</v>
      </c>
      <c r="D76" s="28">
        <v>7.0</v>
      </c>
      <c r="E76" s="131">
        <v>46010.0</v>
      </c>
      <c r="F76" s="26" t="s">
        <v>5635</v>
      </c>
      <c r="G76" s="26" t="s">
        <v>1037</v>
      </c>
      <c r="H76" s="26" t="s">
        <v>5632</v>
      </c>
      <c r="I76" s="26">
        <v>45.0</v>
      </c>
      <c r="J76" s="131">
        <v>46010.0</v>
      </c>
      <c r="L76" s="26" t="s">
        <v>5645</v>
      </c>
    </row>
    <row r="77">
      <c r="A77" s="130" t="s">
        <v>5652</v>
      </c>
      <c r="B77" s="26" t="s">
        <v>5641</v>
      </c>
      <c r="C77" s="26" t="s">
        <v>179</v>
      </c>
      <c r="D77" s="26">
        <v>7.0</v>
      </c>
      <c r="E77" s="131">
        <v>46010.0</v>
      </c>
      <c r="F77" s="26" t="s">
        <v>5642</v>
      </c>
      <c r="G77" s="26" t="s">
        <v>1037</v>
      </c>
      <c r="H77" s="110" t="s">
        <v>5632</v>
      </c>
      <c r="I77" s="102">
        <v>180.0</v>
      </c>
      <c r="J77" s="131">
        <v>46010.0</v>
      </c>
    </row>
    <row r="78">
      <c r="A78" s="130" t="s">
        <v>5652</v>
      </c>
      <c r="B78" s="130" t="s">
        <v>5644</v>
      </c>
      <c r="C78" s="26" t="s">
        <v>179</v>
      </c>
      <c r="D78" s="26">
        <v>51.0</v>
      </c>
      <c r="E78" s="131">
        <v>46003.0</v>
      </c>
      <c r="F78" s="26" t="s">
        <v>5635</v>
      </c>
      <c r="G78" s="26" t="s">
        <v>1037</v>
      </c>
      <c r="H78" s="26" t="s">
        <v>5632</v>
      </c>
      <c r="I78" s="26">
        <v>45.0</v>
      </c>
      <c r="J78" s="131">
        <v>46003.0</v>
      </c>
      <c r="L78" s="26" t="s">
        <v>5645</v>
      </c>
    </row>
    <row r="79">
      <c r="A79" s="130" t="s">
        <v>5652</v>
      </c>
      <c r="B79" s="26" t="s">
        <v>5641</v>
      </c>
      <c r="C79" s="26" t="s">
        <v>179</v>
      </c>
      <c r="D79" s="26">
        <v>7.0</v>
      </c>
      <c r="E79" s="131">
        <v>46003.0</v>
      </c>
      <c r="F79" s="26" t="s">
        <v>5642</v>
      </c>
      <c r="G79" s="26" t="s">
        <v>1037</v>
      </c>
      <c r="H79" s="110" t="s">
        <v>5632</v>
      </c>
      <c r="I79" s="102">
        <v>180.0</v>
      </c>
      <c r="J79" s="131">
        <v>46003.0</v>
      </c>
    </row>
    <row r="80">
      <c r="A80" s="130" t="s">
        <v>5652</v>
      </c>
      <c r="B80" s="130" t="s">
        <v>5644</v>
      </c>
      <c r="C80" s="26" t="s">
        <v>179</v>
      </c>
      <c r="D80" s="28">
        <v>11.0</v>
      </c>
      <c r="E80" s="131">
        <v>46000.0</v>
      </c>
      <c r="F80" s="26" t="s">
        <v>5635</v>
      </c>
      <c r="G80" s="26" t="s">
        <v>1037</v>
      </c>
      <c r="H80" s="26" t="s">
        <v>5632</v>
      </c>
      <c r="I80" s="26">
        <v>45.0</v>
      </c>
      <c r="J80" s="131">
        <v>46000.0</v>
      </c>
      <c r="L80" s="26" t="s">
        <v>5645</v>
      </c>
    </row>
    <row r="81">
      <c r="A81" s="130" t="s">
        <v>5652</v>
      </c>
      <c r="B81" s="26" t="s">
        <v>5641</v>
      </c>
      <c r="C81" s="26" t="s">
        <v>179</v>
      </c>
      <c r="D81" s="26">
        <v>7.0</v>
      </c>
      <c r="E81" s="131">
        <v>45996.0</v>
      </c>
      <c r="F81" s="26" t="s">
        <v>5642</v>
      </c>
      <c r="G81" s="26" t="s">
        <v>1037</v>
      </c>
      <c r="H81" s="110" t="s">
        <v>5632</v>
      </c>
      <c r="I81" s="102">
        <v>180.0</v>
      </c>
      <c r="J81" s="131">
        <v>45996.0</v>
      </c>
    </row>
    <row r="82">
      <c r="A82" s="130" t="s">
        <v>5652</v>
      </c>
      <c r="B82" s="132" t="s">
        <v>5634</v>
      </c>
      <c r="C82" s="26" t="s">
        <v>179</v>
      </c>
      <c r="D82" s="28">
        <v>84.0</v>
      </c>
      <c r="E82" s="131">
        <v>45995.0</v>
      </c>
      <c r="F82" s="26" t="s">
        <v>5643</v>
      </c>
      <c r="G82" s="26" t="s">
        <v>1037</v>
      </c>
      <c r="H82" s="26" t="s">
        <v>5632</v>
      </c>
      <c r="I82" s="26">
        <v>180.0</v>
      </c>
      <c r="J82" s="134">
        <v>45996.0</v>
      </c>
      <c r="L82" s="26" t="s">
        <v>5636</v>
      </c>
    </row>
    <row r="83">
      <c r="A83" s="130" t="s">
        <v>5652</v>
      </c>
      <c r="B83" s="132" t="s">
        <v>5634</v>
      </c>
      <c r="C83" s="26" t="s">
        <v>179</v>
      </c>
      <c r="D83" s="102">
        <v>30.0</v>
      </c>
      <c r="E83" s="131">
        <v>45992.0</v>
      </c>
      <c r="F83" s="26" t="s">
        <v>5635</v>
      </c>
      <c r="G83" s="26" t="s">
        <v>1037</v>
      </c>
      <c r="H83" s="26" t="s">
        <v>5632</v>
      </c>
      <c r="I83" s="26">
        <v>180.0</v>
      </c>
      <c r="J83" s="131">
        <v>45992.0</v>
      </c>
      <c r="L83" s="26" t="s">
        <v>5636</v>
      </c>
    </row>
    <row r="84">
      <c r="A84" s="130" t="s">
        <v>5652</v>
      </c>
      <c r="B84" s="130" t="s">
        <v>5637</v>
      </c>
      <c r="C84" s="26" t="s">
        <v>5638</v>
      </c>
      <c r="D84" s="102">
        <v>30.0</v>
      </c>
      <c r="E84" s="131">
        <v>45992.0</v>
      </c>
      <c r="F84" s="26" t="s">
        <v>5639</v>
      </c>
      <c r="G84" s="26" t="s">
        <v>1037</v>
      </c>
      <c r="H84" s="26" t="s">
        <v>5632</v>
      </c>
      <c r="I84" s="26">
        <v>15.0</v>
      </c>
      <c r="J84" s="131">
        <v>45992.0</v>
      </c>
      <c r="L84" s="26" t="s">
        <v>5640</v>
      </c>
    </row>
    <row r="85">
      <c r="A85" s="130" t="s">
        <v>5652</v>
      </c>
      <c r="B85" s="130" t="s">
        <v>5644</v>
      </c>
      <c r="C85" s="26" t="s">
        <v>179</v>
      </c>
      <c r="D85" s="26">
        <v>50.0</v>
      </c>
      <c r="E85" s="131">
        <v>45989.0</v>
      </c>
      <c r="F85" s="26" t="s">
        <v>5635</v>
      </c>
      <c r="G85" s="26" t="s">
        <v>1037</v>
      </c>
      <c r="H85" s="26" t="s">
        <v>5632</v>
      </c>
      <c r="I85" s="26">
        <v>45.0</v>
      </c>
      <c r="J85" s="131">
        <v>45989.0</v>
      </c>
      <c r="L85" s="26" t="s">
        <v>5645</v>
      </c>
    </row>
    <row r="86">
      <c r="A86" s="130" t="s">
        <v>5652</v>
      </c>
      <c r="B86" s="26" t="s">
        <v>5641</v>
      </c>
      <c r="C86" s="26" t="s">
        <v>179</v>
      </c>
      <c r="D86" s="26">
        <v>7.0</v>
      </c>
      <c r="E86" s="131">
        <v>45989.0</v>
      </c>
      <c r="F86" s="26" t="s">
        <v>5642</v>
      </c>
      <c r="G86" s="26" t="s">
        <v>1037</v>
      </c>
      <c r="H86" s="110" t="s">
        <v>5632</v>
      </c>
      <c r="I86" s="102">
        <v>180.0</v>
      </c>
      <c r="J86" s="131">
        <v>45989.0</v>
      </c>
    </row>
    <row r="87">
      <c r="A87" s="130" t="s">
        <v>5652</v>
      </c>
      <c r="B87" s="132" t="s">
        <v>5634</v>
      </c>
      <c r="C87" s="26" t="s">
        <v>179</v>
      </c>
      <c r="D87" s="28">
        <v>122.0</v>
      </c>
      <c r="E87" s="131">
        <v>45987.0</v>
      </c>
      <c r="F87" s="26" t="s">
        <v>5643</v>
      </c>
      <c r="G87" s="26" t="s">
        <v>1037</v>
      </c>
      <c r="H87" s="26" t="s">
        <v>5632</v>
      </c>
      <c r="I87" s="26">
        <v>180.0</v>
      </c>
      <c r="J87" s="138">
        <v>45988.0</v>
      </c>
      <c r="L87" s="26" t="s">
        <v>5636</v>
      </c>
    </row>
    <row r="88">
      <c r="A88" s="130" t="s">
        <v>5653</v>
      </c>
      <c r="B88" s="132" t="s">
        <v>5634</v>
      </c>
      <c r="C88" s="26" t="s">
        <v>179</v>
      </c>
      <c r="D88" s="28">
        <v>76.0</v>
      </c>
      <c r="E88" s="131">
        <v>45986.0</v>
      </c>
      <c r="F88" s="26" t="s">
        <v>5643</v>
      </c>
      <c r="G88" s="26" t="s">
        <v>1037</v>
      </c>
      <c r="H88" s="26" t="s">
        <v>5632</v>
      </c>
      <c r="I88" s="26">
        <v>180.0</v>
      </c>
      <c r="J88" s="134">
        <v>45987.0</v>
      </c>
      <c r="L88" s="26" t="s">
        <v>5636</v>
      </c>
    </row>
    <row r="89">
      <c r="A89" s="130" t="s">
        <v>5653</v>
      </c>
      <c r="B89" s="26" t="s">
        <v>5641</v>
      </c>
      <c r="C89" s="26" t="s">
        <v>179</v>
      </c>
      <c r="D89" s="26">
        <v>7.0</v>
      </c>
      <c r="E89" s="131">
        <v>45982.0</v>
      </c>
      <c r="F89" s="26" t="s">
        <v>5642</v>
      </c>
      <c r="G89" s="26" t="s">
        <v>1037</v>
      </c>
      <c r="H89" s="110" t="s">
        <v>5632</v>
      </c>
      <c r="I89" s="102">
        <v>180.0</v>
      </c>
      <c r="J89" s="131">
        <v>45982.0</v>
      </c>
    </row>
    <row r="90">
      <c r="A90" s="130" t="s">
        <v>5653</v>
      </c>
      <c r="B90" s="26" t="s">
        <v>5641</v>
      </c>
      <c r="C90" s="26" t="s">
        <v>179</v>
      </c>
      <c r="D90" s="26">
        <v>7.0</v>
      </c>
      <c r="E90" s="131">
        <v>45975.0</v>
      </c>
      <c r="F90" s="26" t="s">
        <v>5642</v>
      </c>
      <c r="G90" s="26" t="s">
        <v>1037</v>
      </c>
      <c r="H90" s="110" t="s">
        <v>5632</v>
      </c>
      <c r="I90" s="102">
        <v>180.0</v>
      </c>
      <c r="J90" s="131">
        <v>45975.0</v>
      </c>
    </row>
    <row r="91">
      <c r="A91" s="130" t="s">
        <v>5653</v>
      </c>
      <c r="B91" s="26" t="s">
        <v>5641</v>
      </c>
      <c r="C91" s="26" t="s">
        <v>179</v>
      </c>
      <c r="D91" s="26">
        <v>7.0</v>
      </c>
      <c r="E91" s="131">
        <v>45968.0</v>
      </c>
      <c r="F91" s="26" t="s">
        <v>5642</v>
      </c>
      <c r="G91" s="26" t="s">
        <v>1037</v>
      </c>
      <c r="H91" s="110" t="s">
        <v>5632</v>
      </c>
      <c r="I91" s="102">
        <v>180.0</v>
      </c>
      <c r="J91" s="131">
        <v>45968.0</v>
      </c>
    </row>
    <row r="92">
      <c r="A92" s="130" t="s">
        <v>5653</v>
      </c>
      <c r="B92" s="130" t="s">
        <v>5644</v>
      </c>
      <c r="C92" s="26" t="s">
        <v>179</v>
      </c>
      <c r="D92" s="28">
        <v>12.0</v>
      </c>
      <c r="E92" s="131">
        <v>45965.0</v>
      </c>
      <c r="F92" s="26" t="s">
        <v>5635</v>
      </c>
      <c r="G92" s="26" t="s">
        <v>1037</v>
      </c>
      <c r="H92" s="26" t="s">
        <v>5632</v>
      </c>
      <c r="I92" s="26">
        <v>45.0</v>
      </c>
      <c r="J92" s="131">
        <v>45965.0</v>
      </c>
      <c r="L92" s="26" t="s">
        <v>5645</v>
      </c>
    </row>
    <row r="93">
      <c r="A93" s="130" t="s">
        <v>5653</v>
      </c>
      <c r="B93" s="132" t="s">
        <v>5634</v>
      </c>
      <c r="C93" s="26" t="s">
        <v>179</v>
      </c>
      <c r="D93" s="102">
        <v>30.0</v>
      </c>
      <c r="E93" s="131">
        <v>45962.0</v>
      </c>
      <c r="F93" s="26" t="s">
        <v>5635</v>
      </c>
      <c r="G93" s="26" t="s">
        <v>1037</v>
      </c>
      <c r="H93" s="26" t="s">
        <v>5632</v>
      </c>
      <c r="I93" s="26">
        <v>180.0</v>
      </c>
      <c r="J93" s="131">
        <v>45962.0</v>
      </c>
      <c r="L93" s="26" t="s">
        <v>5636</v>
      </c>
    </row>
    <row r="94">
      <c r="A94" s="130" t="s">
        <v>5653</v>
      </c>
      <c r="B94" s="130" t="s">
        <v>5637</v>
      </c>
      <c r="C94" s="26" t="s">
        <v>5638</v>
      </c>
      <c r="D94" s="102">
        <v>30.0</v>
      </c>
      <c r="E94" s="131">
        <v>45962.0</v>
      </c>
      <c r="F94" s="26" t="s">
        <v>5639</v>
      </c>
      <c r="G94" s="26" t="s">
        <v>1037</v>
      </c>
      <c r="H94" s="26" t="s">
        <v>5632</v>
      </c>
      <c r="I94" s="26">
        <v>15.0</v>
      </c>
      <c r="J94" s="131">
        <v>45962.0</v>
      </c>
      <c r="L94" s="26" t="s">
        <v>5640</v>
      </c>
    </row>
    <row r="95">
      <c r="A95" s="130" t="s">
        <v>5653</v>
      </c>
      <c r="B95" s="26" t="s">
        <v>5641</v>
      </c>
      <c r="C95" s="26" t="s">
        <v>179</v>
      </c>
      <c r="D95" s="26">
        <v>7.0</v>
      </c>
      <c r="E95" s="131">
        <v>45961.0</v>
      </c>
      <c r="F95" s="26" t="s">
        <v>5642</v>
      </c>
      <c r="G95" s="26" t="s">
        <v>1037</v>
      </c>
      <c r="H95" s="110" t="s">
        <v>5632</v>
      </c>
      <c r="I95" s="102">
        <v>180.0</v>
      </c>
      <c r="J95" s="131">
        <v>45961.0</v>
      </c>
    </row>
    <row r="96">
      <c r="A96" s="130" t="s">
        <v>5653</v>
      </c>
      <c r="B96" s="26" t="s">
        <v>5641</v>
      </c>
      <c r="C96" s="26" t="s">
        <v>179</v>
      </c>
      <c r="D96" s="26">
        <v>7.0</v>
      </c>
      <c r="E96" s="131">
        <v>45954.0</v>
      </c>
      <c r="F96" s="26" t="s">
        <v>5642</v>
      </c>
      <c r="G96" s="26" t="s">
        <v>1037</v>
      </c>
      <c r="H96" s="110" t="s">
        <v>5632</v>
      </c>
      <c r="I96" s="102">
        <v>180.0</v>
      </c>
      <c r="J96" s="131">
        <v>45954.0</v>
      </c>
    </row>
    <row r="97">
      <c r="A97" s="130" t="s">
        <v>5653</v>
      </c>
      <c r="B97" s="130" t="s">
        <v>5644</v>
      </c>
      <c r="C97" s="26" t="s">
        <v>179</v>
      </c>
      <c r="D97" s="26">
        <v>49.0</v>
      </c>
      <c r="E97" s="131">
        <v>45953.0</v>
      </c>
      <c r="F97" s="26" t="s">
        <v>5635</v>
      </c>
      <c r="G97" s="26" t="s">
        <v>1037</v>
      </c>
      <c r="H97" s="26" t="s">
        <v>5632</v>
      </c>
      <c r="I97" s="26">
        <v>45.0</v>
      </c>
      <c r="J97" s="131">
        <v>45953.0</v>
      </c>
      <c r="L97" s="26" t="s">
        <v>5645</v>
      </c>
    </row>
    <row r="98">
      <c r="A98" s="130" t="s">
        <v>5653</v>
      </c>
      <c r="B98" s="26" t="s">
        <v>5641</v>
      </c>
      <c r="C98" s="26" t="s">
        <v>179</v>
      </c>
      <c r="D98" s="26">
        <v>7.0</v>
      </c>
      <c r="E98" s="131">
        <v>45947.0</v>
      </c>
      <c r="F98" s="26" t="s">
        <v>5642</v>
      </c>
      <c r="G98" s="26" t="s">
        <v>1037</v>
      </c>
      <c r="H98" s="110" t="s">
        <v>5632</v>
      </c>
      <c r="I98" s="102">
        <v>180.0</v>
      </c>
      <c r="J98" s="131">
        <v>45947.0</v>
      </c>
    </row>
    <row r="99">
      <c r="A99" s="130" t="s">
        <v>5653</v>
      </c>
      <c r="B99" s="132" t="s">
        <v>5634</v>
      </c>
      <c r="C99" s="26" t="s">
        <v>179</v>
      </c>
      <c r="D99" s="26">
        <v>90.0</v>
      </c>
      <c r="E99" s="131">
        <v>45944.0</v>
      </c>
      <c r="F99" s="26" t="s">
        <v>5643</v>
      </c>
      <c r="G99" s="26" t="s">
        <v>1037</v>
      </c>
      <c r="H99" s="26" t="s">
        <v>5632</v>
      </c>
      <c r="I99" s="26">
        <v>180.0</v>
      </c>
      <c r="J99" s="138">
        <v>45945.0</v>
      </c>
      <c r="L99" s="26" t="s">
        <v>5636</v>
      </c>
    </row>
    <row r="100">
      <c r="A100" s="130" t="s">
        <v>5653</v>
      </c>
      <c r="B100" s="132" t="s">
        <v>5634</v>
      </c>
      <c r="C100" s="26" t="s">
        <v>179</v>
      </c>
      <c r="D100" s="28">
        <v>138.0</v>
      </c>
      <c r="E100" s="131">
        <v>45943.0</v>
      </c>
      <c r="F100" s="26" t="s">
        <v>5643</v>
      </c>
      <c r="G100" s="26" t="s">
        <v>1037</v>
      </c>
      <c r="H100" s="26" t="s">
        <v>5632</v>
      </c>
      <c r="I100" s="26">
        <v>180.0</v>
      </c>
      <c r="J100" s="134">
        <v>45944.0</v>
      </c>
      <c r="L100" s="26" t="s">
        <v>5636</v>
      </c>
    </row>
    <row r="101">
      <c r="A101" s="130" t="s">
        <v>5653</v>
      </c>
      <c r="B101" s="130" t="s">
        <v>5644</v>
      </c>
      <c r="C101" s="26" t="s">
        <v>179</v>
      </c>
      <c r="D101" s="28">
        <v>6.0</v>
      </c>
      <c r="E101" s="131">
        <v>45943.0</v>
      </c>
      <c r="F101" s="26" t="s">
        <v>5635</v>
      </c>
      <c r="G101" s="26" t="s">
        <v>1037</v>
      </c>
      <c r="H101" s="26" t="s">
        <v>5632</v>
      </c>
      <c r="I101" s="26">
        <v>45.0</v>
      </c>
      <c r="J101" s="131">
        <v>45943.0</v>
      </c>
      <c r="L101" s="26" t="s">
        <v>5645</v>
      </c>
    </row>
    <row r="102">
      <c r="A102" s="130" t="s">
        <v>5653</v>
      </c>
      <c r="B102" s="26" t="s">
        <v>5641</v>
      </c>
      <c r="C102" s="26" t="s">
        <v>179</v>
      </c>
      <c r="D102" s="26">
        <v>7.0</v>
      </c>
      <c r="E102" s="131">
        <v>45940.0</v>
      </c>
      <c r="F102" s="26" t="s">
        <v>5642</v>
      </c>
      <c r="G102" s="26" t="s">
        <v>1037</v>
      </c>
      <c r="H102" s="110" t="s">
        <v>5632</v>
      </c>
      <c r="I102" s="102">
        <v>180.0</v>
      </c>
      <c r="J102" s="131">
        <v>45940.0</v>
      </c>
    </row>
    <row r="103">
      <c r="A103" s="130" t="s">
        <v>5653</v>
      </c>
      <c r="B103" s="130" t="s">
        <v>5644</v>
      </c>
      <c r="C103" s="26" t="s">
        <v>179</v>
      </c>
      <c r="D103" s="26">
        <v>48.0</v>
      </c>
      <c r="E103" s="131">
        <v>45937.0</v>
      </c>
      <c r="F103" s="26" t="s">
        <v>5635</v>
      </c>
      <c r="G103" s="26" t="s">
        <v>1037</v>
      </c>
      <c r="H103" s="26" t="s">
        <v>5632</v>
      </c>
      <c r="I103" s="26">
        <v>45.0</v>
      </c>
      <c r="J103" s="131">
        <v>45937.0</v>
      </c>
      <c r="L103" s="26" t="s">
        <v>5645</v>
      </c>
    </row>
    <row r="104">
      <c r="A104" s="130" t="s">
        <v>5653</v>
      </c>
      <c r="B104" s="130" t="s">
        <v>5644</v>
      </c>
      <c r="C104" s="26" t="s">
        <v>179</v>
      </c>
      <c r="D104" s="28">
        <v>5.0</v>
      </c>
      <c r="E104" s="131">
        <v>45936.0</v>
      </c>
      <c r="F104" s="26" t="s">
        <v>5635</v>
      </c>
      <c r="G104" s="26" t="s">
        <v>1037</v>
      </c>
      <c r="H104" s="26" t="s">
        <v>5632</v>
      </c>
      <c r="I104" s="26">
        <v>45.0</v>
      </c>
      <c r="J104" s="131">
        <v>45936.0</v>
      </c>
      <c r="L104" s="26" t="s">
        <v>5645</v>
      </c>
    </row>
    <row r="105">
      <c r="A105" s="130" t="s">
        <v>5653</v>
      </c>
      <c r="B105" s="26" t="s">
        <v>5641</v>
      </c>
      <c r="C105" s="26" t="s">
        <v>179</v>
      </c>
      <c r="D105" s="26">
        <v>7.0</v>
      </c>
      <c r="E105" s="131">
        <v>45933.0</v>
      </c>
      <c r="F105" s="26" t="s">
        <v>5642</v>
      </c>
      <c r="G105" s="26" t="s">
        <v>1037</v>
      </c>
      <c r="H105" s="110" t="s">
        <v>5632</v>
      </c>
      <c r="I105" s="102">
        <v>180.0</v>
      </c>
      <c r="J105" s="131">
        <v>45933.0</v>
      </c>
    </row>
    <row r="106">
      <c r="A106" s="130" t="s">
        <v>5653</v>
      </c>
      <c r="B106" s="132" t="s">
        <v>5634</v>
      </c>
      <c r="C106" s="26" t="s">
        <v>179</v>
      </c>
      <c r="D106" s="102">
        <v>30.0</v>
      </c>
      <c r="E106" s="131">
        <v>45932.0</v>
      </c>
      <c r="F106" s="26" t="s">
        <v>5635</v>
      </c>
      <c r="G106" s="26" t="s">
        <v>1037</v>
      </c>
      <c r="H106" s="26" t="s">
        <v>5632</v>
      </c>
      <c r="I106" s="26">
        <v>180.0</v>
      </c>
      <c r="J106" s="131">
        <v>45932.0</v>
      </c>
      <c r="L106" s="26" t="s">
        <v>5636</v>
      </c>
    </row>
    <row r="107">
      <c r="A107" s="130" t="s">
        <v>5653</v>
      </c>
      <c r="B107" s="130" t="s">
        <v>5637</v>
      </c>
      <c r="C107" s="26" t="s">
        <v>5638</v>
      </c>
      <c r="D107" s="102">
        <v>30.0</v>
      </c>
      <c r="E107" s="131">
        <v>45932.0</v>
      </c>
      <c r="F107" s="26" t="s">
        <v>5639</v>
      </c>
      <c r="G107" s="26" t="s">
        <v>1037</v>
      </c>
      <c r="H107" s="26" t="s">
        <v>5632</v>
      </c>
      <c r="I107" s="26">
        <v>15.0</v>
      </c>
      <c r="J107" s="131">
        <v>45932.0</v>
      </c>
      <c r="L107" s="26" t="s">
        <v>5640</v>
      </c>
    </row>
    <row r="108">
      <c r="A108" s="130" t="s">
        <v>5653</v>
      </c>
      <c r="B108" s="130" t="s">
        <v>5644</v>
      </c>
      <c r="C108" s="26" t="s">
        <v>179</v>
      </c>
      <c r="D108" s="26">
        <v>47.0</v>
      </c>
      <c r="E108" s="131">
        <v>45931.0</v>
      </c>
      <c r="F108" s="26" t="s">
        <v>5635</v>
      </c>
      <c r="G108" s="26" t="s">
        <v>1037</v>
      </c>
      <c r="H108" s="26" t="s">
        <v>5632</v>
      </c>
      <c r="I108" s="26">
        <v>45.0</v>
      </c>
      <c r="J108" s="131">
        <v>45931.0</v>
      </c>
      <c r="L108" s="26" t="s">
        <v>5645</v>
      </c>
    </row>
    <row r="109">
      <c r="A109" s="130" t="s">
        <v>813</v>
      </c>
      <c r="B109" s="130" t="s">
        <v>5644</v>
      </c>
      <c r="C109" s="26" t="s">
        <v>179</v>
      </c>
      <c r="D109" s="28">
        <v>3.0</v>
      </c>
      <c r="E109" s="133">
        <v>45929.0</v>
      </c>
      <c r="F109" s="26" t="s">
        <v>5635</v>
      </c>
      <c r="G109" s="26" t="s">
        <v>1037</v>
      </c>
      <c r="H109" s="26" t="s">
        <v>5632</v>
      </c>
      <c r="I109" s="26">
        <v>45.0</v>
      </c>
      <c r="J109" s="133">
        <v>45929.0</v>
      </c>
      <c r="L109" s="26" t="s">
        <v>5645</v>
      </c>
    </row>
    <row r="110">
      <c r="A110" s="130" t="s">
        <v>813</v>
      </c>
      <c r="B110" s="130" t="s">
        <v>5644</v>
      </c>
      <c r="C110" s="26" t="s">
        <v>179</v>
      </c>
      <c r="D110" s="26">
        <v>46.0</v>
      </c>
      <c r="E110" s="131">
        <v>45926.0</v>
      </c>
      <c r="F110" s="26" t="s">
        <v>5635</v>
      </c>
      <c r="G110" s="26" t="s">
        <v>1037</v>
      </c>
      <c r="H110" s="26" t="s">
        <v>5632</v>
      </c>
      <c r="I110" s="26">
        <v>45.0</v>
      </c>
      <c r="J110" s="131">
        <v>45926.0</v>
      </c>
      <c r="L110" s="26" t="s">
        <v>5645</v>
      </c>
    </row>
    <row r="111">
      <c r="A111" s="130" t="s">
        <v>813</v>
      </c>
      <c r="B111" s="26" t="s">
        <v>5641</v>
      </c>
      <c r="C111" s="26" t="s">
        <v>179</v>
      </c>
      <c r="D111" s="26">
        <v>7.0</v>
      </c>
      <c r="E111" s="131">
        <v>45926.0</v>
      </c>
      <c r="F111" s="26" t="s">
        <v>5642</v>
      </c>
      <c r="G111" s="26" t="s">
        <v>1037</v>
      </c>
      <c r="H111" s="110" t="s">
        <v>5632</v>
      </c>
      <c r="I111" s="102">
        <v>180.0</v>
      </c>
      <c r="J111" s="131">
        <v>45926.0</v>
      </c>
    </row>
    <row r="112">
      <c r="A112" s="130" t="s">
        <v>813</v>
      </c>
      <c r="B112" s="132" t="s">
        <v>5634</v>
      </c>
      <c r="C112" s="26" t="s">
        <v>179</v>
      </c>
      <c r="D112" s="28">
        <v>77.0</v>
      </c>
      <c r="E112" s="131">
        <v>45925.0</v>
      </c>
      <c r="F112" s="26" t="s">
        <v>5643</v>
      </c>
      <c r="G112" s="26" t="s">
        <v>1037</v>
      </c>
      <c r="H112" s="26" t="s">
        <v>5632</v>
      </c>
      <c r="I112" s="26">
        <v>180.0</v>
      </c>
      <c r="J112" s="134">
        <v>45926.0</v>
      </c>
      <c r="L112" s="26" t="s">
        <v>5636</v>
      </c>
    </row>
    <row r="113">
      <c r="A113" s="130" t="s">
        <v>814</v>
      </c>
      <c r="B113" s="26" t="s">
        <v>5641</v>
      </c>
      <c r="C113" s="26" t="s">
        <v>179</v>
      </c>
      <c r="D113" s="26">
        <v>7.0</v>
      </c>
      <c r="E113" s="131">
        <v>45919.0</v>
      </c>
      <c r="F113" s="26" t="s">
        <v>5642</v>
      </c>
      <c r="G113" s="26" t="s">
        <v>1037</v>
      </c>
      <c r="H113" s="110" t="s">
        <v>5632</v>
      </c>
      <c r="I113" s="102">
        <v>180.0</v>
      </c>
      <c r="J113" s="131">
        <v>45919.0</v>
      </c>
    </row>
    <row r="114">
      <c r="A114" s="130" t="s">
        <v>814</v>
      </c>
      <c r="B114" s="132" t="s">
        <v>5634</v>
      </c>
      <c r="C114" s="26" t="s">
        <v>179</v>
      </c>
      <c r="D114" s="28">
        <v>126.0</v>
      </c>
      <c r="E114" s="131">
        <v>45917.0</v>
      </c>
      <c r="F114" s="26" t="s">
        <v>5643</v>
      </c>
      <c r="G114" s="26" t="s">
        <v>1037</v>
      </c>
      <c r="H114" s="26" t="s">
        <v>5632</v>
      </c>
      <c r="I114" s="26">
        <v>180.0</v>
      </c>
      <c r="J114" s="134">
        <v>45918.0</v>
      </c>
      <c r="L114" s="26" t="s">
        <v>5636</v>
      </c>
    </row>
    <row r="115">
      <c r="A115" s="26" t="s">
        <v>5654</v>
      </c>
      <c r="B115" s="132" t="s">
        <v>5634</v>
      </c>
      <c r="C115" s="26" t="s">
        <v>179</v>
      </c>
      <c r="D115" s="28">
        <v>71.0</v>
      </c>
      <c r="E115" s="131">
        <v>45916.0</v>
      </c>
      <c r="F115" s="26" t="s">
        <v>5643</v>
      </c>
      <c r="G115" s="26" t="s">
        <v>1037</v>
      </c>
      <c r="H115" s="26" t="s">
        <v>5632</v>
      </c>
      <c r="I115" s="26">
        <v>180.0</v>
      </c>
      <c r="J115" s="134">
        <v>45917.0</v>
      </c>
      <c r="L115" s="26" t="s">
        <v>5636</v>
      </c>
    </row>
    <row r="116">
      <c r="A116" s="26" t="s">
        <v>5654</v>
      </c>
      <c r="B116" s="26" t="s">
        <v>5641</v>
      </c>
      <c r="C116" s="26" t="s">
        <v>179</v>
      </c>
      <c r="D116" s="26">
        <v>7.0</v>
      </c>
      <c r="E116" s="131">
        <v>45912.0</v>
      </c>
      <c r="F116" s="26" t="s">
        <v>5642</v>
      </c>
      <c r="G116" s="26" t="s">
        <v>1037</v>
      </c>
      <c r="H116" s="110" t="s">
        <v>5632</v>
      </c>
      <c r="I116" s="102">
        <v>180.0</v>
      </c>
      <c r="J116" s="131">
        <v>45912.0</v>
      </c>
    </row>
    <row r="117">
      <c r="A117" s="26" t="s">
        <v>5654</v>
      </c>
      <c r="B117" s="132" t="s">
        <v>5634</v>
      </c>
      <c r="C117" s="26" t="s">
        <v>179</v>
      </c>
      <c r="D117" s="28">
        <v>108.0</v>
      </c>
      <c r="E117" s="131">
        <v>45911.0</v>
      </c>
      <c r="F117" s="26" t="s">
        <v>5643</v>
      </c>
      <c r="G117" s="26" t="s">
        <v>1037</v>
      </c>
      <c r="H117" s="26" t="s">
        <v>5632</v>
      </c>
      <c r="I117" s="26">
        <v>180.0</v>
      </c>
      <c r="J117" s="134">
        <v>45912.0</v>
      </c>
      <c r="L117" s="26" t="s">
        <v>5636</v>
      </c>
    </row>
    <row r="118">
      <c r="A118" s="26" t="s">
        <v>5654</v>
      </c>
      <c r="B118" s="132" t="s">
        <v>5634</v>
      </c>
      <c r="C118" s="26" t="s">
        <v>179</v>
      </c>
      <c r="D118" s="28">
        <v>120.0</v>
      </c>
      <c r="E118" s="131">
        <v>45910.0</v>
      </c>
      <c r="F118" s="26" t="s">
        <v>5643</v>
      </c>
      <c r="G118" s="26" t="s">
        <v>1037</v>
      </c>
      <c r="H118" s="26" t="s">
        <v>5632</v>
      </c>
      <c r="I118" s="26">
        <v>180.0</v>
      </c>
      <c r="J118" s="134">
        <v>45911.0</v>
      </c>
      <c r="L118" s="26" t="s">
        <v>5636</v>
      </c>
    </row>
    <row r="119">
      <c r="A119" s="26" t="s">
        <v>5654</v>
      </c>
      <c r="B119" s="130" t="s">
        <v>5644</v>
      </c>
      <c r="C119" s="26" t="s">
        <v>179</v>
      </c>
      <c r="D119" s="28">
        <v>3.0</v>
      </c>
      <c r="E119" s="131">
        <v>45908.0</v>
      </c>
      <c r="F119" s="26" t="s">
        <v>5635</v>
      </c>
      <c r="G119" s="26" t="s">
        <v>1037</v>
      </c>
      <c r="H119" s="26" t="s">
        <v>5632</v>
      </c>
      <c r="I119" s="26">
        <v>45.0</v>
      </c>
      <c r="J119" s="131">
        <v>45908.0</v>
      </c>
      <c r="L119" s="26" t="s">
        <v>5645</v>
      </c>
    </row>
    <row r="120">
      <c r="A120" s="26" t="s">
        <v>5654</v>
      </c>
      <c r="B120" s="132" t="s">
        <v>5634</v>
      </c>
      <c r="C120" s="26" t="s">
        <v>179</v>
      </c>
      <c r="D120" s="109">
        <v>81.0</v>
      </c>
      <c r="E120" s="133">
        <v>45906.0</v>
      </c>
      <c r="F120" s="26" t="s">
        <v>5643</v>
      </c>
      <c r="G120" s="26" t="s">
        <v>1037</v>
      </c>
      <c r="H120" s="26" t="s">
        <v>5632</v>
      </c>
      <c r="I120" s="26">
        <v>180.0</v>
      </c>
      <c r="J120" s="134">
        <v>45908.0</v>
      </c>
      <c r="L120" s="26" t="s">
        <v>5636</v>
      </c>
    </row>
    <row r="121">
      <c r="A121" s="26" t="s">
        <v>5654</v>
      </c>
      <c r="B121" s="130" t="s">
        <v>5644</v>
      </c>
      <c r="C121" s="26" t="s">
        <v>179</v>
      </c>
      <c r="D121" s="26">
        <v>45.0</v>
      </c>
      <c r="E121" s="131">
        <v>45905.0</v>
      </c>
      <c r="F121" s="26" t="s">
        <v>5635</v>
      </c>
      <c r="G121" s="26" t="s">
        <v>1037</v>
      </c>
      <c r="H121" s="26" t="s">
        <v>5632</v>
      </c>
      <c r="I121" s="26">
        <v>45.0</v>
      </c>
      <c r="J121" s="131">
        <v>45905.0</v>
      </c>
      <c r="L121" s="26" t="s">
        <v>5645</v>
      </c>
    </row>
    <row r="122">
      <c r="A122" s="26" t="s">
        <v>5654</v>
      </c>
      <c r="B122" s="26" t="s">
        <v>5641</v>
      </c>
      <c r="C122" s="26" t="s">
        <v>179</v>
      </c>
      <c r="D122" s="26">
        <v>7.0</v>
      </c>
      <c r="E122" s="131">
        <v>45905.0</v>
      </c>
      <c r="F122" s="26" t="s">
        <v>5642</v>
      </c>
      <c r="G122" s="26" t="s">
        <v>1037</v>
      </c>
      <c r="H122" s="110" t="s">
        <v>5632</v>
      </c>
      <c r="I122" s="102">
        <v>180.0</v>
      </c>
      <c r="J122" s="131">
        <v>45905.0</v>
      </c>
    </row>
    <row r="123">
      <c r="A123" s="26" t="s">
        <v>5654</v>
      </c>
      <c r="B123" s="132" t="s">
        <v>5634</v>
      </c>
      <c r="C123" s="26" t="s">
        <v>179</v>
      </c>
      <c r="D123" s="102">
        <v>30.0</v>
      </c>
      <c r="E123" s="131">
        <v>45902.0</v>
      </c>
      <c r="F123" s="26" t="s">
        <v>5635</v>
      </c>
      <c r="G123" s="26" t="s">
        <v>1037</v>
      </c>
      <c r="H123" s="26" t="s">
        <v>5632</v>
      </c>
      <c r="I123" s="26">
        <v>180.0</v>
      </c>
      <c r="J123" s="131">
        <v>45902.0</v>
      </c>
      <c r="L123" s="26" t="s">
        <v>5636</v>
      </c>
    </row>
    <row r="124">
      <c r="A124" s="26" t="s">
        <v>5654</v>
      </c>
      <c r="B124" s="130" t="s">
        <v>5637</v>
      </c>
      <c r="C124" s="26" t="s">
        <v>5638</v>
      </c>
      <c r="D124" s="102">
        <v>30.0</v>
      </c>
      <c r="E124" s="131">
        <v>45902.0</v>
      </c>
      <c r="F124" s="26" t="s">
        <v>5639</v>
      </c>
      <c r="G124" s="26" t="s">
        <v>1037</v>
      </c>
      <c r="H124" s="26" t="s">
        <v>5632</v>
      </c>
      <c r="I124" s="26">
        <v>15.0</v>
      </c>
      <c r="J124" s="131">
        <v>45902.0</v>
      </c>
      <c r="L124" s="26" t="s">
        <v>5640</v>
      </c>
    </row>
    <row r="125">
      <c r="A125" s="26" t="s">
        <v>5654</v>
      </c>
      <c r="B125" s="26" t="s">
        <v>5641</v>
      </c>
      <c r="C125" s="26" t="s">
        <v>179</v>
      </c>
      <c r="D125" s="26">
        <v>7.0</v>
      </c>
      <c r="E125" s="131">
        <v>45898.0</v>
      </c>
      <c r="F125" s="26" t="s">
        <v>5642</v>
      </c>
      <c r="G125" s="26" t="s">
        <v>1037</v>
      </c>
      <c r="H125" s="110" t="s">
        <v>5632</v>
      </c>
      <c r="I125" s="102">
        <v>180.0</v>
      </c>
      <c r="J125" s="131">
        <v>45898.0</v>
      </c>
    </row>
    <row r="126">
      <c r="A126" s="26" t="s">
        <v>5654</v>
      </c>
      <c r="B126" s="26" t="s">
        <v>5641</v>
      </c>
      <c r="C126" s="26" t="s">
        <v>179</v>
      </c>
      <c r="D126" s="26">
        <v>7.0</v>
      </c>
      <c r="E126" s="131">
        <v>45891.0</v>
      </c>
      <c r="F126" s="26" t="s">
        <v>5642</v>
      </c>
      <c r="G126" s="26" t="s">
        <v>1037</v>
      </c>
      <c r="H126" s="110" t="s">
        <v>5632</v>
      </c>
      <c r="I126" s="102">
        <v>180.0</v>
      </c>
      <c r="J126" s="131">
        <v>45891.0</v>
      </c>
    </row>
    <row r="127">
      <c r="A127" s="26" t="s">
        <v>5654</v>
      </c>
      <c r="B127" s="130" t="s">
        <v>5644</v>
      </c>
      <c r="C127" s="26" t="s">
        <v>179</v>
      </c>
      <c r="D127" s="28">
        <v>7.0</v>
      </c>
      <c r="E127" s="131">
        <v>45884.0</v>
      </c>
      <c r="F127" s="26" t="s">
        <v>5635</v>
      </c>
      <c r="G127" s="26" t="s">
        <v>1037</v>
      </c>
      <c r="H127" s="26" t="s">
        <v>5632</v>
      </c>
      <c r="I127" s="26">
        <v>45.0</v>
      </c>
      <c r="J127" s="131">
        <v>45884.0</v>
      </c>
      <c r="L127" s="26" t="s">
        <v>5645</v>
      </c>
    </row>
    <row r="128">
      <c r="A128" s="26" t="s">
        <v>5654</v>
      </c>
      <c r="B128" s="26" t="s">
        <v>5641</v>
      </c>
      <c r="C128" s="26" t="s">
        <v>179</v>
      </c>
      <c r="D128" s="26">
        <v>7.0</v>
      </c>
      <c r="E128" s="131">
        <v>45884.0</v>
      </c>
      <c r="F128" s="26" t="s">
        <v>5642</v>
      </c>
      <c r="G128" s="26" t="s">
        <v>1037</v>
      </c>
      <c r="H128" s="110" t="s">
        <v>5632</v>
      </c>
      <c r="I128" s="102">
        <v>180.0</v>
      </c>
      <c r="J128" s="131">
        <v>45884.0</v>
      </c>
    </row>
    <row r="129">
      <c r="A129" s="26" t="s">
        <v>5654</v>
      </c>
      <c r="B129" s="130" t="s">
        <v>5644</v>
      </c>
      <c r="C129" s="26" t="s">
        <v>179</v>
      </c>
      <c r="D129" s="26">
        <v>44.0</v>
      </c>
      <c r="E129" s="131">
        <v>45877.0</v>
      </c>
      <c r="F129" s="26" t="s">
        <v>5635</v>
      </c>
      <c r="G129" s="26" t="s">
        <v>1037</v>
      </c>
      <c r="H129" s="26" t="s">
        <v>5632</v>
      </c>
      <c r="I129" s="26">
        <v>45.0</v>
      </c>
      <c r="J129" s="131">
        <v>45877.0</v>
      </c>
      <c r="L129" s="26" t="s">
        <v>5645</v>
      </c>
    </row>
    <row r="130">
      <c r="A130" s="26" t="s">
        <v>5654</v>
      </c>
      <c r="B130" s="26" t="s">
        <v>5641</v>
      </c>
      <c r="C130" s="26" t="s">
        <v>179</v>
      </c>
      <c r="D130" s="26">
        <v>7.0</v>
      </c>
      <c r="E130" s="131">
        <v>45877.0</v>
      </c>
      <c r="F130" s="26" t="s">
        <v>5642</v>
      </c>
      <c r="G130" s="26" t="s">
        <v>1037</v>
      </c>
      <c r="H130" s="110" t="s">
        <v>5632</v>
      </c>
      <c r="I130" s="102">
        <v>180.0</v>
      </c>
      <c r="J130" s="131">
        <v>45877.0</v>
      </c>
    </row>
    <row r="131">
      <c r="A131" s="26" t="s">
        <v>5654</v>
      </c>
      <c r="B131" s="132" t="s">
        <v>5634</v>
      </c>
      <c r="C131" s="26" t="s">
        <v>179</v>
      </c>
      <c r="D131" s="102">
        <v>30.0</v>
      </c>
      <c r="E131" s="133">
        <v>45871.0</v>
      </c>
      <c r="F131" s="26" t="s">
        <v>5635</v>
      </c>
      <c r="G131" s="26" t="s">
        <v>1037</v>
      </c>
      <c r="H131" s="26" t="s">
        <v>5632</v>
      </c>
      <c r="I131" s="26">
        <v>180.0</v>
      </c>
      <c r="J131" s="131">
        <v>45872.0</v>
      </c>
      <c r="L131" s="26" t="s">
        <v>5636</v>
      </c>
    </row>
    <row r="132">
      <c r="A132" s="26" t="s">
        <v>5654</v>
      </c>
      <c r="B132" s="130" t="s">
        <v>5637</v>
      </c>
      <c r="C132" s="26" t="s">
        <v>5638</v>
      </c>
      <c r="D132" s="102">
        <v>30.0</v>
      </c>
      <c r="E132" s="133">
        <v>45871.0</v>
      </c>
      <c r="F132" s="26" t="s">
        <v>5639</v>
      </c>
      <c r="G132" s="26" t="s">
        <v>1037</v>
      </c>
      <c r="H132" s="26" t="s">
        <v>5632</v>
      </c>
      <c r="I132" s="26">
        <v>15.0</v>
      </c>
      <c r="J132" s="131">
        <v>45872.0</v>
      </c>
      <c r="L132" s="26" t="s">
        <v>5640</v>
      </c>
    </row>
    <row r="133">
      <c r="A133" s="26" t="s">
        <v>5654</v>
      </c>
      <c r="B133" s="26" t="s">
        <v>5641</v>
      </c>
      <c r="C133" s="26" t="s">
        <v>179</v>
      </c>
      <c r="D133" s="26">
        <v>7.0</v>
      </c>
      <c r="E133" s="131">
        <v>45870.0</v>
      </c>
      <c r="F133" s="26" t="s">
        <v>5642</v>
      </c>
      <c r="G133" s="26" t="s">
        <v>1037</v>
      </c>
      <c r="H133" s="110" t="s">
        <v>5632</v>
      </c>
      <c r="I133" s="102">
        <v>180.0</v>
      </c>
      <c r="J133" s="131">
        <v>45870.0</v>
      </c>
    </row>
    <row r="134">
      <c r="A134" s="26" t="s">
        <v>5654</v>
      </c>
      <c r="B134" s="132" t="s">
        <v>5634</v>
      </c>
      <c r="C134" s="26" t="s">
        <v>179</v>
      </c>
      <c r="D134" s="26">
        <v>67.0</v>
      </c>
      <c r="E134" s="133">
        <v>45864.0</v>
      </c>
      <c r="F134" s="26" t="s">
        <v>5643</v>
      </c>
      <c r="G134" s="26" t="s">
        <v>1037</v>
      </c>
      <c r="H134" s="26" t="s">
        <v>5632</v>
      </c>
      <c r="I134" s="26">
        <v>180.0</v>
      </c>
      <c r="J134" s="134">
        <v>45866.0</v>
      </c>
      <c r="L134" s="26" t="s">
        <v>5636</v>
      </c>
    </row>
    <row r="135">
      <c r="A135" s="26" t="s">
        <v>5654</v>
      </c>
      <c r="B135" s="26" t="s">
        <v>5641</v>
      </c>
      <c r="C135" s="26" t="s">
        <v>179</v>
      </c>
      <c r="D135" s="26">
        <v>7.0</v>
      </c>
      <c r="E135" s="131">
        <v>45863.0</v>
      </c>
      <c r="F135" s="26" t="s">
        <v>5642</v>
      </c>
      <c r="G135" s="26" t="s">
        <v>1037</v>
      </c>
      <c r="H135" s="110" t="s">
        <v>5632</v>
      </c>
      <c r="I135" s="102">
        <v>180.0</v>
      </c>
      <c r="J135" s="131">
        <v>45863.0</v>
      </c>
    </row>
    <row r="136">
      <c r="A136" s="26" t="s">
        <v>5654</v>
      </c>
      <c r="B136" s="130" t="s">
        <v>5644</v>
      </c>
      <c r="C136" s="26" t="s">
        <v>179</v>
      </c>
      <c r="D136" s="28">
        <v>18.0</v>
      </c>
      <c r="E136" s="131">
        <v>45856.0</v>
      </c>
      <c r="F136" s="26" t="s">
        <v>5635</v>
      </c>
      <c r="G136" s="26" t="s">
        <v>1037</v>
      </c>
      <c r="H136" s="26" t="s">
        <v>5632</v>
      </c>
      <c r="I136" s="26">
        <v>45.0</v>
      </c>
      <c r="J136" s="131">
        <v>45856.0</v>
      </c>
      <c r="L136" s="26" t="s">
        <v>5645</v>
      </c>
    </row>
    <row r="137">
      <c r="A137" s="26" t="s">
        <v>5654</v>
      </c>
      <c r="B137" s="26" t="s">
        <v>5641</v>
      </c>
      <c r="C137" s="26" t="s">
        <v>179</v>
      </c>
      <c r="D137" s="26">
        <v>7.0</v>
      </c>
      <c r="E137" s="131">
        <v>45856.0</v>
      </c>
      <c r="F137" s="26" t="s">
        <v>5642</v>
      </c>
      <c r="G137" s="26" t="s">
        <v>1037</v>
      </c>
      <c r="H137" s="110" t="s">
        <v>5632</v>
      </c>
      <c r="I137" s="102">
        <v>180.0</v>
      </c>
      <c r="J137" s="131">
        <v>45856.0</v>
      </c>
    </row>
    <row r="138">
      <c r="A138" s="26" t="s">
        <v>5654</v>
      </c>
      <c r="B138" s="132" t="s">
        <v>5634</v>
      </c>
      <c r="C138" s="26" t="s">
        <v>179</v>
      </c>
      <c r="D138" s="28">
        <v>58.0</v>
      </c>
      <c r="E138" s="131">
        <v>45854.0</v>
      </c>
      <c r="F138" s="26" t="s">
        <v>5643</v>
      </c>
      <c r="G138" s="26" t="s">
        <v>1037</v>
      </c>
      <c r="H138" s="26" t="s">
        <v>5632</v>
      </c>
      <c r="I138" s="26">
        <v>180.0</v>
      </c>
      <c r="J138" s="134">
        <v>45855.0</v>
      </c>
      <c r="L138" s="26" t="s">
        <v>5636</v>
      </c>
    </row>
    <row r="139">
      <c r="A139" s="26" t="s">
        <v>5654</v>
      </c>
      <c r="B139" s="26" t="s">
        <v>5641</v>
      </c>
      <c r="C139" s="26" t="s">
        <v>179</v>
      </c>
      <c r="D139" s="26">
        <v>7.0</v>
      </c>
      <c r="E139" s="131">
        <v>45849.0</v>
      </c>
      <c r="F139" s="26" t="s">
        <v>5642</v>
      </c>
      <c r="G139" s="26" t="s">
        <v>1037</v>
      </c>
      <c r="H139" s="110" t="s">
        <v>5632</v>
      </c>
      <c r="I139" s="102">
        <v>180.0</v>
      </c>
      <c r="J139" s="131">
        <v>45849.0</v>
      </c>
    </row>
    <row r="140">
      <c r="A140" s="26" t="s">
        <v>5654</v>
      </c>
      <c r="B140" s="132" t="s">
        <v>5634</v>
      </c>
      <c r="C140" s="26" t="s">
        <v>179</v>
      </c>
      <c r="D140" s="28">
        <v>56.0</v>
      </c>
      <c r="E140" s="131">
        <v>45848.0</v>
      </c>
      <c r="F140" s="26" t="s">
        <v>5643</v>
      </c>
      <c r="G140" s="26" t="s">
        <v>1037</v>
      </c>
      <c r="H140" s="26" t="s">
        <v>5632</v>
      </c>
      <c r="I140" s="26">
        <v>180.0</v>
      </c>
      <c r="J140" s="134">
        <v>45849.0</v>
      </c>
      <c r="L140" s="26" t="s">
        <v>5636</v>
      </c>
    </row>
    <row r="141">
      <c r="A141" s="26" t="s">
        <v>5654</v>
      </c>
      <c r="B141" s="132" t="s">
        <v>5634</v>
      </c>
      <c r="C141" s="26" t="s">
        <v>179</v>
      </c>
      <c r="D141" s="28">
        <v>76.0</v>
      </c>
      <c r="E141" s="131">
        <v>45845.0</v>
      </c>
      <c r="F141" s="26" t="s">
        <v>5643</v>
      </c>
      <c r="G141" s="26" t="s">
        <v>1037</v>
      </c>
      <c r="H141" s="26" t="s">
        <v>5632</v>
      </c>
      <c r="I141" s="26">
        <v>180.0</v>
      </c>
      <c r="J141" s="134">
        <v>45846.0</v>
      </c>
      <c r="L141" s="26" t="s">
        <v>5636</v>
      </c>
    </row>
    <row r="142">
      <c r="A142" s="26" t="s">
        <v>5654</v>
      </c>
      <c r="B142" s="132" t="s">
        <v>5634</v>
      </c>
      <c r="C142" s="26" t="s">
        <v>179</v>
      </c>
      <c r="D142" s="102">
        <v>30.0</v>
      </c>
      <c r="E142" s="131">
        <v>45842.0</v>
      </c>
      <c r="F142" s="26" t="s">
        <v>5635</v>
      </c>
      <c r="G142" s="26" t="s">
        <v>1037</v>
      </c>
      <c r="H142" s="26" t="s">
        <v>5632</v>
      </c>
      <c r="I142" s="26">
        <v>180.0</v>
      </c>
      <c r="J142" s="131">
        <v>45842.0</v>
      </c>
      <c r="L142" s="26" t="s">
        <v>5636</v>
      </c>
    </row>
    <row r="143">
      <c r="A143" s="26" t="s">
        <v>5654</v>
      </c>
      <c r="B143" s="130" t="s">
        <v>5637</v>
      </c>
      <c r="C143" s="26" t="s">
        <v>5638</v>
      </c>
      <c r="D143" s="102">
        <v>30.0</v>
      </c>
      <c r="E143" s="131">
        <v>45842.0</v>
      </c>
      <c r="F143" s="26" t="s">
        <v>5639</v>
      </c>
      <c r="G143" s="26" t="s">
        <v>1037</v>
      </c>
      <c r="H143" s="26" t="s">
        <v>5632</v>
      </c>
      <c r="I143" s="26">
        <v>15.0</v>
      </c>
      <c r="J143" s="131">
        <v>45842.0</v>
      </c>
      <c r="L143" s="26" t="s">
        <v>5640</v>
      </c>
    </row>
    <row r="144">
      <c r="A144" s="26" t="s">
        <v>5654</v>
      </c>
      <c r="B144" s="130" t="s">
        <v>5629</v>
      </c>
      <c r="C144" s="26" t="s">
        <v>179</v>
      </c>
      <c r="D144" s="26">
        <v>180.0</v>
      </c>
      <c r="E144" s="131">
        <v>45842.0</v>
      </c>
      <c r="F144" s="26" t="s">
        <v>5630</v>
      </c>
      <c r="G144" s="26" t="s">
        <v>1037</v>
      </c>
      <c r="H144" s="26" t="s">
        <v>5632</v>
      </c>
      <c r="I144" s="26">
        <v>180.0</v>
      </c>
      <c r="J144" s="131">
        <v>45842.0</v>
      </c>
      <c r="L144" s="26" t="s">
        <v>5633</v>
      </c>
    </row>
    <row r="145">
      <c r="A145" s="26" t="s">
        <v>5654</v>
      </c>
      <c r="B145" s="130" t="s">
        <v>5629</v>
      </c>
      <c r="C145" s="26" t="s">
        <v>179</v>
      </c>
      <c r="D145" s="26">
        <v>180.0</v>
      </c>
      <c r="E145" s="131">
        <v>45842.0</v>
      </c>
      <c r="F145" s="26" t="s">
        <v>5630</v>
      </c>
      <c r="G145" s="26" t="s">
        <v>1037</v>
      </c>
      <c r="H145" s="26" t="s">
        <v>5632</v>
      </c>
      <c r="I145" s="26">
        <v>180.0</v>
      </c>
      <c r="J145" s="131">
        <v>45842.0</v>
      </c>
      <c r="L145" s="26" t="s">
        <v>5633</v>
      </c>
    </row>
    <row r="146">
      <c r="A146" s="26" t="s">
        <v>5654</v>
      </c>
      <c r="B146" s="26" t="s">
        <v>5641</v>
      </c>
      <c r="C146" s="26" t="s">
        <v>179</v>
      </c>
      <c r="D146" s="26">
        <v>7.0</v>
      </c>
      <c r="E146" s="131">
        <v>45842.0</v>
      </c>
      <c r="F146" s="26" t="s">
        <v>5642</v>
      </c>
      <c r="G146" s="26" t="s">
        <v>1037</v>
      </c>
      <c r="H146" s="110" t="s">
        <v>5632</v>
      </c>
      <c r="I146" s="102">
        <v>180.0</v>
      </c>
      <c r="J146" s="131">
        <v>45842.0</v>
      </c>
    </row>
    <row r="147">
      <c r="A147" s="26" t="s">
        <v>5654</v>
      </c>
      <c r="B147" s="130" t="s">
        <v>5644</v>
      </c>
      <c r="C147" s="26" t="s">
        <v>179</v>
      </c>
      <c r="D147" s="26">
        <v>43.0</v>
      </c>
      <c r="E147" s="131">
        <v>45838.0</v>
      </c>
      <c r="F147" s="26" t="s">
        <v>5635</v>
      </c>
      <c r="G147" s="26" t="s">
        <v>1037</v>
      </c>
      <c r="H147" s="26" t="s">
        <v>5632</v>
      </c>
      <c r="I147" s="26">
        <v>45.0</v>
      </c>
      <c r="J147" s="131">
        <v>45838.0</v>
      </c>
      <c r="L147" s="26" t="s">
        <v>5645</v>
      </c>
    </row>
    <row r="148">
      <c r="A148" s="26" t="s">
        <v>5654</v>
      </c>
      <c r="B148" s="26" t="s">
        <v>5641</v>
      </c>
      <c r="C148" s="26" t="s">
        <v>179</v>
      </c>
      <c r="D148" s="26">
        <v>7.0</v>
      </c>
      <c r="E148" s="131">
        <v>45835.0</v>
      </c>
      <c r="F148" s="26" t="s">
        <v>5642</v>
      </c>
      <c r="G148" s="26" t="s">
        <v>1037</v>
      </c>
      <c r="H148" s="110" t="s">
        <v>5632</v>
      </c>
      <c r="I148" s="102">
        <v>180.0</v>
      </c>
      <c r="J148" s="131">
        <v>45835.0</v>
      </c>
    </row>
    <row r="149">
      <c r="A149" s="26" t="s">
        <v>5654</v>
      </c>
      <c r="B149" s="26" t="s">
        <v>5641</v>
      </c>
      <c r="C149" s="26" t="s">
        <v>179</v>
      </c>
      <c r="D149" s="26">
        <v>7.0</v>
      </c>
      <c r="E149" s="131">
        <v>45828.0</v>
      </c>
      <c r="F149" s="26" t="s">
        <v>5642</v>
      </c>
      <c r="G149" s="26" t="s">
        <v>1037</v>
      </c>
      <c r="H149" s="110" t="s">
        <v>5632</v>
      </c>
      <c r="I149" s="102">
        <v>180.0</v>
      </c>
      <c r="J149" s="131">
        <v>45828.0</v>
      </c>
    </row>
    <row r="150">
      <c r="A150" s="26" t="s">
        <v>5654</v>
      </c>
      <c r="B150" s="132" t="s">
        <v>5634</v>
      </c>
      <c r="C150" s="26" t="s">
        <v>179</v>
      </c>
      <c r="D150" s="109">
        <v>65.0</v>
      </c>
      <c r="E150" s="131">
        <v>45826.0</v>
      </c>
      <c r="F150" s="26" t="s">
        <v>5643</v>
      </c>
      <c r="G150" s="26" t="s">
        <v>1037</v>
      </c>
      <c r="H150" s="26" t="s">
        <v>5632</v>
      </c>
      <c r="I150" s="26">
        <v>180.0</v>
      </c>
      <c r="J150" s="134">
        <v>45827.0</v>
      </c>
      <c r="L150" s="26" t="s">
        <v>5636</v>
      </c>
    </row>
    <row r="151">
      <c r="A151" s="26" t="s">
        <v>5654</v>
      </c>
      <c r="B151" s="26" t="s">
        <v>5641</v>
      </c>
      <c r="C151" s="26" t="s">
        <v>179</v>
      </c>
      <c r="D151" s="26">
        <v>7.0</v>
      </c>
      <c r="E151" s="131">
        <v>45821.0</v>
      </c>
      <c r="F151" s="26" t="s">
        <v>5642</v>
      </c>
      <c r="G151" s="26" t="s">
        <v>1037</v>
      </c>
      <c r="H151" s="110" t="s">
        <v>5632</v>
      </c>
      <c r="I151" s="102">
        <v>180.0</v>
      </c>
      <c r="J151" s="131">
        <v>45821.0</v>
      </c>
    </row>
    <row r="152">
      <c r="A152" s="26" t="s">
        <v>5654</v>
      </c>
      <c r="B152" s="130" t="s">
        <v>5644</v>
      </c>
      <c r="C152" s="26" t="s">
        <v>179</v>
      </c>
      <c r="D152" s="28">
        <v>4.0</v>
      </c>
      <c r="E152" s="131">
        <v>45817.0</v>
      </c>
      <c r="F152" s="26" t="s">
        <v>5635</v>
      </c>
      <c r="G152" s="26" t="s">
        <v>1037</v>
      </c>
      <c r="H152" s="26" t="s">
        <v>5632</v>
      </c>
      <c r="I152" s="26">
        <v>45.0</v>
      </c>
      <c r="J152" s="131">
        <v>45817.0</v>
      </c>
      <c r="L152" s="26" t="s">
        <v>5645</v>
      </c>
    </row>
    <row r="153">
      <c r="A153" s="26" t="s">
        <v>5654</v>
      </c>
      <c r="B153" s="26" t="s">
        <v>5641</v>
      </c>
      <c r="C153" s="26" t="s">
        <v>179</v>
      </c>
      <c r="D153" s="26">
        <v>7.0</v>
      </c>
      <c r="E153" s="131">
        <v>45814.0</v>
      </c>
      <c r="F153" s="26" t="s">
        <v>5642</v>
      </c>
      <c r="G153" s="26" t="s">
        <v>1037</v>
      </c>
      <c r="H153" s="110" t="s">
        <v>5632</v>
      </c>
      <c r="I153" s="102">
        <v>180.0</v>
      </c>
      <c r="J153" s="131">
        <v>45814.0</v>
      </c>
    </row>
    <row r="154">
      <c r="A154" s="26" t="s">
        <v>5654</v>
      </c>
      <c r="B154" s="130" t="s">
        <v>5644</v>
      </c>
      <c r="C154" s="26" t="s">
        <v>179</v>
      </c>
      <c r="D154" s="26">
        <v>42.0</v>
      </c>
      <c r="E154" s="131">
        <v>45813.0</v>
      </c>
      <c r="F154" s="26" t="s">
        <v>5635</v>
      </c>
      <c r="G154" s="26" t="s">
        <v>1037</v>
      </c>
      <c r="H154" s="26" t="s">
        <v>5632</v>
      </c>
      <c r="I154" s="26">
        <v>45.0</v>
      </c>
      <c r="J154" s="131">
        <v>45813.0</v>
      </c>
      <c r="L154" s="26" t="s">
        <v>5645</v>
      </c>
    </row>
    <row r="155">
      <c r="A155" s="26" t="s">
        <v>5654</v>
      </c>
      <c r="B155" s="132" t="s">
        <v>5634</v>
      </c>
      <c r="C155" s="26" t="s">
        <v>179</v>
      </c>
      <c r="D155" s="102">
        <v>30.0</v>
      </c>
      <c r="E155" s="131">
        <v>45812.0</v>
      </c>
      <c r="F155" s="26" t="s">
        <v>5635</v>
      </c>
      <c r="G155" s="26" t="s">
        <v>1037</v>
      </c>
      <c r="H155" s="26" t="s">
        <v>5632</v>
      </c>
      <c r="I155" s="26">
        <v>180.0</v>
      </c>
      <c r="J155" s="131">
        <v>45812.0</v>
      </c>
      <c r="L155" s="26" t="s">
        <v>5636</v>
      </c>
    </row>
    <row r="156">
      <c r="A156" s="26" t="s">
        <v>5654</v>
      </c>
      <c r="B156" s="130" t="s">
        <v>5637</v>
      </c>
      <c r="C156" s="26" t="s">
        <v>5638</v>
      </c>
      <c r="D156" s="102">
        <v>30.0</v>
      </c>
      <c r="E156" s="131">
        <v>45812.0</v>
      </c>
      <c r="F156" s="26" t="s">
        <v>5639</v>
      </c>
      <c r="G156" s="26" t="s">
        <v>1037</v>
      </c>
      <c r="H156" s="26" t="s">
        <v>5632</v>
      </c>
      <c r="I156" s="26">
        <v>15.0</v>
      </c>
      <c r="J156" s="131">
        <v>45812.0</v>
      </c>
      <c r="L156" s="26" t="s">
        <v>5640</v>
      </c>
    </row>
    <row r="157">
      <c r="A157" s="26" t="s">
        <v>5654</v>
      </c>
      <c r="B157" s="130" t="s">
        <v>5644</v>
      </c>
      <c r="C157" s="26" t="s">
        <v>179</v>
      </c>
      <c r="D157" s="28">
        <v>14.0</v>
      </c>
      <c r="E157" s="131">
        <v>45812.0</v>
      </c>
      <c r="F157" s="26" t="s">
        <v>5635</v>
      </c>
      <c r="G157" s="26" t="s">
        <v>1037</v>
      </c>
      <c r="H157" s="26" t="s">
        <v>5632</v>
      </c>
      <c r="I157" s="26">
        <v>45.0</v>
      </c>
      <c r="J157" s="131">
        <v>45812.0</v>
      </c>
      <c r="L157" s="26" t="s">
        <v>5645</v>
      </c>
    </row>
    <row r="158">
      <c r="A158" s="26" t="s">
        <v>5654</v>
      </c>
      <c r="B158" s="26" t="s">
        <v>5641</v>
      </c>
      <c r="C158" s="26" t="s">
        <v>179</v>
      </c>
      <c r="D158" s="26">
        <v>7.0</v>
      </c>
      <c r="E158" s="131">
        <v>45807.0</v>
      </c>
      <c r="F158" s="26" t="s">
        <v>5642</v>
      </c>
      <c r="G158" s="26" t="s">
        <v>1037</v>
      </c>
      <c r="H158" s="110" t="s">
        <v>5632</v>
      </c>
      <c r="I158" s="102">
        <v>180.0</v>
      </c>
      <c r="J158" s="131">
        <v>45807.0</v>
      </c>
    </row>
    <row r="159">
      <c r="A159" s="26" t="s">
        <v>5654</v>
      </c>
      <c r="B159" s="132" t="s">
        <v>5634</v>
      </c>
      <c r="C159" s="26" t="s">
        <v>179</v>
      </c>
      <c r="D159" s="28">
        <v>63.0</v>
      </c>
      <c r="E159" s="131">
        <v>45805.0</v>
      </c>
      <c r="F159" s="26" t="s">
        <v>5643</v>
      </c>
      <c r="G159" s="26" t="s">
        <v>1037</v>
      </c>
      <c r="H159" s="26" t="s">
        <v>5632</v>
      </c>
      <c r="I159" s="26">
        <v>180.0</v>
      </c>
      <c r="J159" s="134">
        <v>45806.0</v>
      </c>
      <c r="L159" s="26" t="s">
        <v>5636</v>
      </c>
    </row>
    <row r="160">
      <c r="A160" s="26" t="s">
        <v>5654</v>
      </c>
      <c r="B160" s="132" t="s">
        <v>5634</v>
      </c>
      <c r="C160" s="26" t="s">
        <v>179</v>
      </c>
      <c r="D160" s="26">
        <v>47.0</v>
      </c>
      <c r="E160" s="131">
        <v>45803.0</v>
      </c>
      <c r="F160" s="26" t="s">
        <v>5643</v>
      </c>
      <c r="G160" s="26" t="s">
        <v>1037</v>
      </c>
      <c r="H160" s="26" t="s">
        <v>5632</v>
      </c>
      <c r="I160" s="26">
        <v>180.0</v>
      </c>
      <c r="J160" s="134">
        <v>45804.0</v>
      </c>
      <c r="L160" s="26" t="s">
        <v>5636</v>
      </c>
    </row>
    <row r="161">
      <c r="A161" s="26" t="s">
        <v>5654</v>
      </c>
      <c r="B161" s="26" t="s">
        <v>5641</v>
      </c>
      <c r="C161" s="26" t="s">
        <v>179</v>
      </c>
      <c r="D161" s="26">
        <v>7.0</v>
      </c>
      <c r="E161" s="131">
        <v>45800.0</v>
      </c>
      <c r="F161" s="26" t="s">
        <v>5642</v>
      </c>
      <c r="G161" s="26" t="s">
        <v>1037</v>
      </c>
      <c r="H161" s="110" t="s">
        <v>5632</v>
      </c>
      <c r="I161" s="102">
        <v>180.0</v>
      </c>
      <c r="J161" s="131">
        <v>45800.0</v>
      </c>
    </row>
    <row r="162">
      <c r="A162" s="26" t="s">
        <v>5654</v>
      </c>
      <c r="B162" s="132" t="s">
        <v>5634</v>
      </c>
      <c r="C162" s="26" t="s">
        <v>179</v>
      </c>
      <c r="D162" s="28">
        <v>48.0</v>
      </c>
      <c r="E162" s="131">
        <v>45798.0</v>
      </c>
      <c r="F162" s="26" t="s">
        <v>5643</v>
      </c>
      <c r="G162" s="26" t="s">
        <v>1037</v>
      </c>
      <c r="H162" s="26" t="s">
        <v>5632</v>
      </c>
      <c r="I162" s="26">
        <v>180.0</v>
      </c>
      <c r="J162" s="134">
        <v>45799.0</v>
      </c>
      <c r="L162" s="26" t="s">
        <v>5636</v>
      </c>
    </row>
    <row r="163">
      <c r="A163" s="26" t="s">
        <v>5654</v>
      </c>
      <c r="B163" s="130" t="s">
        <v>5644</v>
      </c>
      <c r="C163" s="26" t="s">
        <v>179</v>
      </c>
      <c r="D163" s="26">
        <v>41.0</v>
      </c>
      <c r="E163" s="131">
        <v>45798.0</v>
      </c>
      <c r="F163" s="26" t="s">
        <v>5635</v>
      </c>
      <c r="G163" s="26" t="s">
        <v>1037</v>
      </c>
      <c r="H163" s="26" t="s">
        <v>5632</v>
      </c>
      <c r="I163" s="26">
        <v>45.0</v>
      </c>
      <c r="J163" s="131">
        <v>45798.0</v>
      </c>
      <c r="L163" s="26" t="s">
        <v>5645</v>
      </c>
    </row>
    <row r="164">
      <c r="A164" s="26" t="s">
        <v>5654</v>
      </c>
      <c r="B164" s="132" t="s">
        <v>5634</v>
      </c>
      <c r="C164" s="26" t="s">
        <v>179</v>
      </c>
      <c r="D164" s="28">
        <v>47.0</v>
      </c>
      <c r="E164" s="131">
        <v>45796.0</v>
      </c>
      <c r="F164" s="26" t="s">
        <v>5643</v>
      </c>
      <c r="G164" s="26" t="s">
        <v>1037</v>
      </c>
      <c r="H164" s="26" t="s">
        <v>5632</v>
      </c>
      <c r="I164" s="26">
        <v>180.0</v>
      </c>
      <c r="J164" s="134">
        <v>45797.0</v>
      </c>
      <c r="L164" s="26" t="s">
        <v>5636</v>
      </c>
    </row>
    <row r="165">
      <c r="A165" s="26" t="s">
        <v>5654</v>
      </c>
      <c r="B165" s="130" t="s">
        <v>5644</v>
      </c>
      <c r="C165" s="26" t="s">
        <v>179</v>
      </c>
      <c r="D165" s="28">
        <v>4.0</v>
      </c>
      <c r="E165" s="131">
        <v>45796.0</v>
      </c>
      <c r="F165" s="26" t="s">
        <v>5635</v>
      </c>
      <c r="G165" s="26" t="s">
        <v>1037</v>
      </c>
      <c r="H165" s="26" t="s">
        <v>5632</v>
      </c>
      <c r="I165" s="26">
        <v>45.0</v>
      </c>
      <c r="J165" s="131">
        <v>45796.0</v>
      </c>
      <c r="L165" s="26" t="s">
        <v>5645</v>
      </c>
    </row>
    <row r="166">
      <c r="A166" s="26" t="s">
        <v>5654</v>
      </c>
      <c r="B166" s="26" t="s">
        <v>5641</v>
      </c>
      <c r="C166" s="26" t="s">
        <v>179</v>
      </c>
      <c r="D166" s="26">
        <v>7.0</v>
      </c>
      <c r="E166" s="131">
        <v>45793.0</v>
      </c>
      <c r="F166" s="26" t="s">
        <v>5642</v>
      </c>
      <c r="G166" s="26" t="s">
        <v>1037</v>
      </c>
      <c r="H166" s="110" t="s">
        <v>5632</v>
      </c>
      <c r="I166" s="102">
        <v>180.0</v>
      </c>
      <c r="J166" s="131">
        <v>45793.0</v>
      </c>
    </row>
    <row r="167">
      <c r="A167" s="26" t="s">
        <v>5654</v>
      </c>
      <c r="B167" s="132" t="s">
        <v>5634</v>
      </c>
      <c r="C167" s="26" t="s">
        <v>179</v>
      </c>
      <c r="D167" s="28">
        <v>60.0</v>
      </c>
      <c r="E167" s="131">
        <v>45792.0</v>
      </c>
      <c r="F167" s="26" t="s">
        <v>5643</v>
      </c>
      <c r="G167" s="26" t="s">
        <v>1037</v>
      </c>
      <c r="H167" s="26" t="s">
        <v>5632</v>
      </c>
      <c r="I167" s="26">
        <v>180.0</v>
      </c>
      <c r="J167" s="134">
        <v>45793.0</v>
      </c>
      <c r="L167" s="26" t="s">
        <v>5636</v>
      </c>
    </row>
    <row r="168">
      <c r="A168" s="26" t="s">
        <v>5654</v>
      </c>
      <c r="B168" s="130" t="s">
        <v>5644</v>
      </c>
      <c r="C168" s="26" t="s">
        <v>179</v>
      </c>
      <c r="D168" s="26">
        <v>40.0</v>
      </c>
      <c r="E168" s="131">
        <v>45792.0</v>
      </c>
      <c r="F168" s="26" t="s">
        <v>5635</v>
      </c>
      <c r="G168" s="26" t="s">
        <v>1037</v>
      </c>
      <c r="H168" s="26" t="s">
        <v>5632</v>
      </c>
      <c r="I168" s="26">
        <v>45.0</v>
      </c>
      <c r="J168" s="131">
        <v>45792.0</v>
      </c>
      <c r="L168" s="26" t="s">
        <v>5645</v>
      </c>
    </row>
    <row r="169">
      <c r="A169" s="26" t="s">
        <v>5654</v>
      </c>
      <c r="B169" s="132" t="s">
        <v>5634</v>
      </c>
      <c r="C169" s="26" t="s">
        <v>179</v>
      </c>
      <c r="D169" s="26">
        <v>51.0</v>
      </c>
      <c r="E169" s="131">
        <v>45791.0</v>
      </c>
      <c r="F169" s="26" t="s">
        <v>5643</v>
      </c>
      <c r="G169" s="26" t="s">
        <v>1037</v>
      </c>
      <c r="H169" s="26" t="s">
        <v>5632</v>
      </c>
      <c r="I169" s="26">
        <v>180.0</v>
      </c>
      <c r="J169" s="134">
        <v>45792.0</v>
      </c>
      <c r="L169" s="26" t="s">
        <v>5636</v>
      </c>
    </row>
    <row r="170">
      <c r="A170" s="26" t="s">
        <v>5654</v>
      </c>
      <c r="B170" s="132" t="s">
        <v>5634</v>
      </c>
      <c r="C170" s="26" t="s">
        <v>179</v>
      </c>
      <c r="D170" s="28">
        <v>28.0</v>
      </c>
      <c r="E170" s="131">
        <v>45790.0</v>
      </c>
      <c r="F170" s="26" t="s">
        <v>5643</v>
      </c>
      <c r="G170" s="26" t="s">
        <v>1037</v>
      </c>
      <c r="H170" s="26" t="s">
        <v>5632</v>
      </c>
      <c r="I170" s="26">
        <v>180.0</v>
      </c>
      <c r="J170" s="134">
        <v>45791.0</v>
      </c>
      <c r="L170" s="26" t="s">
        <v>5636</v>
      </c>
    </row>
    <row r="171">
      <c r="A171" s="26" t="s">
        <v>5654</v>
      </c>
      <c r="B171" s="130" t="s">
        <v>5644</v>
      </c>
      <c r="C171" s="26" t="s">
        <v>179</v>
      </c>
      <c r="D171" s="28">
        <v>6.0</v>
      </c>
      <c r="E171" s="131">
        <v>45789.0</v>
      </c>
      <c r="F171" s="26" t="s">
        <v>5635</v>
      </c>
      <c r="G171" s="26" t="s">
        <v>1037</v>
      </c>
      <c r="H171" s="26" t="s">
        <v>5632</v>
      </c>
      <c r="I171" s="26">
        <v>45.0</v>
      </c>
      <c r="J171" s="131">
        <v>45789.0</v>
      </c>
      <c r="L171" s="26" t="s">
        <v>5645</v>
      </c>
    </row>
    <row r="172">
      <c r="A172" s="26" t="s">
        <v>5654</v>
      </c>
      <c r="B172" s="26" t="s">
        <v>5641</v>
      </c>
      <c r="C172" s="26" t="s">
        <v>179</v>
      </c>
      <c r="D172" s="26">
        <v>14.0</v>
      </c>
      <c r="E172" s="131">
        <v>45786.0</v>
      </c>
      <c r="F172" s="26" t="s">
        <v>5642</v>
      </c>
      <c r="G172" s="26" t="s">
        <v>1037</v>
      </c>
      <c r="H172" s="110" t="s">
        <v>5632</v>
      </c>
      <c r="I172" s="102">
        <v>180.0</v>
      </c>
      <c r="J172" s="131">
        <v>45786.0</v>
      </c>
    </row>
    <row r="173">
      <c r="A173" s="26" t="s">
        <v>5654</v>
      </c>
      <c r="B173" s="130" t="s">
        <v>5644</v>
      </c>
      <c r="C173" s="26" t="s">
        <v>179</v>
      </c>
      <c r="D173" s="26">
        <v>39.0</v>
      </c>
      <c r="E173" s="131">
        <v>45783.0</v>
      </c>
      <c r="F173" s="26" t="s">
        <v>5635</v>
      </c>
      <c r="G173" s="26" t="s">
        <v>1037</v>
      </c>
      <c r="H173" s="26" t="s">
        <v>5632</v>
      </c>
      <c r="I173" s="26">
        <v>45.0</v>
      </c>
      <c r="J173" s="131">
        <v>45783.0</v>
      </c>
      <c r="L173" s="26" t="s">
        <v>5645</v>
      </c>
    </row>
    <row r="174">
      <c r="A174" s="105" t="s">
        <v>5655</v>
      </c>
      <c r="B174" s="132" t="s">
        <v>5634</v>
      </c>
      <c r="C174" s="26" t="s">
        <v>179</v>
      </c>
      <c r="D174" s="102">
        <v>30.0</v>
      </c>
      <c r="E174" s="131">
        <v>45782.0</v>
      </c>
      <c r="F174" s="26" t="s">
        <v>5635</v>
      </c>
      <c r="G174" s="26" t="s">
        <v>1037</v>
      </c>
      <c r="H174" s="26" t="s">
        <v>5632</v>
      </c>
      <c r="I174" s="26">
        <v>180.0</v>
      </c>
      <c r="J174" s="131">
        <v>45782.0</v>
      </c>
      <c r="L174" s="26" t="s">
        <v>5636</v>
      </c>
      <c r="M174" s="110"/>
      <c r="N174" s="110"/>
      <c r="O174" s="110"/>
      <c r="P174" s="110"/>
      <c r="Q174" s="110"/>
      <c r="R174" s="110"/>
      <c r="S174" s="110"/>
      <c r="T174" s="110"/>
      <c r="U174" s="110"/>
      <c r="V174" s="110"/>
      <c r="W174" s="110"/>
      <c r="X174" s="110"/>
      <c r="Y174" s="110"/>
      <c r="Z174" s="110"/>
    </row>
    <row r="175">
      <c r="A175" s="105" t="s">
        <v>5655</v>
      </c>
      <c r="B175" s="130" t="s">
        <v>5637</v>
      </c>
      <c r="C175" s="26" t="s">
        <v>5638</v>
      </c>
      <c r="D175" s="102">
        <v>30.0</v>
      </c>
      <c r="E175" s="131">
        <v>45782.0</v>
      </c>
      <c r="F175" s="26" t="s">
        <v>5639</v>
      </c>
      <c r="G175" s="26" t="s">
        <v>1037</v>
      </c>
      <c r="H175" s="26" t="s">
        <v>5632</v>
      </c>
      <c r="I175" s="26">
        <v>15.0</v>
      </c>
      <c r="J175" s="131">
        <v>45782.0</v>
      </c>
      <c r="L175" s="26" t="s">
        <v>5640</v>
      </c>
      <c r="M175" s="110"/>
      <c r="N175" s="110"/>
      <c r="O175" s="110"/>
      <c r="P175" s="110"/>
      <c r="Q175" s="110"/>
      <c r="R175" s="110"/>
      <c r="S175" s="110"/>
      <c r="T175" s="110"/>
      <c r="U175" s="110"/>
      <c r="V175" s="110"/>
      <c r="W175" s="110"/>
      <c r="X175" s="110"/>
      <c r="Y175" s="110"/>
      <c r="Z175" s="110"/>
    </row>
    <row r="176">
      <c r="A176" s="26" t="s">
        <v>5656</v>
      </c>
      <c r="B176" s="130" t="s">
        <v>5644</v>
      </c>
      <c r="C176" s="26" t="s">
        <v>179</v>
      </c>
      <c r="D176" s="28">
        <v>4.0</v>
      </c>
      <c r="E176" s="131">
        <v>45772.0</v>
      </c>
      <c r="F176" s="26" t="s">
        <v>5635</v>
      </c>
      <c r="G176" s="26" t="s">
        <v>1037</v>
      </c>
      <c r="H176" s="26" t="s">
        <v>5632</v>
      </c>
      <c r="I176" s="26">
        <v>45.0</v>
      </c>
      <c r="J176" s="131">
        <v>45772.0</v>
      </c>
      <c r="L176" s="26" t="s">
        <v>5645</v>
      </c>
    </row>
    <row r="177">
      <c r="A177" s="26" t="s">
        <v>5656</v>
      </c>
      <c r="B177" s="26" t="s">
        <v>5641</v>
      </c>
      <c r="C177" s="26" t="s">
        <v>179</v>
      </c>
      <c r="D177" s="26">
        <v>7.0</v>
      </c>
      <c r="E177" s="131">
        <v>45772.0</v>
      </c>
      <c r="F177" s="26" t="s">
        <v>5642</v>
      </c>
      <c r="G177" s="26" t="s">
        <v>1037</v>
      </c>
      <c r="H177" s="110" t="s">
        <v>5632</v>
      </c>
      <c r="I177" s="102">
        <v>180.0</v>
      </c>
      <c r="J177" s="131">
        <v>45772.0</v>
      </c>
    </row>
    <row r="178">
      <c r="A178" s="26" t="s">
        <v>5656</v>
      </c>
      <c r="B178" s="132" t="s">
        <v>5634</v>
      </c>
      <c r="C178" s="26" t="s">
        <v>179</v>
      </c>
      <c r="D178" s="26">
        <v>41.0</v>
      </c>
      <c r="E178" s="131">
        <v>45769.0</v>
      </c>
      <c r="F178" s="26" t="s">
        <v>5643</v>
      </c>
      <c r="G178" s="26" t="s">
        <v>1037</v>
      </c>
      <c r="H178" s="26" t="s">
        <v>5632</v>
      </c>
      <c r="I178" s="26">
        <v>180.0</v>
      </c>
      <c r="J178" s="134">
        <v>45770.0</v>
      </c>
      <c r="L178" s="26" t="s">
        <v>5636</v>
      </c>
    </row>
    <row r="179">
      <c r="A179" s="26" t="s">
        <v>5656</v>
      </c>
      <c r="B179" s="130" t="s">
        <v>5644</v>
      </c>
      <c r="C179" s="26" t="s">
        <v>179</v>
      </c>
      <c r="D179" s="26">
        <v>38.0</v>
      </c>
      <c r="E179" s="131">
        <v>45768.0</v>
      </c>
      <c r="F179" s="26" t="s">
        <v>5635</v>
      </c>
      <c r="G179" s="26" t="s">
        <v>1037</v>
      </c>
      <c r="H179" s="26" t="s">
        <v>5632</v>
      </c>
      <c r="I179" s="26">
        <v>45.0</v>
      </c>
      <c r="J179" s="131">
        <v>45768.0</v>
      </c>
      <c r="L179" s="26" t="s">
        <v>5645</v>
      </c>
    </row>
    <row r="180">
      <c r="A180" s="26" t="s">
        <v>5656</v>
      </c>
      <c r="B180" s="130" t="s">
        <v>5644</v>
      </c>
      <c r="C180" s="26" t="s">
        <v>179</v>
      </c>
      <c r="D180" s="28">
        <v>4.0</v>
      </c>
      <c r="E180" s="131">
        <v>45765.0</v>
      </c>
      <c r="F180" s="26" t="s">
        <v>5635</v>
      </c>
      <c r="G180" s="26" t="s">
        <v>1037</v>
      </c>
      <c r="H180" s="26" t="s">
        <v>5632</v>
      </c>
      <c r="I180" s="26">
        <v>45.0</v>
      </c>
      <c r="J180" s="131">
        <v>45765.0</v>
      </c>
      <c r="L180" s="26" t="s">
        <v>5645</v>
      </c>
    </row>
    <row r="181">
      <c r="A181" s="26" t="s">
        <v>5656</v>
      </c>
      <c r="B181" s="26" t="s">
        <v>5641</v>
      </c>
      <c r="C181" s="26" t="s">
        <v>179</v>
      </c>
      <c r="D181" s="26">
        <v>7.0</v>
      </c>
      <c r="E181" s="131">
        <v>45765.0</v>
      </c>
      <c r="F181" s="26" t="s">
        <v>5642</v>
      </c>
      <c r="G181" s="26" t="s">
        <v>1037</v>
      </c>
      <c r="H181" s="110" t="s">
        <v>5632</v>
      </c>
      <c r="I181" s="102">
        <v>180.0</v>
      </c>
      <c r="J181" s="131">
        <v>45765.0</v>
      </c>
    </row>
    <row r="182">
      <c r="A182" s="26" t="s">
        <v>5656</v>
      </c>
      <c r="B182" s="132" t="s">
        <v>5634</v>
      </c>
      <c r="C182" s="26" t="s">
        <v>179</v>
      </c>
      <c r="D182" s="26">
        <v>28.0</v>
      </c>
      <c r="E182" s="131">
        <v>45762.0</v>
      </c>
      <c r="F182" s="26" t="s">
        <v>5643</v>
      </c>
      <c r="G182" s="26" t="s">
        <v>1037</v>
      </c>
      <c r="H182" s="26" t="s">
        <v>5632</v>
      </c>
      <c r="I182" s="26">
        <v>180.0</v>
      </c>
      <c r="J182" s="134">
        <v>45763.0</v>
      </c>
      <c r="L182" s="26" t="s">
        <v>5636</v>
      </c>
    </row>
    <row r="183">
      <c r="A183" s="26" t="s">
        <v>5656</v>
      </c>
      <c r="B183" s="132" t="s">
        <v>5634</v>
      </c>
      <c r="C183" s="26" t="s">
        <v>179</v>
      </c>
      <c r="D183" s="102">
        <v>39.0</v>
      </c>
      <c r="E183" s="131">
        <v>45761.0</v>
      </c>
      <c r="F183" s="26" t="s">
        <v>5643</v>
      </c>
      <c r="G183" s="26" t="s">
        <v>1037</v>
      </c>
      <c r="H183" s="26" t="s">
        <v>5632</v>
      </c>
      <c r="I183" s="26">
        <v>180.0</v>
      </c>
      <c r="J183" s="134">
        <v>45762.0</v>
      </c>
      <c r="L183" s="26" t="s">
        <v>5636</v>
      </c>
    </row>
    <row r="184">
      <c r="A184" s="26" t="s">
        <v>5656</v>
      </c>
      <c r="B184" s="130" t="s">
        <v>5644</v>
      </c>
      <c r="C184" s="26" t="s">
        <v>179</v>
      </c>
      <c r="D184" s="26">
        <v>37.0</v>
      </c>
      <c r="E184" s="131">
        <v>45761.0</v>
      </c>
      <c r="F184" s="26" t="s">
        <v>5643</v>
      </c>
      <c r="G184" s="26" t="s">
        <v>1037</v>
      </c>
      <c r="H184" s="26" t="s">
        <v>5632</v>
      </c>
      <c r="I184" s="26">
        <v>45.0</v>
      </c>
      <c r="J184" s="131">
        <v>45761.0</v>
      </c>
      <c r="L184" s="26" t="s">
        <v>5645</v>
      </c>
    </row>
    <row r="185">
      <c r="A185" s="26" t="s">
        <v>5656</v>
      </c>
      <c r="B185" s="26" t="s">
        <v>5641</v>
      </c>
      <c r="C185" s="26" t="s">
        <v>179</v>
      </c>
      <c r="D185" s="26">
        <v>7.0</v>
      </c>
      <c r="E185" s="131">
        <v>45758.0</v>
      </c>
      <c r="F185" s="26" t="s">
        <v>5642</v>
      </c>
      <c r="G185" s="26" t="s">
        <v>1037</v>
      </c>
      <c r="H185" s="110" t="s">
        <v>5632</v>
      </c>
      <c r="I185" s="102">
        <v>180.0</v>
      </c>
      <c r="J185" s="131">
        <v>45758.0</v>
      </c>
    </row>
    <row r="186">
      <c r="A186" s="26" t="s">
        <v>5656</v>
      </c>
      <c r="B186" s="132" t="s">
        <v>5634</v>
      </c>
      <c r="C186" s="26" t="s">
        <v>179</v>
      </c>
      <c r="D186" s="28">
        <v>30.0</v>
      </c>
      <c r="E186" s="131">
        <v>45756.0</v>
      </c>
      <c r="F186" s="26" t="s">
        <v>5643</v>
      </c>
      <c r="G186" s="26" t="s">
        <v>1037</v>
      </c>
      <c r="H186" s="26" t="s">
        <v>5632</v>
      </c>
      <c r="I186" s="26">
        <v>180.0</v>
      </c>
      <c r="J186" s="134">
        <v>45757.0</v>
      </c>
      <c r="L186" s="26" t="s">
        <v>5636</v>
      </c>
    </row>
    <row r="187">
      <c r="A187" s="26" t="s">
        <v>5656</v>
      </c>
      <c r="B187" s="130" t="s">
        <v>5644</v>
      </c>
      <c r="C187" s="26" t="s">
        <v>179</v>
      </c>
      <c r="D187" s="26">
        <v>36.0</v>
      </c>
      <c r="E187" s="131">
        <v>45756.0</v>
      </c>
      <c r="F187" s="26" t="s">
        <v>5643</v>
      </c>
      <c r="G187" s="26" t="s">
        <v>1037</v>
      </c>
      <c r="H187" s="26" t="s">
        <v>5632</v>
      </c>
      <c r="I187" s="26">
        <v>45.0</v>
      </c>
      <c r="J187" s="131">
        <v>45756.0</v>
      </c>
      <c r="L187" s="26" t="s">
        <v>5645</v>
      </c>
    </row>
    <row r="188">
      <c r="A188" s="26" t="s">
        <v>5656</v>
      </c>
      <c r="B188" s="132" t="s">
        <v>5634</v>
      </c>
      <c r="C188" s="26" t="s">
        <v>179</v>
      </c>
      <c r="D188" s="102">
        <v>30.0</v>
      </c>
      <c r="E188" s="131">
        <v>45752.0</v>
      </c>
      <c r="F188" s="26" t="s">
        <v>5643</v>
      </c>
      <c r="G188" s="26" t="s">
        <v>1037</v>
      </c>
      <c r="H188" s="26" t="s">
        <v>5632</v>
      </c>
      <c r="I188" s="26">
        <v>180.0</v>
      </c>
      <c r="J188" s="131">
        <v>45752.0</v>
      </c>
      <c r="L188" s="26" t="s">
        <v>5636</v>
      </c>
    </row>
    <row r="189">
      <c r="A189" s="26" t="s">
        <v>5656</v>
      </c>
      <c r="B189" s="130" t="s">
        <v>5637</v>
      </c>
      <c r="C189" s="26" t="s">
        <v>5638</v>
      </c>
      <c r="D189" s="102">
        <v>30.0</v>
      </c>
      <c r="E189" s="131">
        <v>45752.0</v>
      </c>
      <c r="F189" s="26" t="s">
        <v>5639</v>
      </c>
      <c r="G189" s="26" t="s">
        <v>1037</v>
      </c>
      <c r="H189" s="26" t="s">
        <v>5632</v>
      </c>
      <c r="I189" s="26">
        <v>15.0</v>
      </c>
      <c r="J189" s="131">
        <v>45782.0</v>
      </c>
      <c r="L189" s="26" t="s">
        <v>5640</v>
      </c>
    </row>
    <row r="190">
      <c r="A190" s="26" t="s">
        <v>5656</v>
      </c>
      <c r="B190" s="130" t="s">
        <v>5646</v>
      </c>
      <c r="C190" s="26" t="s">
        <v>5638</v>
      </c>
      <c r="D190" s="26">
        <v>365.0</v>
      </c>
      <c r="E190" s="133">
        <v>45752.0</v>
      </c>
      <c r="F190" s="26" t="s">
        <v>5647</v>
      </c>
      <c r="G190" s="26" t="s">
        <v>1037</v>
      </c>
      <c r="H190" s="26" t="s">
        <v>5632</v>
      </c>
      <c r="I190" s="26">
        <v>240.0</v>
      </c>
      <c r="J190" s="133">
        <v>45752.0</v>
      </c>
      <c r="L190" s="26" t="s">
        <v>5648</v>
      </c>
    </row>
    <row r="191">
      <c r="A191" s="26" t="s">
        <v>5656</v>
      </c>
      <c r="B191" s="105" t="s">
        <v>5649</v>
      </c>
      <c r="C191" s="105" t="s">
        <v>5650</v>
      </c>
      <c r="D191" s="109">
        <v>365.0</v>
      </c>
      <c r="E191" s="138">
        <v>45752.0</v>
      </c>
      <c r="F191" s="105" t="s">
        <v>5651</v>
      </c>
      <c r="G191" s="110" t="s">
        <v>1037</v>
      </c>
      <c r="H191" s="110" t="s">
        <v>5632</v>
      </c>
      <c r="I191" s="102">
        <v>180.0</v>
      </c>
      <c r="J191" s="138">
        <v>45752.0</v>
      </c>
      <c r="K191" s="110"/>
      <c r="L191" s="110" t="s">
        <v>5648</v>
      </c>
    </row>
    <row r="192">
      <c r="A192" s="26" t="s">
        <v>5656</v>
      </c>
      <c r="B192" s="26" t="s">
        <v>5641</v>
      </c>
      <c r="C192" s="26" t="s">
        <v>179</v>
      </c>
      <c r="D192" s="26">
        <v>7.0</v>
      </c>
      <c r="E192" s="131">
        <v>45751.0</v>
      </c>
      <c r="F192" s="26" t="s">
        <v>5642</v>
      </c>
      <c r="G192" s="26" t="s">
        <v>1037</v>
      </c>
      <c r="H192" s="110" t="s">
        <v>5632</v>
      </c>
      <c r="I192" s="102">
        <v>180.0</v>
      </c>
      <c r="J192" s="131">
        <v>45751.0</v>
      </c>
    </row>
    <row r="193">
      <c r="A193" s="26" t="s">
        <v>5656</v>
      </c>
      <c r="B193" s="132" t="s">
        <v>5634</v>
      </c>
      <c r="C193" s="26" t="s">
        <v>179</v>
      </c>
      <c r="D193" s="28">
        <v>29.0</v>
      </c>
      <c r="E193" s="131">
        <v>45750.0</v>
      </c>
      <c r="F193" s="26" t="s">
        <v>5643</v>
      </c>
      <c r="G193" s="26" t="s">
        <v>1037</v>
      </c>
      <c r="H193" s="26" t="s">
        <v>5632</v>
      </c>
      <c r="I193" s="26">
        <v>180.0</v>
      </c>
      <c r="J193" s="134">
        <v>45751.0</v>
      </c>
      <c r="L193" s="26" t="s">
        <v>5636</v>
      </c>
    </row>
    <row r="194">
      <c r="A194" s="26" t="s">
        <v>5656</v>
      </c>
      <c r="B194" s="132" t="s">
        <v>5634</v>
      </c>
      <c r="C194" s="26" t="s">
        <v>179</v>
      </c>
      <c r="D194" s="28">
        <v>34.0</v>
      </c>
      <c r="E194" s="131">
        <v>45749.0</v>
      </c>
      <c r="F194" s="26" t="s">
        <v>5643</v>
      </c>
      <c r="G194" s="26" t="s">
        <v>1037</v>
      </c>
      <c r="H194" s="26" t="s">
        <v>5632</v>
      </c>
      <c r="I194" s="26">
        <v>180.0</v>
      </c>
      <c r="J194" s="134">
        <v>45750.0</v>
      </c>
      <c r="L194" s="26" t="s">
        <v>5636</v>
      </c>
    </row>
    <row r="195">
      <c r="A195" s="26" t="s">
        <v>5656</v>
      </c>
      <c r="B195" s="130" t="s">
        <v>5644</v>
      </c>
      <c r="C195" s="26" t="s">
        <v>179</v>
      </c>
      <c r="D195" s="28">
        <v>7.0</v>
      </c>
      <c r="E195" s="131">
        <v>45747.0</v>
      </c>
      <c r="F195" s="26" t="s">
        <v>5643</v>
      </c>
      <c r="G195" s="26" t="s">
        <v>1037</v>
      </c>
      <c r="H195" s="26" t="s">
        <v>5632</v>
      </c>
      <c r="I195" s="26">
        <v>45.0</v>
      </c>
      <c r="J195" s="131">
        <v>45747.0</v>
      </c>
      <c r="L195" s="26" t="s">
        <v>5645</v>
      </c>
    </row>
    <row r="196">
      <c r="A196" s="26" t="s">
        <v>5656</v>
      </c>
      <c r="B196" s="26" t="s">
        <v>5641</v>
      </c>
      <c r="C196" s="26" t="s">
        <v>179</v>
      </c>
      <c r="D196" s="26">
        <v>7.0</v>
      </c>
      <c r="E196" s="131">
        <v>45744.0</v>
      </c>
      <c r="F196" s="26" t="s">
        <v>5642</v>
      </c>
      <c r="G196" s="26" t="s">
        <v>1037</v>
      </c>
      <c r="H196" s="110" t="s">
        <v>5632</v>
      </c>
      <c r="I196" s="102">
        <v>180.0</v>
      </c>
      <c r="J196" s="131">
        <v>45744.0</v>
      </c>
    </row>
    <row r="197">
      <c r="A197" s="26" t="s">
        <v>5656</v>
      </c>
      <c r="B197" s="132" t="s">
        <v>5634</v>
      </c>
      <c r="C197" s="26" t="s">
        <v>179</v>
      </c>
      <c r="D197" s="26">
        <v>30.0</v>
      </c>
      <c r="E197" s="131">
        <v>45742.0</v>
      </c>
      <c r="F197" s="26" t="s">
        <v>5643</v>
      </c>
      <c r="G197" s="26" t="s">
        <v>1037</v>
      </c>
      <c r="H197" s="26" t="s">
        <v>5632</v>
      </c>
      <c r="I197" s="26">
        <v>180.0</v>
      </c>
      <c r="J197" s="134">
        <v>45743.0</v>
      </c>
      <c r="L197" s="26" t="s">
        <v>5636</v>
      </c>
    </row>
    <row r="198">
      <c r="A198" s="26" t="s">
        <v>5656</v>
      </c>
      <c r="B198" s="132" t="s">
        <v>5634</v>
      </c>
      <c r="C198" s="26" t="s">
        <v>179</v>
      </c>
      <c r="D198" s="28">
        <v>34.0</v>
      </c>
      <c r="E198" s="131">
        <v>45740.0</v>
      </c>
      <c r="F198" s="26" t="s">
        <v>5643</v>
      </c>
      <c r="G198" s="26" t="s">
        <v>1037</v>
      </c>
      <c r="H198" s="26" t="s">
        <v>5632</v>
      </c>
      <c r="I198" s="26">
        <v>180.0</v>
      </c>
      <c r="J198" s="134">
        <v>45741.0</v>
      </c>
      <c r="L198" s="26" t="s">
        <v>5636</v>
      </c>
    </row>
    <row r="199">
      <c r="A199" s="26" t="s">
        <v>5656</v>
      </c>
      <c r="B199" s="130" t="s">
        <v>5644</v>
      </c>
      <c r="C199" s="26" t="s">
        <v>179</v>
      </c>
      <c r="D199" s="26">
        <v>35.0</v>
      </c>
      <c r="E199" s="131">
        <v>45740.0</v>
      </c>
      <c r="F199" s="26" t="s">
        <v>5643</v>
      </c>
      <c r="G199" s="26" t="s">
        <v>1037</v>
      </c>
      <c r="H199" s="26" t="s">
        <v>5632</v>
      </c>
      <c r="I199" s="26">
        <v>45.0</v>
      </c>
      <c r="J199" s="131">
        <v>45740.0</v>
      </c>
      <c r="L199" s="26" t="s">
        <v>5645</v>
      </c>
    </row>
    <row r="200">
      <c r="A200" s="26" t="s">
        <v>5656</v>
      </c>
      <c r="B200" s="130" t="s">
        <v>5644</v>
      </c>
      <c r="C200" s="26" t="s">
        <v>179</v>
      </c>
      <c r="D200" s="28">
        <v>1.0</v>
      </c>
      <c r="E200" s="131">
        <v>45738.0</v>
      </c>
      <c r="F200" s="26" t="s">
        <v>5643</v>
      </c>
      <c r="G200" s="26" t="s">
        <v>1037</v>
      </c>
      <c r="H200" s="26" t="s">
        <v>5632</v>
      </c>
      <c r="I200" s="26">
        <v>45.0</v>
      </c>
      <c r="J200" s="131">
        <v>45738.0</v>
      </c>
      <c r="L200" s="26" t="s">
        <v>5645</v>
      </c>
    </row>
    <row r="201">
      <c r="A201" s="26" t="s">
        <v>5656</v>
      </c>
      <c r="B201" s="130" t="s">
        <v>5644</v>
      </c>
      <c r="C201" s="26" t="s">
        <v>179</v>
      </c>
      <c r="D201" s="26">
        <v>34.0</v>
      </c>
      <c r="E201" s="131">
        <v>45737.0</v>
      </c>
      <c r="F201" s="26" t="s">
        <v>5643</v>
      </c>
      <c r="G201" s="26" t="s">
        <v>1037</v>
      </c>
      <c r="H201" s="26" t="s">
        <v>5632</v>
      </c>
      <c r="I201" s="26">
        <v>45.0</v>
      </c>
      <c r="J201" s="131">
        <v>45737.0</v>
      </c>
      <c r="L201" s="26" t="s">
        <v>5645</v>
      </c>
    </row>
    <row r="202">
      <c r="A202" s="26" t="s">
        <v>5656</v>
      </c>
      <c r="B202" s="26" t="s">
        <v>5641</v>
      </c>
      <c r="C202" s="26" t="s">
        <v>179</v>
      </c>
      <c r="D202" s="26">
        <v>7.0</v>
      </c>
      <c r="E202" s="131">
        <v>45737.0</v>
      </c>
      <c r="F202" s="26" t="s">
        <v>5642</v>
      </c>
      <c r="G202" s="26" t="s">
        <v>1037</v>
      </c>
      <c r="H202" s="110" t="s">
        <v>5632</v>
      </c>
      <c r="I202" s="102">
        <v>180.0</v>
      </c>
      <c r="J202" s="131">
        <v>45737.0</v>
      </c>
    </row>
    <row r="203">
      <c r="A203" s="26" t="s">
        <v>5656</v>
      </c>
      <c r="B203" s="132" t="s">
        <v>5634</v>
      </c>
      <c r="C203" s="26" t="s">
        <v>179</v>
      </c>
      <c r="D203" s="28">
        <v>30.0</v>
      </c>
      <c r="E203" s="131">
        <v>45734.0</v>
      </c>
      <c r="F203" s="26" t="s">
        <v>5643</v>
      </c>
      <c r="G203" s="26" t="s">
        <v>1037</v>
      </c>
      <c r="H203" s="26" t="s">
        <v>5632</v>
      </c>
      <c r="I203" s="26">
        <v>180.0</v>
      </c>
      <c r="J203" s="134">
        <v>45735.0</v>
      </c>
      <c r="L203" s="26" t="s">
        <v>5636</v>
      </c>
    </row>
    <row r="204">
      <c r="A204" s="26" t="s">
        <v>5656</v>
      </c>
      <c r="B204" s="132" t="s">
        <v>5634</v>
      </c>
      <c r="C204" s="26" t="s">
        <v>179</v>
      </c>
      <c r="D204" s="28">
        <v>55.0</v>
      </c>
      <c r="E204" s="133">
        <v>45731.0</v>
      </c>
      <c r="F204" s="26" t="s">
        <v>5643</v>
      </c>
      <c r="G204" s="26" t="s">
        <v>1037</v>
      </c>
      <c r="H204" s="26" t="s">
        <v>5632</v>
      </c>
      <c r="I204" s="26">
        <v>180.0</v>
      </c>
      <c r="J204" s="134">
        <v>45733.0</v>
      </c>
      <c r="L204" s="26" t="s">
        <v>5636</v>
      </c>
    </row>
    <row r="205">
      <c r="A205" s="26" t="s">
        <v>5656</v>
      </c>
      <c r="B205" s="130" t="s">
        <v>5644</v>
      </c>
      <c r="C205" s="26" t="s">
        <v>179</v>
      </c>
      <c r="D205" s="28">
        <v>4.0</v>
      </c>
      <c r="E205" s="133">
        <v>45730.0</v>
      </c>
      <c r="F205" s="26" t="s">
        <v>5643</v>
      </c>
      <c r="G205" s="26" t="s">
        <v>1037</v>
      </c>
      <c r="H205" s="26" t="s">
        <v>5632</v>
      </c>
      <c r="I205" s="26">
        <v>45.0</v>
      </c>
      <c r="J205" s="133">
        <v>45730.0</v>
      </c>
      <c r="L205" s="26" t="s">
        <v>5645</v>
      </c>
    </row>
    <row r="206">
      <c r="A206" s="26" t="s">
        <v>5656</v>
      </c>
      <c r="B206" s="26" t="s">
        <v>5641</v>
      </c>
      <c r="C206" s="26" t="s">
        <v>179</v>
      </c>
      <c r="D206" s="26">
        <v>7.0</v>
      </c>
      <c r="E206" s="131">
        <v>45730.0</v>
      </c>
      <c r="F206" s="26" t="s">
        <v>5642</v>
      </c>
      <c r="G206" s="26" t="s">
        <v>1037</v>
      </c>
      <c r="H206" s="110" t="s">
        <v>5632</v>
      </c>
      <c r="I206" s="102">
        <v>180.0</v>
      </c>
      <c r="J206" s="131">
        <v>45730.0</v>
      </c>
    </row>
    <row r="207">
      <c r="A207" s="26" t="s">
        <v>5656</v>
      </c>
      <c r="B207" s="132" t="s">
        <v>5634</v>
      </c>
      <c r="C207" s="26" t="s">
        <v>179</v>
      </c>
      <c r="D207" s="26">
        <v>30.0</v>
      </c>
      <c r="E207" s="131">
        <v>45728.0</v>
      </c>
      <c r="F207" s="26" t="s">
        <v>5643</v>
      </c>
      <c r="G207" s="26" t="s">
        <v>1037</v>
      </c>
      <c r="H207" s="26" t="s">
        <v>5632</v>
      </c>
      <c r="I207" s="26">
        <v>180.0</v>
      </c>
      <c r="J207" s="134">
        <v>45729.0</v>
      </c>
      <c r="L207" s="26" t="s">
        <v>5636</v>
      </c>
    </row>
    <row r="208">
      <c r="A208" s="26" t="s">
        <v>5656</v>
      </c>
      <c r="B208" s="132" t="s">
        <v>5634</v>
      </c>
      <c r="C208" s="26" t="s">
        <v>179</v>
      </c>
      <c r="D208" s="26">
        <v>30.0</v>
      </c>
      <c r="E208" s="131">
        <v>45726.0</v>
      </c>
      <c r="F208" s="26" t="s">
        <v>5643</v>
      </c>
      <c r="G208" s="26" t="s">
        <v>1037</v>
      </c>
      <c r="H208" s="26" t="s">
        <v>5632</v>
      </c>
      <c r="I208" s="26">
        <v>180.0</v>
      </c>
      <c r="J208" s="134">
        <v>45727.0</v>
      </c>
      <c r="L208" s="26" t="s">
        <v>5636</v>
      </c>
    </row>
    <row r="209">
      <c r="A209" s="26" t="s">
        <v>5656</v>
      </c>
      <c r="B209" s="130" t="s">
        <v>5644</v>
      </c>
      <c r="C209" s="26" t="s">
        <v>179</v>
      </c>
      <c r="D209" s="26">
        <v>33.0</v>
      </c>
      <c r="E209" s="131">
        <v>45726.0</v>
      </c>
      <c r="F209" s="26" t="s">
        <v>5643</v>
      </c>
      <c r="G209" s="26" t="s">
        <v>1037</v>
      </c>
      <c r="H209" s="26" t="s">
        <v>5632</v>
      </c>
      <c r="I209" s="26">
        <v>45.0</v>
      </c>
      <c r="J209" s="131">
        <v>45726.0</v>
      </c>
      <c r="L209" s="26" t="s">
        <v>5645</v>
      </c>
    </row>
    <row r="210">
      <c r="A210" s="26" t="s">
        <v>5656</v>
      </c>
      <c r="B210" s="26" t="s">
        <v>5641</v>
      </c>
      <c r="C210" s="26" t="s">
        <v>179</v>
      </c>
      <c r="D210" s="26">
        <v>7.0</v>
      </c>
      <c r="E210" s="131">
        <v>45723.0</v>
      </c>
      <c r="F210" s="26" t="s">
        <v>5642</v>
      </c>
      <c r="G210" s="26" t="s">
        <v>1037</v>
      </c>
      <c r="H210" s="110" t="s">
        <v>5632</v>
      </c>
      <c r="I210" s="102">
        <v>180.0</v>
      </c>
      <c r="J210" s="131">
        <v>45723.0</v>
      </c>
    </row>
    <row r="211">
      <c r="A211" s="26" t="s">
        <v>5656</v>
      </c>
      <c r="B211" s="132" t="s">
        <v>5634</v>
      </c>
      <c r="C211" s="26" t="s">
        <v>179</v>
      </c>
      <c r="D211" s="28">
        <v>18.0</v>
      </c>
      <c r="E211" s="131">
        <v>45722.0</v>
      </c>
      <c r="F211" s="26" t="s">
        <v>5643</v>
      </c>
      <c r="G211" s="26" t="s">
        <v>1037</v>
      </c>
      <c r="H211" s="26" t="s">
        <v>5632</v>
      </c>
      <c r="I211" s="26">
        <v>180.0</v>
      </c>
      <c r="J211" s="134">
        <v>45723.0</v>
      </c>
      <c r="L211" s="26" t="s">
        <v>5636</v>
      </c>
    </row>
    <row r="212">
      <c r="A212" s="26" t="s">
        <v>5656</v>
      </c>
      <c r="B212" s="132" t="s">
        <v>5634</v>
      </c>
      <c r="C212" s="26" t="s">
        <v>179</v>
      </c>
      <c r="D212" s="102">
        <v>30.0</v>
      </c>
      <c r="E212" s="131">
        <v>45722.0</v>
      </c>
      <c r="F212" s="26" t="s">
        <v>5643</v>
      </c>
      <c r="G212" s="26" t="s">
        <v>1037</v>
      </c>
      <c r="H212" s="26" t="s">
        <v>5632</v>
      </c>
      <c r="I212" s="26">
        <v>180.0</v>
      </c>
      <c r="J212" s="131">
        <v>45722.0</v>
      </c>
      <c r="L212" s="26" t="s">
        <v>5636</v>
      </c>
    </row>
    <row r="213">
      <c r="A213" s="26" t="s">
        <v>5656</v>
      </c>
      <c r="B213" s="130" t="s">
        <v>5637</v>
      </c>
      <c r="C213" s="26" t="s">
        <v>5638</v>
      </c>
      <c r="D213" s="102">
        <v>30.0</v>
      </c>
      <c r="E213" s="131">
        <v>45722.0</v>
      </c>
      <c r="F213" s="26" t="s">
        <v>5639</v>
      </c>
      <c r="G213" s="26" t="s">
        <v>1037</v>
      </c>
      <c r="H213" s="26" t="s">
        <v>5632</v>
      </c>
      <c r="I213" s="26">
        <v>15.0</v>
      </c>
      <c r="J213" s="131">
        <v>45752.0</v>
      </c>
      <c r="L213" s="26" t="s">
        <v>5640</v>
      </c>
    </row>
    <row r="214">
      <c r="A214" s="26" t="s">
        <v>5656</v>
      </c>
      <c r="B214" s="132" t="s">
        <v>5634</v>
      </c>
      <c r="C214" s="26" t="s">
        <v>179</v>
      </c>
      <c r="D214" s="26">
        <v>30.0</v>
      </c>
      <c r="E214" s="131">
        <v>45721.0</v>
      </c>
      <c r="F214" s="26" t="s">
        <v>5643</v>
      </c>
      <c r="G214" s="26" t="s">
        <v>1037</v>
      </c>
      <c r="H214" s="26" t="s">
        <v>5632</v>
      </c>
      <c r="I214" s="26">
        <v>180.0</v>
      </c>
      <c r="J214" s="134">
        <v>45722.0</v>
      </c>
      <c r="L214" s="26" t="s">
        <v>5636</v>
      </c>
    </row>
    <row r="215">
      <c r="A215" s="26" t="s">
        <v>5656</v>
      </c>
      <c r="B215" s="130" t="s">
        <v>5644</v>
      </c>
      <c r="C215" s="26" t="s">
        <v>179</v>
      </c>
      <c r="D215" s="28">
        <v>2.0</v>
      </c>
      <c r="E215" s="131">
        <v>45721.0</v>
      </c>
      <c r="F215" s="26" t="s">
        <v>5643</v>
      </c>
      <c r="G215" s="26" t="s">
        <v>1037</v>
      </c>
      <c r="H215" s="26" t="s">
        <v>5632</v>
      </c>
      <c r="I215" s="26">
        <v>45.0</v>
      </c>
      <c r="J215" s="131">
        <v>45721.0</v>
      </c>
      <c r="L215" s="26" t="s">
        <v>5645</v>
      </c>
    </row>
    <row r="216">
      <c r="A216" s="26" t="s">
        <v>5656</v>
      </c>
      <c r="B216" s="132" t="s">
        <v>5634</v>
      </c>
      <c r="C216" s="26" t="s">
        <v>179</v>
      </c>
      <c r="D216" s="28">
        <v>13.0</v>
      </c>
      <c r="E216" s="131">
        <v>45719.0</v>
      </c>
      <c r="F216" s="26" t="s">
        <v>5643</v>
      </c>
      <c r="G216" s="26" t="s">
        <v>1037</v>
      </c>
      <c r="H216" s="26" t="s">
        <v>5632</v>
      </c>
      <c r="I216" s="26">
        <v>180.0</v>
      </c>
      <c r="J216" s="134">
        <v>45720.0</v>
      </c>
      <c r="L216" s="26" t="s">
        <v>5636</v>
      </c>
    </row>
    <row r="217">
      <c r="A217" s="26" t="s">
        <v>5656</v>
      </c>
      <c r="B217" s="130" t="s">
        <v>5644</v>
      </c>
      <c r="C217" s="26" t="s">
        <v>179</v>
      </c>
      <c r="D217" s="26">
        <v>32.0</v>
      </c>
      <c r="E217" s="131">
        <v>45719.0</v>
      </c>
      <c r="F217" s="26" t="s">
        <v>5643</v>
      </c>
      <c r="G217" s="26" t="s">
        <v>1037</v>
      </c>
      <c r="H217" s="26" t="s">
        <v>5632</v>
      </c>
      <c r="I217" s="26">
        <v>45.0</v>
      </c>
      <c r="J217" s="131">
        <v>45719.0</v>
      </c>
      <c r="L217" s="26" t="s">
        <v>5645</v>
      </c>
    </row>
    <row r="218">
      <c r="A218" s="26" t="s">
        <v>5656</v>
      </c>
      <c r="B218" s="26" t="s">
        <v>5641</v>
      </c>
      <c r="C218" s="26" t="s">
        <v>179</v>
      </c>
      <c r="D218" s="26">
        <v>7.0</v>
      </c>
      <c r="E218" s="131">
        <v>45716.0</v>
      </c>
      <c r="F218" s="26" t="s">
        <v>5642</v>
      </c>
      <c r="G218" s="26" t="s">
        <v>1037</v>
      </c>
      <c r="H218" s="110" t="s">
        <v>5632</v>
      </c>
      <c r="I218" s="102">
        <v>180.0</v>
      </c>
      <c r="J218" s="131">
        <v>45716.0</v>
      </c>
    </row>
    <row r="219">
      <c r="A219" s="26" t="s">
        <v>5656</v>
      </c>
      <c r="B219" s="132" t="s">
        <v>5634</v>
      </c>
      <c r="C219" s="26" t="s">
        <v>179</v>
      </c>
      <c r="D219" s="26">
        <v>30.0</v>
      </c>
      <c r="E219" s="131">
        <v>45715.0</v>
      </c>
      <c r="F219" s="26" t="s">
        <v>5643</v>
      </c>
      <c r="G219" s="26" t="s">
        <v>1037</v>
      </c>
      <c r="H219" s="26" t="s">
        <v>5632</v>
      </c>
      <c r="I219" s="26">
        <v>180.0</v>
      </c>
      <c r="J219" s="134">
        <v>45716.0</v>
      </c>
      <c r="L219" s="26" t="s">
        <v>5636</v>
      </c>
    </row>
    <row r="220">
      <c r="A220" s="26" t="s">
        <v>5656</v>
      </c>
      <c r="B220" s="130" t="s">
        <v>5644</v>
      </c>
      <c r="C220" s="26" t="s">
        <v>179</v>
      </c>
      <c r="D220" s="26">
        <v>31.0</v>
      </c>
      <c r="E220" s="131">
        <v>45712.0</v>
      </c>
      <c r="F220" s="26" t="s">
        <v>5643</v>
      </c>
      <c r="G220" s="26" t="s">
        <v>1037</v>
      </c>
      <c r="H220" s="26" t="s">
        <v>5632</v>
      </c>
      <c r="I220" s="26">
        <v>45.0</v>
      </c>
      <c r="J220" s="131">
        <v>45712.0</v>
      </c>
      <c r="L220" s="26" t="s">
        <v>5645</v>
      </c>
    </row>
    <row r="221">
      <c r="A221" s="26" t="s">
        <v>5656</v>
      </c>
      <c r="B221" s="26" t="s">
        <v>5641</v>
      </c>
      <c r="C221" s="26" t="s">
        <v>179</v>
      </c>
      <c r="D221" s="26">
        <v>7.0</v>
      </c>
      <c r="E221" s="131">
        <v>45709.0</v>
      </c>
      <c r="F221" s="26" t="s">
        <v>5642</v>
      </c>
      <c r="G221" s="26" t="s">
        <v>1037</v>
      </c>
      <c r="H221" s="110" t="s">
        <v>5632</v>
      </c>
      <c r="I221" s="102">
        <v>180.0</v>
      </c>
      <c r="J221" s="131">
        <v>45709.0</v>
      </c>
    </row>
    <row r="222">
      <c r="A222" s="26" t="s">
        <v>5656</v>
      </c>
      <c r="B222" s="132" t="s">
        <v>5634</v>
      </c>
      <c r="C222" s="26" t="s">
        <v>179</v>
      </c>
      <c r="D222" s="26">
        <v>35.0</v>
      </c>
      <c r="E222" s="131">
        <v>45706.0</v>
      </c>
      <c r="F222" s="26" t="s">
        <v>5643</v>
      </c>
      <c r="G222" s="26" t="s">
        <v>1037</v>
      </c>
      <c r="H222" s="26" t="s">
        <v>5632</v>
      </c>
      <c r="I222" s="26">
        <v>180.0</v>
      </c>
      <c r="J222" s="134">
        <v>45707.0</v>
      </c>
      <c r="L222" s="26" t="s">
        <v>5636</v>
      </c>
    </row>
    <row r="223">
      <c r="A223" s="26" t="s">
        <v>5656</v>
      </c>
      <c r="B223" s="132" t="s">
        <v>5634</v>
      </c>
      <c r="C223" s="26" t="s">
        <v>179</v>
      </c>
      <c r="D223" s="26">
        <v>30.0</v>
      </c>
      <c r="E223" s="133">
        <v>45703.0</v>
      </c>
      <c r="F223" s="26" t="s">
        <v>5643</v>
      </c>
      <c r="G223" s="26" t="s">
        <v>1037</v>
      </c>
      <c r="H223" s="26" t="s">
        <v>5632</v>
      </c>
      <c r="I223" s="26">
        <v>180.0</v>
      </c>
      <c r="J223" s="134">
        <v>45705.0</v>
      </c>
      <c r="L223" s="26" t="s">
        <v>5636</v>
      </c>
    </row>
    <row r="224">
      <c r="A224" s="26" t="s">
        <v>5656</v>
      </c>
      <c r="B224" s="132" t="s">
        <v>5634</v>
      </c>
      <c r="C224" s="26" t="s">
        <v>179</v>
      </c>
      <c r="D224" s="26">
        <v>45.0</v>
      </c>
      <c r="E224" s="133">
        <v>45703.0</v>
      </c>
      <c r="F224" s="26" t="s">
        <v>5643</v>
      </c>
      <c r="G224" s="26" t="s">
        <v>1037</v>
      </c>
      <c r="H224" s="26" t="s">
        <v>5632</v>
      </c>
      <c r="I224" s="26">
        <v>180.0</v>
      </c>
      <c r="J224" s="134">
        <v>45705.0</v>
      </c>
      <c r="L224" s="26" t="s">
        <v>5636</v>
      </c>
    </row>
    <row r="225">
      <c r="A225" s="26" t="s">
        <v>5656</v>
      </c>
      <c r="B225" s="26" t="s">
        <v>5641</v>
      </c>
      <c r="C225" s="26" t="s">
        <v>179</v>
      </c>
      <c r="D225" s="26">
        <v>7.0</v>
      </c>
      <c r="E225" s="131">
        <v>45702.0</v>
      </c>
      <c r="F225" s="26" t="s">
        <v>5642</v>
      </c>
      <c r="G225" s="26" t="s">
        <v>1037</v>
      </c>
      <c r="H225" s="110" t="s">
        <v>5632</v>
      </c>
      <c r="I225" s="102">
        <v>180.0</v>
      </c>
      <c r="J225" s="131">
        <v>45702.0</v>
      </c>
    </row>
    <row r="226">
      <c r="A226" s="26" t="s">
        <v>5656</v>
      </c>
      <c r="B226" s="132" t="s">
        <v>5634</v>
      </c>
      <c r="C226" s="26" t="s">
        <v>179</v>
      </c>
      <c r="D226" s="26">
        <v>30.0</v>
      </c>
      <c r="E226" s="131">
        <v>45701.0</v>
      </c>
      <c r="F226" s="26" t="s">
        <v>5643</v>
      </c>
      <c r="G226" s="26" t="s">
        <v>1037</v>
      </c>
      <c r="H226" s="26" t="s">
        <v>5632</v>
      </c>
      <c r="I226" s="26">
        <v>180.0</v>
      </c>
      <c r="J226" s="134">
        <v>45702.0</v>
      </c>
      <c r="L226" s="26" t="s">
        <v>5636</v>
      </c>
    </row>
    <row r="227">
      <c r="A227" s="26" t="s">
        <v>5656</v>
      </c>
      <c r="B227" s="130" t="s">
        <v>5644</v>
      </c>
      <c r="C227" s="26" t="s">
        <v>179</v>
      </c>
      <c r="D227" s="28">
        <v>23.0</v>
      </c>
      <c r="E227" s="131">
        <v>45700.0</v>
      </c>
      <c r="F227" s="26" t="s">
        <v>5643</v>
      </c>
      <c r="G227" s="26" t="s">
        <v>1037</v>
      </c>
      <c r="H227" s="26" t="s">
        <v>5632</v>
      </c>
      <c r="I227" s="26">
        <v>45.0</v>
      </c>
      <c r="J227" s="131">
        <v>45700.0</v>
      </c>
      <c r="L227" s="26" t="s">
        <v>5645</v>
      </c>
    </row>
    <row r="228">
      <c r="A228" s="26" t="s">
        <v>5656</v>
      </c>
      <c r="B228" s="26" t="s">
        <v>5641</v>
      </c>
      <c r="C228" s="26" t="s">
        <v>179</v>
      </c>
      <c r="D228" s="26">
        <v>14.0</v>
      </c>
      <c r="E228" s="131">
        <v>45695.0</v>
      </c>
      <c r="F228" s="26" t="s">
        <v>5642</v>
      </c>
      <c r="G228" s="26" t="s">
        <v>1037</v>
      </c>
      <c r="H228" s="110" t="s">
        <v>5632</v>
      </c>
      <c r="I228" s="102">
        <v>180.0</v>
      </c>
      <c r="J228" s="131">
        <v>45695.0</v>
      </c>
    </row>
    <row r="229">
      <c r="A229" s="26" t="s">
        <v>5656</v>
      </c>
      <c r="B229" s="132" t="s">
        <v>5634</v>
      </c>
      <c r="C229" s="26" t="s">
        <v>179</v>
      </c>
      <c r="D229" s="102">
        <v>30.0</v>
      </c>
      <c r="E229" s="131">
        <v>45692.0</v>
      </c>
      <c r="F229" s="26" t="s">
        <v>5643</v>
      </c>
      <c r="G229" s="26" t="s">
        <v>1037</v>
      </c>
      <c r="H229" s="26" t="s">
        <v>5632</v>
      </c>
      <c r="I229" s="26">
        <v>180.0</v>
      </c>
      <c r="J229" s="131">
        <v>45692.0</v>
      </c>
      <c r="L229" s="26" t="s">
        <v>5636</v>
      </c>
    </row>
    <row r="230">
      <c r="A230" s="26" t="s">
        <v>5656</v>
      </c>
      <c r="B230" s="130" t="s">
        <v>5637</v>
      </c>
      <c r="C230" s="26" t="s">
        <v>5638</v>
      </c>
      <c r="D230" s="102">
        <v>30.0</v>
      </c>
      <c r="E230" s="131">
        <v>45692.0</v>
      </c>
      <c r="F230" s="26" t="s">
        <v>5639</v>
      </c>
      <c r="G230" s="26" t="s">
        <v>1037</v>
      </c>
      <c r="H230" s="26" t="s">
        <v>5632</v>
      </c>
      <c r="I230" s="26">
        <v>15.0</v>
      </c>
      <c r="J230" s="131">
        <v>45722.0</v>
      </c>
      <c r="L230" s="26" t="s">
        <v>5640</v>
      </c>
    </row>
    <row r="231">
      <c r="A231" s="26" t="s">
        <v>5656</v>
      </c>
      <c r="B231" s="26" t="s">
        <v>5641</v>
      </c>
      <c r="C231" s="26" t="s">
        <v>179</v>
      </c>
      <c r="D231" s="26">
        <v>7.0</v>
      </c>
      <c r="E231" s="131">
        <v>45681.0</v>
      </c>
      <c r="F231" s="26" t="s">
        <v>5642</v>
      </c>
      <c r="G231" s="26" t="s">
        <v>1037</v>
      </c>
      <c r="H231" s="110" t="s">
        <v>5632</v>
      </c>
      <c r="I231" s="102">
        <v>180.0</v>
      </c>
      <c r="J231" s="131">
        <v>45681.0</v>
      </c>
    </row>
    <row r="232">
      <c r="A232" s="26" t="s">
        <v>5656</v>
      </c>
      <c r="B232" s="132" t="s">
        <v>5634</v>
      </c>
      <c r="C232" s="26" t="s">
        <v>179</v>
      </c>
      <c r="D232" s="26">
        <v>30.0</v>
      </c>
      <c r="E232" s="131">
        <v>45677.0</v>
      </c>
      <c r="F232" s="26" t="s">
        <v>5643</v>
      </c>
      <c r="G232" s="26" t="s">
        <v>1037</v>
      </c>
      <c r="H232" s="26" t="s">
        <v>5632</v>
      </c>
      <c r="I232" s="26">
        <v>180.0</v>
      </c>
      <c r="J232" s="134">
        <v>45678.0</v>
      </c>
      <c r="L232" s="26" t="s">
        <v>5636</v>
      </c>
    </row>
    <row r="233">
      <c r="A233" s="26" t="s">
        <v>5656</v>
      </c>
      <c r="B233" s="130" t="s">
        <v>5644</v>
      </c>
      <c r="C233" s="26" t="s">
        <v>179</v>
      </c>
      <c r="D233" s="26">
        <v>30.0</v>
      </c>
      <c r="E233" s="131">
        <v>45677.0</v>
      </c>
      <c r="F233" s="26" t="s">
        <v>5643</v>
      </c>
      <c r="G233" s="26" t="s">
        <v>1037</v>
      </c>
      <c r="H233" s="26" t="s">
        <v>5632</v>
      </c>
      <c r="I233" s="26">
        <v>45.0</v>
      </c>
      <c r="J233" s="131">
        <v>45677.0</v>
      </c>
      <c r="L233" s="26" t="s">
        <v>5645</v>
      </c>
    </row>
    <row r="234">
      <c r="A234" s="26" t="s">
        <v>5656</v>
      </c>
      <c r="B234" s="26" t="s">
        <v>5641</v>
      </c>
      <c r="C234" s="26" t="s">
        <v>179</v>
      </c>
      <c r="D234" s="26">
        <v>7.0</v>
      </c>
      <c r="E234" s="131">
        <v>45674.0</v>
      </c>
      <c r="F234" s="26" t="s">
        <v>5642</v>
      </c>
      <c r="G234" s="26" t="s">
        <v>1037</v>
      </c>
      <c r="H234" s="110" t="s">
        <v>5632</v>
      </c>
      <c r="I234" s="102">
        <v>180.0</v>
      </c>
      <c r="J234" s="131">
        <v>45674.0</v>
      </c>
    </row>
    <row r="235">
      <c r="A235" s="26" t="s">
        <v>5656</v>
      </c>
      <c r="B235" s="132" t="s">
        <v>5634</v>
      </c>
      <c r="C235" s="26" t="s">
        <v>179</v>
      </c>
      <c r="D235" s="26">
        <v>30.0</v>
      </c>
      <c r="E235" s="131">
        <v>45671.0</v>
      </c>
      <c r="F235" s="26" t="s">
        <v>5643</v>
      </c>
      <c r="G235" s="26" t="s">
        <v>1037</v>
      </c>
      <c r="H235" s="26" t="s">
        <v>5632</v>
      </c>
      <c r="I235" s="26">
        <v>180.0</v>
      </c>
      <c r="J235" s="134">
        <v>45672.0</v>
      </c>
      <c r="L235" s="26" t="s">
        <v>5636</v>
      </c>
    </row>
    <row r="236">
      <c r="A236" s="26" t="s">
        <v>5656</v>
      </c>
      <c r="B236" s="26" t="s">
        <v>5641</v>
      </c>
      <c r="C236" s="26" t="s">
        <v>179</v>
      </c>
      <c r="D236" s="26">
        <v>7.0</v>
      </c>
      <c r="E236" s="131">
        <v>45667.0</v>
      </c>
      <c r="F236" s="26" t="s">
        <v>5642</v>
      </c>
      <c r="G236" s="26" t="s">
        <v>1037</v>
      </c>
      <c r="H236" s="110" t="s">
        <v>5632</v>
      </c>
      <c r="I236" s="102">
        <v>180.0</v>
      </c>
      <c r="J236" s="131">
        <v>45667.0</v>
      </c>
    </row>
    <row r="237">
      <c r="A237" s="26" t="s">
        <v>5656</v>
      </c>
      <c r="B237" s="132" t="s">
        <v>5634</v>
      </c>
      <c r="C237" s="26" t="s">
        <v>179</v>
      </c>
      <c r="D237" s="102">
        <v>30.0</v>
      </c>
      <c r="E237" s="133">
        <v>45661.0</v>
      </c>
      <c r="F237" s="26" t="s">
        <v>5643</v>
      </c>
      <c r="G237" s="26" t="s">
        <v>1037</v>
      </c>
      <c r="H237" s="26" t="s">
        <v>5632</v>
      </c>
      <c r="I237" s="26">
        <v>180.0</v>
      </c>
      <c r="J237" s="133">
        <v>45662.0</v>
      </c>
      <c r="L237" s="26" t="s">
        <v>5636</v>
      </c>
    </row>
    <row r="238">
      <c r="A238" s="26" t="s">
        <v>5656</v>
      </c>
      <c r="B238" s="130" t="s">
        <v>5637</v>
      </c>
      <c r="C238" s="26" t="s">
        <v>5638</v>
      </c>
      <c r="D238" s="102">
        <v>30.0</v>
      </c>
      <c r="E238" s="133">
        <v>45661.0</v>
      </c>
      <c r="F238" s="26" t="s">
        <v>5639</v>
      </c>
      <c r="G238" s="26" t="s">
        <v>1037</v>
      </c>
      <c r="H238" s="26" t="s">
        <v>5632</v>
      </c>
      <c r="I238" s="26">
        <v>15.0</v>
      </c>
      <c r="J238" s="131">
        <v>45692.0</v>
      </c>
      <c r="L238" s="26" t="s">
        <v>5640</v>
      </c>
    </row>
    <row r="239">
      <c r="A239" s="26" t="s">
        <v>5656</v>
      </c>
      <c r="B239" s="130" t="s">
        <v>5629</v>
      </c>
      <c r="C239" s="26" t="s">
        <v>179</v>
      </c>
      <c r="D239" s="26">
        <v>180.0</v>
      </c>
      <c r="E239" s="133">
        <v>45661.0</v>
      </c>
      <c r="F239" s="26" t="s">
        <v>5630</v>
      </c>
      <c r="G239" s="26" t="s">
        <v>1037</v>
      </c>
      <c r="H239" s="26" t="s">
        <v>5632</v>
      </c>
      <c r="I239" s="26">
        <v>180.0</v>
      </c>
      <c r="J239" s="131">
        <v>45662.0</v>
      </c>
      <c r="L239" s="26" t="s">
        <v>5633</v>
      </c>
    </row>
    <row r="240">
      <c r="A240" s="26" t="s">
        <v>5656</v>
      </c>
      <c r="B240" s="130" t="s">
        <v>5629</v>
      </c>
      <c r="C240" s="26" t="s">
        <v>179</v>
      </c>
      <c r="D240" s="26">
        <v>180.0</v>
      </c>
      <c r="E240" s="133">
        <v>45661.0</v>
      </c>
      <c r="F240" s="26" t="s">
        <v>5630</v>
      </c>
      <c r="G240" s="26" t="s">
        <v>1037</v>
      </c>
      <c r="H240" s="26" t="s">
        <v>5632</v>
      </c>
      <c r="I240" s="26">
        <v>180.0</v>
      </c>
      <c r="J240" s="131">
        <v>45662.0</v>
      </c>
      <c r="L240" s="26" t="s">
        <v>5633</v>
      </c>
    </row>
    <row r="241">
      <c r="A241" s="26" t="s">
        <v>5656</v>
      </c>
      <c r="B241" s="26" t="s">
        <v>5641</v>
      </c>
      <c r="C241" s="26" t="s">
        <v>179</v>
      </c>
      <c r="D241" s="26">
        <v>7.0</v>
      </c>
      <c r="E241" s="133">
        <v>45660.0</v>
      </c>
      <c r="F241" s="26" t="s">
        <v>5642</v>
      </c>
      <c r="G241" s="26" t="s">
        <v>1037</v>
      </c>
      <c r="H241" s="110" t="s">
        <v>5632</v>
      </c>
      <c r="I241" s="102">
        <v>180.0</v>
      </c>
      <c r="J241" s="133">
        <v>45660.0</v>
      </c>
    </row>
    <row r="242">
      <c r="A242" s="26" t="s">
        <v>5656</v>
      </c>
      <c r="B242" s="132" t="s">
        <v>5634</v>
      </c>
      <c r="C242" s="26" t="s">
        <v>179</v>
      </c>
      <c r="D242" s="26">
        <v>30.0</v>
      </c>
      <c r="E242" s="131">
        <v>45659.0</v>
      </c>
      <c r="F242" s="26" t="s">
        <v>5643</v>
      </c>
      <c r="G242" s="26" t="s">
        <v>1037</v>
      </c>
      <c r="H242" s="26" t="s">
        <v>5632</v>
      </c>
      <c r="I242" s="26">
        <v>180.0</v>
      </c>
      <c r="J242" s="134">
        <v>45660.0</v>
      </c>
      <c r="L242" s="26" t="s">
        <v>5636</v>
      </c>
    </row>
  </sheetData>
  <mergeCells count="1">
    <mergeCell ref="A1:L1"/>
  </mergeCells>
  <dataValidations>
    <dataValidation type="list" allowBlank="1" sqref="G5:G242">
      <formula1>"scheduled,overdue,completed,skipped,in_progress"</formula1>
    </dataValidation>
    <dataValidation type="list" allowBlank="1" sqref="H5:H242">
      <formula1>"critical,high,medium,low"</formula1>
    </dataValidation>
    <dataValidation type="list" allowBlank="1" sqref="C5:C242">
      <formula1>"cleaning,inspection,calibration,lubrication,replacement,repair,testing,other"</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72.13"/>
    <col customWidth="1" min="2" max="2" width="60.75"/>
    <col customWidth="1" min="3" max="3" width="47.75"/>
    <col customWidth="1" min="4" max="4" width="13.5"/>
    <col customWidth="1" min="5" max="5" width="21.25"/>
    <col customWidth="1" min="6" max="6" width="20.13"/>
    <col customWidth="1" min="7" max="7" width="27.38"/>
    <col customWidth="1" min="8" max="8" width="19.5"/>
    <col customWidth="1" min="9" max="9" width="18.63"/>
    <col customWidth="1" min="10" max="10" width="27.25"/>
    <col customWidth="1" min="11" max="11" width="11.25"/>
    <col customWidth="1" min="12" max="12" width="11.75"/>
    <col customWidth="1" min="13" max="13" width="28.5"/>
    <col customWidth="1" min="14" max="14" width="16.0"/>
    <col customWidth="1" min="15" max="15" width="30.25"/>
  </cols>
  <sheetData>
    <row r="1">
      <c r="A1" s="21" t="s">
        <v>5657</v>
      </c>
    </row>
    <row r="2">
      <c r="A2" s="22" t="s">
        <v>5658</v>
      </c>
      <c r="B2" s="22" t="s">
        <v>5659</v>
      </c>
      <c r="C2" s="22" t="s">
        <v>89</v>
      </c>
      <c r="D2" s="22" t="s">
        <v>5660</v>
      </c>
      <c r="E2" s="22" t="s">
        <v>5661</v>
      </c>
      <c r="F2" s="22" t="s">
        <v>5662</v>
      </c>
      <c r="G2" s="22" t="s">
        <v>5663</v>
      </c>
      <c r="H2" s="22" t="s">
        <v>5664</v>
      </c>
      <c r="I2" s="22" t="s">
        <v>5665</v>
      </c>
      <c r="J2" s="22" t="s">
        <v>5666</v>
      </c>
      <c r="K2" s="22" t="s">
        <v>5667</v>
      </c>
      <c r="L2" s="22" t="s">
        <v>5621</v>
      </c>
      <c r="M2" s="22" t="s">
        <v>5668</v>
      </c>
      <c r="N2" s="22" t="s">
        <v>5669</v>
      </c>
      <c r="O2" s="22" t="s">
        <v>98</v>
      </c>
    </row>
    <row r="3">
      <c r="A3" s="23" t="s">
        <v>49</v>
      </c>
      <c r="B3" s="23" t="s">
        <v>49</v>
      </c>
      <c r="C3" s="23" t="s">
        <v>49</v>
      </c>
      <c r="D3" s="24"/>
      <c r="E3" s="24"/>
      <c r="F3" s="24"/>
      <c r="G3" s="24"/>
      <c r="H3" s="24"/>
      <c r="I3" s="24"/>
      <c r="J3" s="23" t="s">
        <v>49</v>
      </c>
      <c r="K3" s="24"/>
      <c r="L3" s="24"/>
      <c r="M3" s="24"/>
      <c r="N3" s="24"/>
      <c r="O3" s="24"/>
    </row>
    <row r="4">
      <c r="A4" s="25" t="s">
        <v>50</v>
      </c>
      <c r="B4" s="25" t="s">
        <v>5670</v>
      </c>
      <c r="C4" s="25" t="s">
        <v>5671</v>
      </c>
      <c r="D4" s="25" t="s">
        <v>50</v>
      </c>
      <c r="E4" s="25" t="s">
        <v>50</v>
      </c>
      <c r="F4" s="25" t="s">
        <v>50</v>
      </c>
      <c r="G4" s="25" t="s">
        <v>102</v>
      </c>
      <c r="H4" s="25" t="s">
        <v>51</v>
      </c>
      <c r="I4" s="25" t="s">
        <v>50</v>
      </c>
      <c r="J4" s="25" t="s">
        <v>5672</v>
      </c>
      <c r="K4" s="25" t="s">
        <v>50</v>
      </c>
      <c r="L4" s="25" t="s">
        <v>50</v>
      </c>
      <c r="M4" s="25" t="s">
        <v>50</v>
      </c>
      <c r="N4" s="25" t="s">
        <v>50</v>
      </c>
      <c r="O4" s="25" t="s">
        <v>50</v>
      </c>
    </row>
    <row r="5">
      <c r="A5" s="26" t="s">
        <v>808</v>
      </c>
      <c r="B5" s="26" t="s">
        <v>809</v>
      </c>
      <c r="C5" s="26" t="s">
        <v>5673</v>
      </c>
      <c r="D5" s="26" t="s">
        <v>5674</v>
      </c>
      <c r="E5" s="26" t="s">
        <v>5675</v>
      </c>
      <c r="F5" s="26" t="s">
        <v>5676</v>
      </c>
      <c r="G5" s="27">
        <v>45054.0</v>
      </c>
      <c r="H5" s="26">
        <v>2.113E8</v>
      </c>
      <c r="J5" s="26" t="s">
        <v>5677</v>
      </c>
      <c r="K5" s="26" t="s">
        <v>5678</v>
      </c>
      <c r="M5" s="27">
        <v>45420.0</v>
      </c>
    </row>
    <row r="6">
      <c r="A6" s="26" t="s">
        <v>812</v>
      </c>
      <c r="B6" s="26" t="s">
        <v>809</v>
      </c>
      <c r="C6" s="26" t="s">
        <v>5673</v>
      </c>
      <c r="D6" s="26" t="s">
        <v>5679</v>
      </c>
      <c r="E6" s="26" t="s">
        <v>5680</v>
      </c>
      <c r="F6" s="26" t="s">
        <v>5681</v>
      </c>
      <c r="G6" s="27">
        <v>45054.0</v>
      </c>
      <c r="H6" s="26">
        <v>2.795E7</v>
      </c>
      <c r="J6" s="26" t="s">
        <v>5682</v>
      </c>
      <c r="K6" s="26" t="s">
        <v>5678</v>
      </c>
      <c r="M6" s="27">
        <v>45054.0</v>
      </c>
      <c r="O6" s="26" t="s">
        <v>5683</v>
      </c>
    </row>
    <row r="7">
      <c r="A7" s="26" t="s">
        <v>813</v>
      </c>
      <c r="B7" s="26" t="s">
        <v>809</v>
      </c>
      <c r="C7" s="26" t="s">
        <v>5673</v>
      </c>
      <c r="D7" s="26" t="s">
        <v>5684</v>
      </c>
      <c r="E7" s="26" t="s">
        <v>5685</v>
      </c>
      <c r="F7" s="26" t="s">
        <v>5686</v>
      </c>
      <c r="G7" s="27">
        <v>45054.0</v>
      </c>
      <c r="H7" s="26">
        <v>1.93E7</v>
      </c>
      <c r="J7" s="26" t="s">
        <v>5677</v>
      </c>
      <c r="K7" s="26" t="s">
        <v>5678</v>
      </c>
      <c r="M7" s="27">
        <v>45420.0</v>
      </c>
    </row>
    <row r="8">
      <c r="A8" s="26" t="s">
        <v>814</v>
      </c>
      <c r="B8" s="26" t="s">
        <v>815</v>
      </c>
      <c r="C8" s="26" t="s">
        <v>5673</v>
      </c>
      <c r="D8" s="26" t="s">
        <v>5687</v>
      </c>
      <c r="E8" s="26" t="s">
        <v>5688</v>
      </c>
      <c r="F8" s="26" t="s">
        <v>5689</v>
      </c>
      <c r="H8" s="26"/>
      <c r="J8" s="26" t="s">
        <v>5677</v>
      </c>
      <c r="K8" s="26" t="s">
        <v>5678</v>
      </c>
      <c r="O8" s="26" t="s">
        <v>5690</v>
      </c>
    </row>
    <row r="9">
      <c r="A9" s="26" t="s">
        <v>816</v>
      </c>
      <c r="B9" s="26" t="s">
        <v>817</v>
      </c>
      <c r="C9" s="26" t="s">
        <v>5673</v>
      </c>
      <c r="D9" s="26" t="s">
        <v>5691</v>
      </c>
      <c r="E9" s="26" t="s">
        <v>988</v>
      </c>
      <c r="J9" s="26" t="s">
        <v>5677</v>
      </c>
      <c r="K9" s="26" t="s">
        <v>5678</v>
      </c>
      <c r="O9" s="26" t="s">
        <v>5690</v>
      </c>
    </row>
    <row r="10">
      <c r="A10" s="26" t="s">
        <v>108</v>
      </c>
      <c r="B10" s="26" t="s">
        <v>817</v>
      </c>
      <c r="C10" s="26" t="s">
        <v>5673</v>
      </c>
      <c r="D10" s="26" t="s">
        <v>5692</v>
      </c>
      <c r="E10" s="26" t="s">
        <v>5693</v>
      </c>
      <c r="F10" s="26" t="s">
        <v>5694</v>
      </c>
      <c r="G10" s="27">
        <v>44959.0</v>
      </c>
      <c r="H10" s="26">
        <v>4.5595E7</v>
      </c>
      <c r="J10" s="26" t="s">
        <v>5677</v>
      </c>
      <c r="K10" s="26" t="s">
        <v>5678</v>
      </c>
      <c r="M10" s="27">
        <v>45324.0</v>
      </c>
    </row>
    <row r="11">
      <c r="A11" s="26" t="s">
        <v>819</v>
      </c>
      <c r="B11" s="26" t="s">
        <v>817</v>
      </c>
      <c r="C11" s="26" t="s">
        <v>5673</v>
      </c>
      <c r="D11" s="26" t="s">
        <v>5695</v>
      </c>
      <c r="E11" s="26" t="s">
        <v>5696</v>
      </c>
      <c r="F11" s="26" t="s">
        <v>5697</v>
      </c>
      <c r="G11" s="27">
        <v>44959.0</v>
      </c>
      <c r="H11" s="26">
        <v>4.75E7</v>
      </c>
      <c r="J11" s="26" t="s">
        <v>5677</v>
      </c>
      <c r="K11" s="26" t="s">
        <v>5678</v>
      </c>
      <c r="M11" s="27">
        <v>45324.0</v>
      </c>
    </row>
    <row r="12">
      <c r="A12" s="26" t="s">
        <v>136</v>
      </c>
      <c r="B12" s="26" t="s">
        <v>817</v>
      </c>
      <c r="C12" s="26" t="s">
        <v>5673</v>
      </c>
      <c r="D12" s="26" t="s">
        <v>5698</v>
      </c>
      <c r="E12" s="26" t="s">
        <v>5693</v>
      </c>
      <c r="F12" s="26" t="s">
        <v>5699</v>
      </c>
      <c r="G12" s="27">
        <v>44959.0</v>
      </c>
      <c r="H12" s="26">
        <v>1.1941E8</v>
      </c>
      <c r="J12" s="26" t="s">
        <v>5677</v>
      </c>
      <c r="K12" s="26" t="s">
        <v>5678</v>
      </c>
      <c r="M12" s="27">
        <v>45324.0</v>
      </c>
    </row>
    <row r="13">
      <c r="A13" s="26" t="s">
        <v>820</v>
      </c>
      <c r="B13" s="26" t="s">
        <v>821</v>
      </c>
      <c r="C13" s="26" t="s">
        <v>5673</v>
      </c>
      <c r="D13" s="26" t="s">
        <v>5700</v>
      </c>
      <c r="E13" s="26" t="s">
        <v>988</v>
      </c>
      <c r="J13" s="26" t="s">
        <v>5677</v>
      </c>
      <c r="K13" s="26" t="s">
        <v>5678</v>
      </c>
      <c r="O13" s="26" t="s">
        <v>5690</v>
      </c>
    </row>
    <row r="14">
      <c r="A14" s="26" t="s">
        <v>822</v>
      </c>
      <c r="B14" s="26" t="s">
        <v>821</v>
      </c>
      <c r="C14" s="26" t="s">
        <v>5673</v>
      </c>
      <c r="D14" s="26" t="s">
        <v>5701</v>
      </c>
      <c r="E14" s="26" t="s">
        <v>988</v>
      </c>
      <c r="J14" s="26" t="s">
        <v>5677</v>
      </c>
      <c r="K14" s="26" t="s">
        <v>5678</v>
      </c>
      <c r="O14" s="26" t="s">
        <v>5690</v>
      </c>
    </row>
    <row r="15">
      <c r="A15" s="26" t="s">
        <v>823</v>
      </c>
      <c r="B15" s="26" t="s">
        <v>815</v>
      </c>
      <c r="C15" s="26" t="s">
        <v>5673</v>
      </c>
      <c r="D15" s="26" t="s">
        <v>5702</v>
      </c>
      <c r="E15" s="26" t="s">
        <v>988</v>
      </c>
      <c r="J15" s="26" t="s">
        <v>5677</v>
      </c>
      <c r="K15" s="26" t="s">
        <v>5678</v>
      </c>
      <c r="O15" s="26" t="s">
        <v>5690</v>
      </c>
    </row>
    <row r="16">
      <c r="A16" s="26" t="s">
        <v>824</v>
      </c>
      <c r="B16" s="26" t="s">
        <v>815</v>
      </c>
      <c r="C16" s="26" t="s">
        <v>5673</v>
      </c>
      <c r="D16" s="26" t="s">
        <v>5703</v>
      </c>
      <c r="E16" s="26" t="s">
        <v>988</v>
      </c>
      <c r="J16" s="26" t="s">
        <v>5677</v>
      </c>
      <c r="K16" s="26" t="s">
        <v>5678</v>
      </c>
      <c r="O16" s="26" t="s">
        <v>5690</v>
      </c>
    </row>
    <row r="17">
      <c r="A17" s="26" t="s">
        <v>825</v>
      </c>
      <c r="B17" s="26" t="s">
        <v>809</v>
      </c>
      <c r="C17" s="26" t="s">
        <v>5673</v>
      </c>
      <c r="D17" s="26" t="s">
        <v>5704</v>
      </c>
      <c r="E17" s="26" t="s">
        <v>988</v>
      </c>
      <c r="J17" s="26" t="s">
        <v>5677</v>
      </c>
      <c r="K17" s="26" t="s">
        <v>5678</v>
      </c>
      <c r="O17" s="26" t="s">
        <v>5690</v>
      </c>
    </row>
    <row r="18">
      <c r="A18" s="26" t="s">
        <v>826</v>
      </c>
      <c r="B18" s="26" t="s">
        <v>809</v>
      </c>
      <c r="C18" s="26" t="s">
        <v>5673</v>
      </c>
      <c r="D18" s="26" t="s">
        <v>5705</v>
      </c>
      <c r="E18" s="26" t="s">
        <v>988</v>
      </c>
      <c r="J18" s="26" t="s">
        <v>5677</v>
      </c>
      <c r="K18" s="26" t="s">
        <v>5678</v>
      </c>
      <c r="O18" s="26" t="s">
        <v>5690</v>
      </c>
    </row>
    <row r="19">
      <c r="A19" s="26" t="s">
        <v>828</v>
      </c>
      <c r="B19" s="26" t="s">
        <v>821</v>
      </c>
      <c r="C19" s="26" t="s">
        <v>5673</v>
      </c>
      <c r="D19" s="26" t="s">
        <v>5706</v>
      </c>
      <c r="E19" s="26" t="s">
        <v>988</v>
      </c>
      <c r="F19" s="26" t="s">
        <v>5707</v>
      </c>
      <c r="J19" s="26" t="s">
        <v>5677</v>
      </c>
      <c r="K19" s="26" t="s">
        <v>5678</v>
      </c>
      <c r="O19" s="26" t="s">
        <v>5690</v>
      </c>
    </row>
    <row r="20">
      <c r="A20" s="26" t="s">
        <v>829</v>
      </c>
      <c r="B20" s="26" t="s">
        <v>821</v>
      </c>
      <c r="C20" s="26" t="s">
        <v>5673</v>
      </c>
      <c r="D20" s="26" t="s">
        <v>5708</v>
      </c>
      <c r="E20" s="26" t="s">
        <v>988</v>
      </c>
      <c r="F20" s="26" t="s">
        <v>5709</v>
      </c>
      <c r="J20" s="26" t="s">
        <v>5677</v>
      </c>
      <c r="K20" s="26" t="s">
        <v>5678</v>
      </c>
      <c r="O20" s="26" t="s">
        <v>5690</v>
      </c>
    </row>
    <row r="21">
      <c r="A21" s="26" t="s">
        <v>830</v>
      </c>
      <c r="B21" s="26" t="s">
        <v>821</v>
      </c>
      <c r="C21" s="26" t="s">
        <v>5673</v>
      </c>
      <c r="D21" s="26" t="s">
        <v>5710</v>
      </c>
      <c r="E21" s="26" t="s">
        <v>5711</v>
      </c>
      <c r="F21" s="26" t="s">
        <v>5707</v>
      </c>
      <c r="G21" s="27">
        <v>45018.0</v>
      </c>
      <c r="H21" s="26">
        <v>1800000.0</v>
      </c>
      <c r="J21" s="26" t="s">
        <v>5677</v>
      </c>
      <c r="K21" s="26" t="s">
        <v>5678</v>
      </c>
      <c r="M21" s="27">
        <v>45384.0</v>
      </c>
    </row>
    <row r="22">
      <c r="A22" s="26" t="s">
        <v>831</v>
      </c>
      <c r="B22" s="26" t="s">
        <v>832</v>
      </c>
      <c r="C22" s="26" t="s">
        <v>5673</v>
      </c>
      <c r="D22" s="26" t="s">
        <v>5712</v>
      </c>
      <c r="E22" s="26" t="s">
        <v>988</v>
      </c>
      <c r="J22" s="26" t="s">
        <v>5682</v>
      </c>
      <c r="K22" s="26" t="s">
        <v>5678</v>
      </c>
      <c r="O22" s="26" t="s">
        <v>5690</v>
      </c>
    </row>
    <row r="23">
      <c r="A23" s="26" t="s">
        <v>833</v>
      </c>
      <c r="B23" s="26" t="s">
        <v>832</v>
      </c>
      <c r="C23" s="26" t="s">
        <v>5673</v>
      </c>
      <c r="D23" s="26" t="s">
        <v>5713</v>
      </c>
      <c r="E23" s="26" t="s">
        <v>988</v>
      </c>
      <c r="J23" s="26" t="s">
        <v>5682</v>
      </c>
      <c r="K23" s="26" t="s">
        <v>5678</v>
      </c>
      <c r="O23" s="26" t="s">
        <v>5690</v>
      </c>
    </row>
    <row r="24">
      <c r="A24" s="26" t="s">
        <v>834</v>
      </c>
      <c r="B24" s="26" t="s">
        <v>832</v>
      </c>
      <c r="C24" s="26" t="s">
        <v>5673</v>
      </c>
      <c r="D24" s="26" t="s">
        <v>5714</v>
      </c>
      <c r="E24" s="26" t="s">
        <v>988</v>
      </c>
      <c r="J24" s="26" t="s">
        <v>5682</v>
      </c>
      <c r="K24" s="26" t="s">
        <v>5678</v>
      </c>
      <c r="O24" s="26" t="s">
        <v>5690</v>
      </c>
    </row>
    <row r="25">
      <c r="A25" s="26" t="s">
        <v>835</v>
      </c>
      <c r="B25" s="26" t="s">
        <v>832</v>
      </c>
      <c r="C25" s="26" t="s">
        <v>5673</v>
      </c>
      <c r="D25" s="26" t="s">
        <v>5715</v>
      </c>
      <c r="E25" s="26" t="s">
        <v>988</v>
      </c>
      <c r="J25" s="26" t="s">
        <v>5682</v>
      </c>
      <c r="K25" s="26" t="s">
        <v>5678</v>
      </c>
      <c r="O25" s="26" t="s">
        <v>5690</v>
      </c>
    </row>
    <row r="26">
      <c r="A26" s="26" t="s">
        <v>836</v>
      </c>
      <c r="B26" s="26" t="s">
        <v>832</v>
      </c>
      <c r="C26" s="26" t="s">
        <v>5673</v>
      </c>
      <c r="D26" s="26" t="s">
        <v>5716</v>
      </c>
      <c r="E26" s="26" t="s">
        <v>988</v>
      </c>
      <c r="J26" s="26" t="s">
        <v>5682</v>
      </c>
      <c r="K26" s="26" t="s">
        <v>5678</v>
      </c>
      <c r="O26" s="26" t="s">
        <v>5690</v>
      </c>
    </row>
    <row r="27">
      <c r="A27" s="26" t="s">
        <v>837</v>
      </c>
      <c r="B27" s="26" t="s">
        <v>832</v>
      </c>
      <c r="C27" s="26" t="s">
        <v>5673</v>
      </c>
      <c r="D27" s="26" t="s">
        <v>5717</v>
      </c>
      <c r="E27" s="26" t="s">
        <v>988</v>
      </c>
      <c r="J27" s="26" t="s">
        <v>5682</v>
      </c>
      <c r="K27" s="26" t="s">
        <v>5678</v>
      </c>
      <c r="O27" s="26" t="s">
        <v>5690</v>
      </c>
    </row>
    <row r="28">
      <c r="A28" s="26" t="s">
        <v>838</v>
      </c>
      <c r="B28" s="26" t="s">
        <v>832</v>
      </c>
      <c r="C28" s="26" t="s">
        <v>5673</v>
      </c>
      <c r="D28" s="26" t="s">
        <v>5718</v>
      </c>
      <c r="E28" s="26" t="s">
        <v>988</v>
      </c>
      <c r="J28" s="26" t="s">
        <v>5682</v>
      </c>
      <c r="K28" s="26" t="s">
        <v>5678</v>
      </c>
      <c r="O28" s="26" t="s">
        <v>5690</v>
      </c>
    </row>
    <row r="29">
      <c r="A29" s="26" t="s">
        <v>839</v>
      </c>
      <c r="B29" s="26" t="s">
        <v>832</v>
      </c>
      <c r="C29" s="26" t="s">
        <v>5673</v>
      </c>
      <c r="D29" s="26" t="s">
        <v>5719</v>
      </c>
      <c r="E29" s="26" t="s">
        <v>988</v>
      </c>
      <c r="J29" s="26" t="s">
        <v>5682</v>
      </c>
      <c r="K29" s="26" t="s">
        <v>5678</v>
      </c>
      <c r="O29" s="26" t="s">
        <v>5690</v>
      </c>
    </row>
    <row r="30" ht="15.0" customHeight="1">
      <c r="A30" s="26" t="s">
        <v>840</v>
      </c>
      <c r="B30" s="26" t="s">
        <v>832</v>
      </c>
      <c r="C30" s="26" t="s">
        <v>5673</v>
      </c>
      <c r="D30" s="26" t="s">
        <v>5720</v>
      </c>
      <c r="E30" s="26" t="s">
        <v>988</v>
      </c>
      <c r="J30" s="26" t="s">
        <v>5682</v>
      </c>
      <c r="K30" s="26" t="s">
        <v>5678</v>
      </c>
      <c r="O30" s="26" t="s">
        <v>5690</v>
      </c>
    </row>
    <row r="31">
      <c r="A31" s="26" t="s">
        <v>841</v>
      </c>
      <c r="B31" s="26" t="s">
        <v>188</v>
      </c>
      <c r="C31" s="26" t="s">
        <v>5673</v>
      </c>
      <c r="D31" s="26" t="s">
        <v>5721</v>
      </c>
      <c r="E31" s="26" t="s">
        <v>5693</v>
      </c>
      <c r="J31" s="26" t="s">
        <v>5682</v>
      </c>
      <c r="K31" s="26" t="s">
        <v>5678</v>
      </c>
      <c r="O31" s="26" t="s">
        <v>5690</v>
      </c>
    </row>
    <row r="32">
      <c r="A32" s="26" t="s">
        <v>881</v>
      </c>
      <c r="B32" s="26" t="s">
        <v>188</v>
      </c>
      <c r="C32" s="26" t="s">
        <v>5673</v>
      </c>
      <c r="D32" s="26" t="s">
        <v>5722</v>
      </c>
      <c r="E32" s="26" t="s">
        <v>988</v>
      </c>
      <c r="F32" s="26" t="s">
        <v>5723</v>
      </c>
      <c r="J32" s="26" t="s">
        <v>5677</v>
      </c>
      <c r="K32" s="26" t="s">
        <v>5678</v>
      </c>
      <c r="O32" s="26" t="s">
        <v>5724</v>
      </c>
    </row>
    <row r="33">
      <c r="A33" s="26" t="s">
        <v>843</v>
      </c>
      <c r="B33" s="26" t="s">
        <v>188</v>
      </c>
      <c r="C33" s="26" t="s">
        <v>5673</v>
      </c>
      <c r="D33" s="26" t="s">
        <v>5725</v>
      </c>
      <c r="E33" s="26" t="s">
        <v>988</v>
      </c>
      <c r="J33" s="26" t="s">
        <v>5726</v>
      </c>
      <c r="K33" s="26" t="s">
        <v>5678</v>
      </c>
      <c r="O33" s="26" t="s">
        <v>5724</v>
      </c>
    </row>
    <row r="34">
      <c r="A34" s="26" t="s">
        <v>845</v>
      </c>
      <c r="B34" s="26" t="s">
        <v>188</v>
      </c>
      <c r="C34" s="26" t="s">
        <v>5673</v>
      </c>
      <c r="D34" s="26" t="s">
        <v>5727</v>
      </c>
      <c r="E34" s="26" t="s">
        <v>988</v>
      </c>
      <c r="J34" s="26" t="s">
        <v>5726</v>
      </c>
      <c r="K34" s="26" t="s">
        <v>5678</v>
      </c>
      <c r="O34" s="26" t="s">
        <v>5724</v>
      </c>
    </row>
    <row r="35">
      <c r="A35" s="26" t="s">
        <v>846</v>
      </c>
      <c r="B35" s="26" t="s">
        <v>188</v>
      </c>
      <c r="C35" s="26" t="s">
        <v>5673</v>
      </c>
      <c r="D35" s="26" t="s">
        <v>5728</v>
      </c>
      <c r="E35" s="26" t="s">
        <v>988</v>
      </c>
      <c r="J35" s="26" t="s">
        <v>5726</v>
      </c>
      <c r="K35" s="26" t="s">
        <v>5678</v>
      </c>
      <c r="O35" s="26" t="s">
        <v>5724</v>
      </c>
    </row>
    <row r="36">
      <c r="A36" s="26" t="s">
        <v>847</v>
      </c>
      <c r="B36" s="26" t="s">
        <v>848</v>
      </c>
      <c r="C36" s="26" t="s">
        <v>5673</v>
      </c>
      <c r="D36" s="26" t="s">
        <v>5729</v>
      </c>
      <c r="E36" s="26" t="s">
        <v>5730</v>
      </c>
      <c r="F36" s="26" t="s">
        <v>5731</v>
      </c>
      <c r="G36" s="27">
        <v>45750.0</v>
      </c>
      <c r="J36" s="26" t="s">
        <v>5732</v>
      </c>
      <c r="K36" s="26" t="s">
        <v>5678</v>
      </c>
      <c r="M36" s="27">
        <v>46115.0</v>
      </c>
    </row>
    <row r="37">
      <c r="A37" s="26" t="s">
        <v>849</v>
      </c>
      <c r="B37" s="26" t="s">
        <v>821</v>
      </c>
      <c r="C37" s="26" t="s">
        <v>5673</v>
      </c>
      <c r="D37" s="26" t="s">
        <v>5733</v>
      </c>
      <c r="E37" s="26" t="s">
        <v>5734</v>
      </c>
      <c r="F37" s="26" t="s">
        <v>5735</v>
      </c>
      <c r="G37" s="27">
        <v>45887.0</v>
      </c>
      <c r="J37" s="26" t="s">
        <v>5736</v>
      </c>
      <c r="K37" s="26" t="s">
        <v>5678</v>
      </c>
      <c r="M37" s="27">
        <v>46252.0</v>
      </c>
    </row>
    <row r="38">
      <c r="A38" s="26" t="s">
        <v>850</v>
      </c>
      <c r="B38" s="26" t="s">
        <v>848</v>
      </c>
      <c r="C38" s="26" t="s">
        <v>5673</v>
      </c>
      <c r="D38" s="26" t="s">
        <v>5737</v>
      </c>
      <c r="E38" s="26" t="s">
        <v>5734</v>
      </c>
      <c r="F38" s="26" t="s">
        <v>5731</v>
      </c>
      <c r="G38" s="27">
        <v>45887.0</v>
      </c>
      <c r="J38" s="26" t="s">
        <v>5736</v>
      </c>
      <c r="K38" s="26" t="s">
        <v>5678</v>
      </c>
      <c r="M38" s="27">
        <v>46252.0</v>
      </c>
    </row>
    <row r="39">
      <c r="A39" s="26" t="s">
        <v>851</v>
      </c>
      <c r="B39" s="26" t="s">
        <v>815</v>
      </c>
      <c r="C39" s="26" t="s">
        <v>5673</v>
      </c>
      <c r="D39" s="26" t="s">
        <v>5738</v>
      </c>
      <c r="E39" s="26" t="s">
        <v>5739</v>
      </c>
      <c r="F39" s="26" t="s">
        <v>5731</v>
      </c>
      <c r="G39" s="27">
        <v>45265.0</v>
      </c>
      <c r="J39" s="26" t="s">
        <v>5682</v>
      </c>
      <c r="K39" s="26" t="s">
        <v>5678</v>
      </c>
      <c r="M39" s="27">
        <v>45631.0</v>
      </c>
    </row>
    <row r="40">
      <c r="A40" s="26" t="s">
        <v>852</v>
      </c>
      <c r="B40" s="26" t="s">
        <v>832</v>
      </c>
      <c r="C40" s="26" t="s">
        <v>5673</v>
      </c>
      <c r="D40" s="26" t="s">
        <v>5740</v>
      </c>
      <c r="E40" s="26" t="s">
        <v>5739</v>
      </c>
      <c r="F40" s="26" t="s">
        <v>5731</v>
      </c>
      <c r="G40" s="27">
        <v>45265.0</v>
      </c>
      <c r="J40" s="26" t="s">
        <v>5682</v>
      </c>
      <c r="K40" s="26" t="s">
        <v>5678</v>
      </c>
      <c r="M40" s="27">
        <v>45631.0</v>
      </c>
    </row>
    <row r="41">
      <c r="A41" s="26" t="s">
        <v>853</v>
      </c>
      <c r="B41" s="26" t="s">
        <v>832</v>
      </c>
      <c r="C41" s="26" t="s">
        <v>5673</v>
      </c>
      <c r="D41" s="26" t="s">
        <v>5741</v>
      </c>
      <c r="E41" s="26" t="s">
        <v>5739</v>
      </c>
      <c r="F41" s="26" t="s">
        <v>5731</v>
      </c>
      <c r="G41" s="27">
        <v>45265.0</v>
      </c>
      <c r="J41" s="26" t="s">
        <v>5682</v>
      </c>
      <c r="K41" s="26" t="s">
        <v>5678</v>
      </c>
      <c r="M41" s="27">
        <v>45631.0</v>
      </c>
    </row>
    <row r="42">
      <c r="A42" s="26" t="s">
        <v>854</v>
      </c>
      <c r="B42" s="26" t="s">
        <v>832</v>
      </c>
      <c r="C42" s="26" t="s">
        <v>5673</v>
      </c>
      <c r="D42" s="26" t="s">
        <v>5742</v>
      </c>
      <c r="E42" s="26" t="s">
        <v>5739</v>
      </c>
      <c r="F42" s="26" t="s">
        <v>5731</v>
      </c>
      <c r="G42" s="27">
        <v>45265.0</v>
      </c>
      <c r="J42" s="26" t="s">
        <v>5682</v>
      </c>
      <c r="K42" s="26" t="s">
        <v>5678</v>
      </c>
      <c r="M42" s="27">
        <v>45631.0</v>
      </c>
    </row>
    <row r="43">
      <c r="A43" s="26" t="s">
        <v>855</v>
      </c>
      <c r="B43" s="26" t="s">
        <v>821</v>
      </c>
      <c r="C43" s="26" t="s">
        <v>5743</v>
      </c>
      <c r="D43" s="26" t="s">
        <v>5744</v>
      </c>
      <c r="E43" s="26" t="s">
        <v>5745</v>
      </c>
      <c r="J43" s="26" t="s">
        <v>5677</v>
      </c>
      <c r="K43" s="26" t="s">
        <v>5678</v>
      </c>
      <c r="O43" s="26" t="s">
        <v>5746</v>
      </c>
    </row>
    <row r="44">
      <c r="A44" s="26" t="s">
        <v>856</v>
      </c>
      <c r="B44" s="26" t="s">
        <v>821</v>
      </c>
      <c r="C44" s="26" t="s">
        <v>5743</v>
      </c>
      <c r="D44" s="26" t="s">
        <v>5747</v>
      </c>
      <c r="E44" s="26" t="s">
        <v>5748</v>
      </c>
      <c r="F44" s="26" t="s">
        <v>5749</v>
      </c>
      <c r="J44" s="26" t="s">
        <v>5677</v>
      </c>
      <c r="K44" s="26" t="s">
        <v>5678</v>
      </c>
      <c r="O44" s="26" t="s">
        <v>5746</v>
      </c>
    </row>
    <row r="45">
      <c r="A45" s="26" t="s">
        <v>857</v>
      </c>
      <c r="B45" s="26" t="s">
        <v>821</v>
      </c>
      <c r="C45" s="26" t="s">
        <v>5673</v>
      </c>
      <c r="D45" s="26" t="s">
        <v>5750</v>
      </c>
      <c r="E45" s="26" t="s">
        <v>5751</v>
      </c>
      <c r="F45" s="26" t="s">
        <v>5752</v>
      </c>
      <c r="J45" s="26" t="s">
        <v>5677</v>
      </c>
      <c r="K45" s="26" t="s">
        <v>5678</v>
      </c>
      <c r="O45" s="26" t="s">
        <v>5746</v>
      </c>
    </row>
    <row r="46">
      <c r="A46" s="26" t="s">
        <v>858</v>
      </c>
      <c r="B46" s="26" t="s">
        <v>821</v>
      </c>
      <c r="C46" s="26" t="s">
        <v>5673</v>
      </c>
      <c r="D46" s="26" t="s">
        <v>5753</v>
      </c>
      <c r="E46" s="26" t="s">
        <v>5751</v>
      </c>
      <c r="F46" s="26" t="s">
        <v>5754</v>
      </c>
      <c r="J46" s="26" t="s">
        <v>5677</v>
      </c>
      <c r="K46" s="26" t="s">
        <v>5678</v>
      </c>
      <c r="O46" s="26" t="s">
        <v>5746</v>
      </c>
    </row>
    <row r="47">
      <c r="A47" s="26" t="s">
        <v>858</v>
      </c>
      <c r="B47" s="26" t="s">
        <v>821</v>
      </c>
      <c r="C47" s="26" t="s">
        <v>5673</v>
      </c>
      <c r="D47" s="26" t="s">
        <v>5755</v>
      </c>
      <c r="E47" s="26" t="s">
        <v>5751</v>
      </c>
      <c r="F47" s="26" t="s">
        <v>5756</v>
      </c>
      <c r="J47" s="26" t="s">
        <v>5677</v>
      </c>
      <c r="K47" s="26" t="s">
        <v>5678</v>
      </c>
      <c r="O47" s="26" t="s">
        <v>5746</v>
      </c>
    </row>
    <row r="48">
      <c r="A48" s="26" t="s">
        <v>859</v>
      </c>
      <c r="B48" s="26" t="s">
        <v>179</v>
      </c>
      <c r="C48" s="26" t="s">
        <v>5673</v>
      </c>
      <c r="D48" s="26" t="s">
        <v>5757</v>
      </c>
      <c r="E48" s="26" t="s">
        <v>5758</v>
      </c>
      <c r="J48" s="26" t="s">
        <v>5677</v>
      </c>
      <c r="K48" s="26" t="s">
        <v>5678</v>
      </c>
      <c r="O48" s="26" t="s">
        <v>5746</v>
      </c>
    </row>
    <row r="49">
      <c r="A49" s="26" t="s">
        <v>860</v>
      </c>
      <c r="B49" s="26" t="s">
        <v>821</v>
      </c>
      <c r="C49" s="26" t="s">
        <v>5759</v>
      </c>
      <c r="D49" s="26" t="s">
        <v>5760</v>
      </c>
      <c r="E49" s="26" t="s">
        <v>5761</v>
      </c>
      <c r="F49" s="26" t="s">
        <v>5762</v>
      </c>
      <c r="J49" s="26" t="s">
        <v>5677</v>
      </c>
      <c r="K49" s="26" t="s">
        <v>5678</v>
      </c>
      <c r="O49" s="26" t="s">
        <v>5763</v>
      </c>
    </row>
    <row r="50">
      <c r="A50" s="26" t="s">
        <v>862</v>
      </c>
      <c r="B50" s="26" t="s">
        <v>821</v>
      </c>
      <c r="C50" s="26" t="s">
        <v>5759</v>
      </c>
      <c r="D50" s="26" t="s">
        <v>5764</v>
      </c>
      <c r="E50" s="26" t="s">
        <v>5761</v>
      </c>
      <c r="F50" s="26" t="s">
        <v>5765</v>
      </c>
      <c r="J50" s="26" t="s">
        <v>5677</v>
      </c>
      <c r="K50" s="26" t="s">
        <v>5678</v>
      </c>
      <c r="O50" s="26" t="s">
        <v>5763</v>
      </c>
    </row>
    <row r="51">
      <c r="A51" s="26" t="s">
        <v>863</v>
      </c>
      <c r="B51" s="26" t="s">
        <v>848</v>
      </c>
      <c r="C51" s="26" t="s">
        <v>5673</v>
      </c>
      <c r="D51" s="26" t="s">
        <v>5766</v>
      </c>
      <c r="E51" s="26" t="s">
        <v>5693</v>
      </c>
      <c r="J51" s="26" t="s">
        <v>5677</v>
      </c>
      <c r="K51" s="26" t="s">
        <v>5678</v>
      </c>
      <c r="O51" s="26" t="s">
        <v>5746</v>
      </c>
    </row>
    <row r="52">
      <c r="A52" s="26" t="s">
        <v>864</v>
      </c>
      <c r="B52" s="26" t="s">
        <v>188</v>
      </c>
      <c r="C52" s="26" t="s">
        <v>5673</v>
      </c>
      <c r="D52" s="26" t="s">
        <v>5767</v>
      </c>
      <c r="E52" s="26" t="s">
        <v>5768</v>
      </c>
      <c r="F52" s="26" t="s">
        <v>5769</v>
      </c>
      <c r="J52" s="26" t="s">
        <v>5677</v>
      </c>
      <c r="K52" s="26" t="s">
        <v>5678</v>
      </c>
      <c r="O52" s="26" t="s">
        <v>5746</v>
      </c>
    </row>
    <row r="53">
      <c r="A53" s="26" t="s">
        <v>865</v>
      </c>
      <c r="B53" s="26" t="s">
        <v>179</v>
      </c>
      <c r="C53" s="26" t="s">
        <v>5673</v>
      </c>
      <c r="D53" s="26" t="s">
        <v>5770</v>
      </c>
      <c r="E53" s="26" t="s">
        <v>988</v>
      </c>
      <c r="J53" s="26" t="s">
        <v>5677</v>
      </c>
      <c r="K53" s="26" t="s">
        <v>5678</v>
      </c>
      <c r="O53" s="26" t="s">
        <v>5690</v>
      </c>
    </row>
    <row r="54">
      <c r="A54" s="26" t="s">
        <v>867</v>
      </c>
      <c r="B54" s="26" t="s">
        <v>821</v>
      </c>
      <c r="C54" s="26" t="s">
        <v>5673</v>
      </c>
      <c r="D54" s="26" t="s">
        <v>5771</v>
      </c>
      <c r="E54" s="26" t="s">
        <v>988</v>
      </c>
      <c r="J54" s="26" t="s">
        <v>5677</v>
      </c>
      <c r="K54" s="26" t="s">
        <v>5678</v>
      </c>
      <c r="O54" s="26" t="s">
        <v>5690</v>
      </c>
    </row>
    <row r="55">
      <c r="A55" s="26" t="s">
        <v>868</v>
      </c>
      <c r="B55" s="26" t="s">
        <v>821</v>
      </c>
      <c r="C55" s="26" t="s">
        <v>5673</v>
      </c>
      <c r="D55" s="26" t="s">
        <v>5772</v>
      </c>
      <c r="E55" s="26" t="s">
        <v>5773</v>
      </c>
      <c r="F55" s="26" t="s">
        <v>5774</v>
      </c>
      <c r="G55" s="27">
        <v>45078.0</v>
      </c>
      <c r="J55" s="26" t="s">
        <v>5677</v>
      </c>
      <c r="K55" s="26" t="s">
        <v>5678</v>
      </c>
      <c r="M55" s="27">
        <v>45444.0</v>
      </c>
    </row>
    <row r="56">
      <c r="A56" s="26" t="s">
        <v>870</v>
      </c>
      <c r="B56" s="26" t="s">
        <v>821</v>
      </c>
      <c r="C56" s="26" t="s">
        <v>5673</v>
      </c>
      <c r="D56" s="26" t="s">
        <v>5775</v>
      </c>
      <c r="E56" s="26" t="s">
        <v>5773</v>
      </c>
      <c r="F56" s="26" t="s">
        <v>5776</v>
      </c>
      <c r="G56" s="27">
        <v>45078.0</v>
      </c>
      <c r="J56" s="26" t="s">
        <v>5677</v>
      </c>
      <c r="K56" s="26" t="s">
        <v>5678</v>
      </c>
      <c r="M56" s="27">
        <v>45444.0</v>
      </c>
    </row>
    <row r="57">
      <c r="A57" s="26" t="s">
        <v>871</v>
      </c>
      <c r="B57" s="26" t="s">
        <v>821</v>
      </c>
      <c r="C57" s="26" t="s">
        <v>5673</v>
      </c>
      <c r="D57" s="26" t="s">
        <v>5777</v>
      </c>
      <c r="E57" s="26" t="s">
        <v>5773</v>
      </c>
      <c r="F57" s="26" t="s">
        <v>5778</v>
      </c>
      <c r="G57" s="27">
        <v>45078.0</v>
      </c>
      <c r="J57" s="26" t="s">
        <v>5677</v>
      </c>
      <c r="K57" s="26" t="s">
        <v>5678</v>
      </c>
      <c r="M57" s="27">
        <v>45444.0</v>
      </c>
    </row>
    <row r="58">
      <c r="A58" s="26" t="s">
        <v>872</v>
      </c>
      <c r="B58" s="26" t="s">
        <v>821</v>
      </c>
      <c r="C58" s="26" t="s">
        <v>5673</v>
      </c>
      <c r="D58" s="26" t="s">
        <v>5779</v>
      </c>
      <c r="E58" s="26" t="s">
        <v>5773</v>
      </c>
      <c r="F58" s="26" t="s">
        <v>5780</v>
      </c>
      <c r="G58" s="27">
        <v>45078.0</v>
      </c>
      <c r="J58" s="26" t="s">
        <v>5677</v>
      </c>
      <c r="K58" s="26" t="s">
        <v>5678</v>
      </c>
      <c r="M58" s="27">
        <v>45444.0</v>
      </c>
    </row>
    <row r="59">
      <c r="A59" s="26" t="s">
        <v>873</v>
      </c>
      <c r="B59" s="26" t="s">
        <v>821</v>
      </c>
      <c r="C59" s="26" t="s">
        <v>5673</v>
      </c>
      <c r="D59" s="26" t="s">
        <v>5781</v>
      </c>
      <c r="E59" s="26" t="s">
        <v>5773</v>
      </c>
      <c r="F59" s="26" t="s">
        <v>5782</v>
      </c>
      <c r="G59" s="27">
        <v>45078.0</v>
      </c>
      <c r="J59" s="26" t="s">
        <v>5677</v>
      </c>
      <c r="K59" s="26" t="s">
        <v>5678</v>
      </c>
      <c r="M59" s="27">
        <v>45444.0</v>
      </c>
    </row>
    <row r="60">
      <c r="A60" s="26" t="s">
        <v>874</v>
      </c>
      <c r="B60" s="26" t="s">
        <v>821</v>
      </c>
      <c r="C60" s="26" t="s">
        <v>5673</v>
      </c>
      <c r="D60" s="26" t="s">
        <v>5783</v>
      </c>
      <c r="E60" s="26" t="s">
        <v>5773</v>
      </c>
      <c r="F60" s="26" t="s">
        <v>5784</v>
      </c>
      <c r="G60" s="27">
        <v>45078.0</v>
      </c>
      <c r="J60" s="26" t="s">
        <v>5677</v>
      </c>
      <c r="K60" s="26" t="s">
        <v>5678</v>
      </c>
      <c r="M60" s="27">
        <v>45444.0</v>
      </c>
    </row>
    <row r="61">
      <c r="A61" s="26" t="s">
        <v>875</v>
      </c>
      <c r="B61" s="26" t="s">
        <v>821</v>
      </c>
      <c r="C61" s="26" t="s">
        <v>5673</v>
      </c>
      <c r="D61" s="26" t="s">
        <v>5785</v>
      </c>
      <c r="E61" s="26" t="s">
        <v>5773</v>
      </c>
      <c r="F61" s="26" t="s">
        <v>5786</v>
      </c>
      <c r="G61" s="27">
        <v>45078.0</v>
      </c>
      <c r="J61" s="26" t="s">
        <v>5677</v>
      </c>
      <c r="K61" s="26" t="s">
        <v>5678</v>
      </c>
      <c r="M61" s="27">
        <v>45444.0</v>
      </c>
    </row>
    <row r="62">
      <c r="A62" s="26" t="s">
        <v>876</v>
      </c>
      <c r="B62" s="26" t="s">
        <v>821</v>
      </c>
      <c r="C62" s="26" t="s">
        <v>5673</v>
      </c>
      <c r="D62" s="26" t="s">
        <v>5787</v>
      </c>
      <c r="E62" s="26" t="s">
        <v>5773</v>
      </c>
      <c r="F62" s="26" t="s">
        <v>5788</v>
      </c>
      <c r="G62" s="27">
        <v>45078.0</v>
      </c>
      <c r="J62" s="26" t="s">
        <v>5677</v>
      </c>
      <c r="K62" s="26" t="s">
        <v>5678</v>
      </c>
      <c r="M62" s="27">
        <v>45444.0</v>
      </c>
    </row>
    <row r="63">
      <c r="A63" s="26" t="s">
        <v>877</v>
      </c>
      <c r="B63" s="26" t="s">
        <v>821</v>
      </c>
      <c r="C63" s="26" t="s">
        <v>5673</v>
      </c>
      <c r="D63" s="26" t="s">
        <v>5789</v>
      </c>
      <c r="E63" s="26" t="s">
        <v>5773</v>
      </c>
      <c r="F63" s="26" t="s">
        <v>5790</v>
      </c>
      <c r="G63" s="27">
        <v>45078.0</v>
      </c>
      <c r="J63" s="26" t="s">
        <v>5677</v>
      </c>
      <c r="K63" s="26" t="s">
        <v>5678</v>
      </c>
      <c r="M63" s="27">
        <v>45444.0</v>
      </c>
    </row>
    <row r="64">
      <c r="A64" s="26" t="s">
        <v>878</v>
      </c>
      <c r="B64" s="26" t="s">
        <v>821</v>
      </c>
      <c r="C64" s="26" t="s">
        <v>5673</v>
      </c>
      <c r="D64" s="26" t="s">
        <v>5791</v>
      </c>
      <c r="E64" s="26" t="s">
        <v>5693</v>
      </c>
      <c r="J64" s="26" t="s">
        <v>5677</v>
      </c>
      <c r="K64" s="26" t="s">
        <v>5678</v>
      </c>
      <c r="O64" s="26" t="s">
        <v>5690</v>
      </c>
    </row>
    <row r="65">
      <c r="A65" s="26" t="s">
        <v>879</v>
      </c>
      <c r="B65" s="26" t="s">
        <v>821</v>
      </c>
      <c r="C65" s="26" t="s">
        <v>5673</v>
      </c>
      <c r="D65" s="26" t="s">
        <v>5792</v>
      </c>
      <c r="E65" s="26" t="s">
        <v>5793</v>
      </c>
      <c r="J65" s="26" t="s">
        <v>5677</v>
      </c>
      <c r="K65" s="26" t="s">
        <v>5678</v>
      </c>
      <c r="O65" s="26" t="s">
        <v>5746</v>
      </c>
    </row>
    <row r="66">
      <c r="A66" s="26" t="s">
        <v>880</v>
      </c>
      <c r="B66" s="26" t="s">
        <v>821</v>
      </c>
      <c r="C66" s="26" t="s">
        <v>5673</v>
      </c>
      <c r="D66" s="26" t="s">
        <v>5794</v>
      </c>
      <c r="E66" s="26" t="s">
        <v>5793</v>
      </c>
      <c r="J66" s="26" t="s">
        <v>5677</v>
      </c>
      <c r="K66" s="26" t="s">
        <v>5678</v>
      </c>
      <c r="O66" s="26" t="s">
        <v>5746</v>
      </c>
    </row>
    <row r="67">
      <c r="A67" s="26" t="s">
        <v>5795</v>
      </c>
      <c r="B67" s="26" t="s">
        <v>5796</v>
      </c>
      <c r="C67" s="26" t="s">
        <v>5797</v>
      </c>
      <c r="D67" s="26" t="s">
        <v>5798</v>
      </c>
      <c r="E67" s="26" t="s">
        <v>810</v>
      </c>
      <c r="J67" s="26" t="s">
        <v>5677</v>
      </c>
      <c r="K67" s="26" t="s">
        <v>5799</v>
      </c>
      <c r="O67" s="26" t="s">
        <v>5746</v>
      </c>
    </row>
    <row r="68">
      <c r="A68" s="26" t="s">
        <v>5800</v>
      </c>
      <c r="B68" s="26" t="s">
        <v>5801</v>
      </c>
      <c r="C68" s="26" t="s">
        <v>5797</v>
      </c>
      <c r="D68" s="26" t="s">
        <v>5802</v>
      </c>
      <c r="E68" s="26" t="s">
        <v>5693</v>
      </c>
      <c r="J68" s="26" t="s">
        <v>5677</v>
      </c>
      <c r="K68" s="26" t="s">
        <v>5799</v>
      </c>
      <c r="O68" s="26" t="s">
        <v>5746</v>
      </c>
    </row>
    <row r="69">
      <c r="A69" s="26" t="s">
        <v>5803</v>
      </c>
      <c r="B69" s="26" t="s">
        <v>5801</v>
      </c>
      <c r="C69" s="26" t="s">
        <v>5797</v>
      </c>
      <c r="D69" s="26" t="s">
        <v>5804</v>
      </c>
      <c r="E69" s="26" t="s">
        <v>5693</v>
      </c>
      <c r="J69" s="26" t="s">
        <v>5677</v>
      </c>
      <c r="K69" s="26" t="s">
        <v>5799</v>
      </c>
      <c r="O69" s="26" t="s">
        <v>5746</v>
      </c>
    </row>
    <row r="70">
      <c r="A70" s="26" t="s">
        <v>5805</v>
      </c>
      <c r="B70" s="26" t="s">
        <v>5796</v>
      </c>
      <c r="C70" s="26" t="s">
        <v>5797</v>
      </c>
      <c r="D70" s="26" t="s">
        <v>5806</v>
      </c>
      <c r="E70" s="26" t="s">
        <v>5693</v>
      </c>
      <c r="J70" s="26" t="s">
        <v>5677</v>
      </c>
      <c r="K70" s="26" t="s">
        <v>5799</v>
      </c>
      <c r="O70" s="26" t="s">
        <v>5746</v>
      </c>
    </row>
    <row r="71">
      <c r="A71" s="26" t="s">
        <v>5807</v>
      </c>
      <c r="B71" s="26" t="s">
        <v>5796</v>
      </c>
      <c r="C71" s="26" t="s">
        <v>5797</v>
      </c>
      <c r="D71" s="26" t="s">
        <v>5808</v>
      </c>
      <c r="E71" s="26" t="s">
        <v>5809</v>
      </c>
      <c r="J71" s="26" t="s">
        <v>5677</v>
      </c>
      <c r="K71" s="26" t="s">
        <v>5799</v>
      </c>
      <c r="O71" s="26" t="s">
        <v>5746</v>
      </c>
    </row>
    <row r="72">
      <c r="A72" s="26" t="s">
        <v>5810</v>
      </c>
      <c r="B72" s="26" t="s">
        <v>5801</v>
      </c>
      <c r="C72" s="26" t="s">
        <v>5797</v>
      </c>
      <c r="D72" s="26" t="s">
        <v>5811</v>
      </c>
      <c r="E72" s="26" t="s">
        <v>5693</v>
      </c>
      <c r="J72" s="26" t="s">
        <v>5677</v>
      </c>
      <c r="K72" s="26" t="s">
        <v>5799</v>
      </c>
      <c r="O72" s="26" t="s">
        <v>5690</v>
      </c>
    </row>
  </sheetData>
  <mergeCells count="1">
    <mergeCell ref="A1:O1"/>
  </mergeCells>
  <dataValidations>
    <dataValidation type="list" allowBlank="1" sqref="J5:J72">
      <formula1>"new,excellent,good,fair,poor,out_of_service,disposed"</formula1>
    </dataValidation>
    <dataValidation type="list" allowBlank="1" sqref="B67:B72">
      <formula1>"production_equipment,packaging_equipment,cooling_system,storage,furniture,IT_hardware,vehicle,safety_equipment,lab_equipment,other"</formula1>
    </dataValidation>
    <dataValidation type="list" allowBlank="1" sqref="B5:B66">
      <formula1>"fermenter,brewhouse,processing,packaging,cooling,cleaning,filtration"</formula1>
    </dataValidation>
    <dataValidation type="list" allowBlank="1" sqref="C5:C72">
      <formula1>"tangible_fixed_asset,current_asset,tool,fixture,consumable"</formula1>
    </dataValidation>
  </dataValidations>
  <drawing r:id="rId1"/>
</worksheet>
</file>